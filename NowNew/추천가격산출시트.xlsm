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88A8AC80-C563-4EE5-8121-BE425051AA36}" xr6:coauthVersionLast="36" xr6:coauthVersionMax="36" xr10:uidLastSave="{00000000-0000-0000-0000-000000000000}"/>
  <bookViews>
    <workbookView xWindow="0" yWindow="0" windowWidth="26565" windowHeight="11085" xr2:uid="{29A12171-5FD2-47D6-B214-648FDD7E412D}"/>
  </bookViews>
  <sheets>
    <sheet name="Sheet1" sheetId="1" r:id="rId1"/>
    <sheet name="Sheet5" sheetId="4" r:id="rId2"/>
    <sheet name="Sheet3" sheetId="5" r:id="rId3"/>
    <sheet name="RawData" sheetId="2" r:id="rId4"/>
    <sheet name="ContentsList" sheetId="3" r:id="rId5"/>
    <sheet name="Form" sheetId="6" r:id="rId6"/>
    <sheet name="Form1" sheetId="7" r:id="rId7"/>
  </sheets>
  <definedNames>
    <definedName name="_xlnm._FilterDatabase" localSheetId="3" hidden="1">RawData!$A$1:$I$3553</definedName>
    <definedName name="_xlchart.v1.0" hidden="1">Sheet5!$L$4:$L$9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7" l="1"/>
  <c r="E9" i="6" l="1"/>
  <c r="E6" i="6"/>
  <c r="E14" i="6" l="1"/>
  <c r="E13" i="6" s="1"/>
  <c r="E16" i="6" s="1"/>
  <c r="E17" i="6" s="1"/>
  <c r="E18" i="6" s="1"/>
  <c r="N42" i="5"/>
  <c r="N39" i="5"/>
  <c r="N40" i="5" s="1"/>
  <c r="Q39" i="5"/>
  <c r="Q40" i="5" s="1"/>
  <c r="R39" i="5"/>
  <c r="R40" i="5" s="1"/>
  <c r="S39" i="5"/>
  <c r="P39" i="5"/>
  <c r="Q36" i="5"/>
  <c r="R36" i="5"/>
  <c r="S36" i="5"/>
  <c r="P36" i="5"/>
  <c r="Q35" i="5"/>
  <c r="Q37" i="5" s="1"/>
  <c r="R35" i="5"/>
  <c r="R37" i="5" s="1"/>
  <c r="S35" i="5"/>
  <c r="S37" i="5" s="1"/>
  <c r="P35" i="5"/>
  <c r="P37" i="5" s="1"/>
  <c r="I9" i="5"/>
  <c r="I13" i="5"/>
  <c r="I11" i="5"/>
  <c r="I7" i="5"/>
  <c r="S26" i="5"/>
  <c r="R26" i="5"/>
  <c r="R22" i="5" s="1"/>
  <c r="R19" i="5" s="1"/>
  <c r="Q26" i="5"/>
  <c r="K13" i="5"/>
  <c r="L13" i="5" s="1"/>
  <c r="K11" i="5"/>
  <c r="L11" i="5" s="1"/>
  <c r="K9" i="5"/>
  <c r="L9" i="5" s="1"/>
  <c r="K7" i="5"/>
  <c r="S22" i="5"/>
  <c r="S19" i="5" s="1"/>
  <c r="Q22" i="5"/>
  <c r="Q19" i="5" s="1"/>
  <c r="Q28" i="5" s="1"/>
  <c r="P40" i="5" l="1"/>
  <c r="S40" i="5"/>
  <c r="Q29" i="5"/>
  <c r="Q27" i="5" s="1"/>
  <c r="Q31" i="5" s="1"/>
  <c r="Q32" i="5" s="1"/>
  <c r="S28" i="5"/>
  <c r="S29" i="5"/>
  <c r="R28" i="5"/>
  <c r="R29" i="5" s="1"/>
  <c r="O29" i="5"/>
  <c r="O27" i="5" s="1"/>
  <c r="N27" i="5"/>
  <c r="N22" i="5"/>
  <c r="N19" i="5" s="1"/>
  <c r="O22" i="5"/>
  <c r="P22" i="5"/>
  <c r="P19" i="5" s="1"/>
  <c r="O19" i="5"/>
  <c r="G13" i="5"/>
  <c r="H13" i="5" s="1"/>
  <c r="G11" i="5"/>
  <c r="H11" i="5" s="1"/>
  <c r="G9" i="5"/>
  <c r="H9" i="5" s="1"/>
  <c r="G7" i="5"/>
  <c r="H7" i="5" s="1"/>
  <c r="L7" i="5" s="1"/>
  <c r="G5" i="5"/>
  <c r="H5" i="5" s="1"/>
  <c r="R27" i="5" l="1"/>
  <c r="R31" i="5" s="1"/>
  <c r="R32" i="5" s="1"/>
  <c r="S27" i="5"/>
  <c r="S31" i="5" s="1"/>
  <c r="S32" i="5" s="1"/>
  <c r="O28" i="5"/>
  <c r="O31" i="5" s="1"/>
  <c r="P28" i="5"/>
  <c r="N28" i="5"/>
  <c r="J24" i="4"/>
  <c r="P29" i="5" l="1"/>
  <c r="P27" i="5" s="1"/>
  <c r="P31" i="5" s="1"/>
  <c r="P32" i="5" s="1"/>
  <c r="N29" i="5"/>
  <c r="N30" i="5" s="1"/>
  <c r="N31" i="5" s="1"/>
  <c r="N32" i="5" s="1"/>
  <c r="O32" i="5"/>
  <c r="J10" i="4"/>
  <c r="E9" i="4"/>
  <c r="E6" i="4" s="1"/>
  <c r="E21" i="4" s="1"/>
  <c r="L4" i="4" s="1"/>
  <c r="L5" i="4" l="1"/>
  <c r="L6" i="4"/>
  <c r="L7" i="4"/>
  <c r="L9" i="4"/>
  <c r="L8" i="4"/>
  <c r="M4" i="4"/>
  <c r="E20" i="4"/>
  <c r="M6" i="4" s="1"/>
  <c r="E14" i="4"/>
  <c r="M5" i="4" l="1"/>
  <c r="E13" i="4"/>
  <c r="E16" i="4" s="1"/>
  <c r="E17" i="4" s="1"/>
  <c r="E18" i="4" s="1"/>
</calcChain>
</file>

<file path=xl/sharedStrings.xml><?xml version="1.0" encoding="utf-8"?>
<sst xmlns="http://schemas.openxmlformats.org/spreadsheetml/2006/main" count="20300" uniqueCount="5510">
  <si>
    <t>업소아이디</t>
  </si>
  <si>
    <t>업소명</t>
  </si>
  <si>
    <t>분류코드</t>
  </si>
  <si>
    <t>분류코드명</t>
  </si>
  <si>
    <t>업소 주소</t>
  </si>
  <si>
    <t>업소 전화번호</t>
  </si>
  <si>
    <t>추천수</t>
  </si>
  <si>
    <t>상품명</t>
  </si>
  <si>
    <t>상품가격(일반)(원)</t>
  </si>
  <si>
    <t>조선부뚜막</t>
  </si>
  <si>
    <t>한식</t>
  </si>
  <si>
    <t>서울특별시 동소문로6길 4-23</t>
  </si>
  <si>
    <t>02-762-8850</t>
  </si>
  <si>
    <t>삼겹살(180g)</t>
  </si>
  <si>
    <t>눈꽃목살(180g)</t>
  </si>
  <si>
    <t>홍두깨손칼국수</t>
  </si>
  <si>
    <t>서울특별시 성북구 오패산로3길 119, 1층(하월곡동)</t>
  </si>
  <si>
    <t>02-942-1235</t>
  </si>
  <si>
    <t>칼제비</t>
  </si>
  <si>
    <t>비빔국수</t>
  </si>
  <si>
    <t>수제비</t>
  </si>
  <si>
    <t>칼국수</t>
  </si>
  <si>
    <t>가나다라생고기</t>
  </si>
  <si>
    <t>서울특별시 서울특별시 성북구 성북로4길 52, 스포츠센타동 5103호(돈암동, 한신한진아파트)</t>
  </si>
  <si>
    <t>02-927-3392</t>
  </si>
  <si>
    <t xml:space="preserve">항정살(170g) </t>
  </si>
  <si>
    <t>신도계란</t>
  </si>
  <si>
    <t>기타서비스업종</t>
  </si>
  <si>
    <t>서울특별시 서울 구로구 신도림로11길 9-28</t>
  </si>
  <si>
    <t>02-2634-8486</t>
  </si>
  <si>
    <t>왕란(한판)</t>
  </si>
  <si>
    <t>밥심</t>
  </si>
  <si>
    <t>서울특별시 서초구 사임당로 178, 지하1층 106호</t>
  </si>
  <si>
    <t>02-598-7408</t>
  </si>
  <si>
    <t>닭볶음탕</t>
  </si>
  <si>
    <t>제육볶음</t>
  </si>
  <si>
    <t>소불고기</t>
  </si>
  <si>
    <t>비빔밥</t>
  </si>
  <si>
    <t>크러스트</t>
  </si>
  <si>
    <t>기타외식업(다방,패스트푸드등)</t>
  </si>
  <si>
    <t>서울특별시 서초구 서초대로51길 30</t>
  </si>
  <si>
    <t>흑임자바게트</t>
  </si>
  <si>
    <t>뺑오쇼콜라</t>
  </si>
  <si>
    <t>동명</t>
  </si>
  <si>
    <t>경양식,일식</t>
  </si>
  <si>
    <t>서울특별시 서울 구로구 경인로47길 6</t>
  </si>
  <si>
    <t>6339-3331</t>
  </si>
  <si>
    <t>치즈카츠</t>
  </si>
  <si>
    <t>안심카츠</t>
  </si>
  <si>
    <t>등심카츠</t>
  </si>
  <si>
    <t>모듬카츠</t>
  </si>
  <si>
    <t>오늘부터우리는</t>
  </si>
  <si>
    <t>서울특별시 서울 구로구 개봉로3길 40</t>
  </si>
  <si>
    <t>2683-8292</t>
  </si>
  <si>
    <t>생삼겹</t>
  </si>
  <si>
    <t>우삼겹살</t>
  </si>
  <si>
    <t>대패삼겹살</t>
  </si>
  <si>
    <t>육개장</t>
  </si>
  <si>
    <t>조병관숙성회</t>
  </si>
  <si>
    <t>서울특별시 서울 강서구 화곡로58길 34 2층</t>
  </si>
  <si>
    <t>연어숙성회</t>
  </si>
  <si>
    <t>모듬숙성회</t>
  </si>
  <si>
    <t>킴스남성커트</t>
  </si>
  <si>
    <t>이 미용업</t>
  </si>
  <si>
    <t>서울특별시 서울 강서구 등촌로5길 80</t>
  </si>
  <si>
    <t>02-2062-2833</t>
  </si>
  <si>
    <t>염색</t>
  </si>
  <si>
    <t>커트</t>
  </si>
  <si>
    <t>번동식당</t>
  </si>
  <si>
    <t>서울특별시 서울특별시 강북구 덕릉로40길 11</t>
  </si>
  <si>
    <t>02-985-0370</t>
  </si>
  <si>
    <t>한식뷔페</t>
  </si>
  <si>
    <t>점핑다이어트</t>
  </si>
  <si>
    <t>서울특별시 관악구 신림로17길 53</t>
  </si>
  <si>
    <t>-</t>
  </si>
  <si>
    <t>점핑운동(주3회)</t>
  </si>
  <si>
    <t>점핑운동(주2회)</t>
  </si>
  <si>
    <t>네모네모</t>
  </si>
  <si>
    <t>서울특별시 관악구 낙성대로3길 33-14, 1층</t>
  </si>
  <si>
    <t>070-7626-9860</t>
  </si>
  <si>
    <t>커피</t>
  </si>
  <si>
    <t>산야로</t>
  </si>
  <si>
    <t>서울특별시 관악구 관악로 111</t>
  </si>
  <si>
    <t>02-889-3390</t>
  </si>
  <si>
    <t>콩나물국밥</t>
  </si>
  <si>
    <t>프로젝트헤어</t>
  </si>
  <si>
    <t>서울특별시 관악구 관악로 266</t>
  </si>
  <si>
    <t>02-872-3092</t>
  </si>
  <si>
    <t>파마</t>
  </si>
  <si>
    <t>청정바지락칼국수보쌈</t>
  </si>
  <si>
    <t>서울특별시 서울 종로구 창신길 11</t>
  </si>
  <si>
    <t>02-743-6557</t>
  </si>
  <si>
    <t>보리비빔밥</t>
  </si>
  <si>
    <t>홍순두부</t>
  </si>
  <si>
    <t>서울특별시 서울 종로구 명륜길 50</t>
  </si>
  <si>
    <t>순두부</t>
  </si>
  <si>
    <t>눈나무집</t>
  </si>
  <si>
    <t>서울특별시 서울 종로구 삼청로 136-1</t>
  </si>
  <si>
    <t>02-739-6742</t>
  </si>
  <si>
    <t>김치말이국수</t>
  </si>
  <si>
    <t>김치볶음밥</t>
  </si>
  <si>
    <t>믿음미용실</t>
  </si>
  <si>
    <t>서울특별시 서울 종로구 계동길 91</t>
  </si>
  <si>
    <t>02-763-0766</t>
  </si>
  <si>
    <t>세나미용실</t>
  </si>
  <si>
    <t>서울특별시 서울 도봉구 덕릉로57길 22</t>
  </si>
  <si>
    <t>02-992-8457</t>
  </si>
  <si>
    <t>스텔라커피</t>
  </si>
  <si>
    <t>서울특별시 서울 중랑구 신내로7가길 13</t>
  </si>
  <si>
    <t>녹차</t>
  </si>
  <si>
    <t>아르카디아커피컴퍼니</t>
  </si>
  <si>
    <t>서울특별시 서울 중랑구 면목로88길 5-9</t>
  </si>
  <si>
    <t>02-6401-9692</t>
  </si>
  <si>
    <t>마션</t>
  </si>
  <si>
    <t>서울특별시 서울 중랑구 봉화산로56길 69</t>
  </si>
  <si>
    <t>제일이발관</t>
  </si>
  <si>
    <t xml:space="preserve">서울특별시 서울 중랑구 중랑역로 15-1, 2층 </t>
  </si>
  <si>
    <t>이용료(커트)</t>
  </si>
  <si>
    <t>윤가네칼국수</t>
  </si>
  <si>
    <t>서울특별시 서울 구로구 디지털로33길 27,B 102호(삼성IT밸리)</t>
  </si>
  <si>
    <t>만두전골</t>
  </si>
  <si>
    <t>새싹비빔밥</t>
  </si>
  <si>
    <t>사골칼국수</t>
  </si>
  <si>
    <t>생선굽는날</t>
  </si>
  <si>
    <t>서울특별시 서울 구로구 디지털로31길 41,211호(이엔씨벤처드림타워 6차)</t>
  </si>
  <si>
    <t>02-852-4878.</t>
  </si>
  <si>
    <t>김치찌개</t>
  </si>
  <si>
    <t>고등어구이</t>
  </si>
  <si>
    <t>부대찌개</t>
  </si>
  <si>
    <t>호남식당</t>
  </si>
  <si>
    <t>서울특별시 서울 구로구 디지털로27길 116</t>
  </si>
  <si>
    <t>02-853-432</t>
  </si>
  <si>
    <t>북어국</t>
  </si>
  <si>
    <t>순두부찌개</t>
  </si>
  <si>
    <t>순대국</t>
  </si>
  <si>
    <t>전주식당</t>
  </si>
  <si>
    <t>서울특별시 서울 구로구 구로동로28길 2</t>
  </si>
  <si>
    <t>02-862-5614</t>
  </si>
  <si>
    <t>돌손비빔밥</t>
  </si>
  <si>
    <t>된장찌개</t>
  </si>
  <si>
    <t>가네 보리밥.손칼국수</t>
  </si>
  <si>
    <t>서울특별시 서울 구로구 구로동로22길 23</t>
  </si>
  <si>
    <t>0507-1379-1682</t>
  </si>
  <si>
    <t>바지락칼국수</t>
  </si>
  <si>
    <t>칼만두국</t>
  </si>
  <si>
    <t>손칼국수</t>
  </si>
  <si>
    <t>토담</t>
  </si>
  <si>
    <t>서울특별시 서울 구로구 구로동로22길 5-26</t>
  </si>
  <si>
    <t>02-861-4388</t>
  </si>
  <si>
    <t>청국장</t>
  </si>
  <si>
    <t>금정식당</t>
  </si>
  <si>
    <t>서울특별시 서울 구로구 구로중앙로28길 53-8</t>
  </si>
  <si>
    <t>02-866-6875</t>
  </si>
  <si>
    <t>뼈해장국</t>
  </si>
  <si>
    <t>구로숯불돼지불백</t>
  </si>
  <si>
    <t>서울특별시 서울 구로구 가마산로27길 60</t>
  </si>
  <si>
    <t>02-868-1402</t>
  </si>
  <si>
    <t>청국장(비빔밥)</t>
  </si>
  <si>
    <t>어묵매운탕</t>
  </si>
  <si>
    <t>돼지불백</t>
  </si>
  <si>
    <t>린초밥</t>
  </si>
  <si>
    <t>서울특별시 서울 구로구 디지털로32나길 17-45, 2층</t>
  </si>
  <si>
    <t>02-852-5953</t>
  </si>
  <si>
    <t>회덮밥</t>
  </si>
  <si>
    <t>점심특선초밥</t>
  </si>
  <si>
    <t xml:space="preserve">우동 </t>
  </si>
  <si>
    <t>우리집국수김밥</t>
  </si>
  <si>
    <t>서울특별시 서울 구로구 시흥대로 577-11</t>
  </si>
  <si>
    <t>02-853-1861</t>
  </si>
  <si>
    <t>멸치국수</t>
  </si>
  <si>
    <t>원조김밥</t>
  </si>
  <si>
    <t>이게국수집</t>
  </si>
  <si>
    <t>서울특별시 서울 구로구 디지털로32길 87</t>
  </si>
  <si>
    <t>02-893-8677</t>
  </si>
  <si>
    <t>왕만두</t>
  </si>
  <si>
    <t>잔치국수</t>
  </si>
  <si>
    <t>백화돈</t>
  </si>
  <si>
    <t>서울특별시 서울 구로구 디지털로32가길 25</t>
  </si>
  <si>
    <t>02-852-0880</t>
  </si>
  <si>
    <t>가브리살</t>
  </si>
  <si>
    <t>목살</t>
  </si>
  <si>
    <t>국수박사</t>
  </si>
  <si>
    <t>서울특별시 서울 구로구 디지털로31길 120, 한신플러스 상가1동 106호</t>
  </si>
  <si>
    <t>02-863-5922</t>
  </si>
  <si>
    <t>다복집</t>
  </si>
  <si>
    <t>서울특별시 서울 구로구 도림로14길 2</t>
  </si>
  <si>
    <t>02-859-4789</t>
  </si>
  <si>
    <t>선지해장국</t>
  </si>
  <si>
    <t>설렁탕</t>
  </si>
  <si>
    <t>갈비탕</t>
  </si>
  <si>
    <t>브레드홍</t>
  </si>
  <si>
    <t>서울특별시 서울 구로구 오류동 156-99</t>
  </si>
  <si>
    <t>02-2686-5259</t>
  </si>
  <si>
    <t>소금빵</t>
  </si>
  <si>
    <t>생도넛</t>
  </si>
  <si>
    <t>치아바타샌드위치</t>
  </si>
  <si>
    <t>홍진미용실</t>
  </si>
  <si>
    <t>서울특별시 서울 구로구 서해안로24길 29</t>
  </si>
  <si>
    <t>02-2617-6973</t>
  </si>
  <si>
    <t>영양펌</t>
  </si>
  <si>
    <t>리메인커피</t>
  </si>
  <si>
    <t>서울특별시 서울 구로구 오류로8가길 6, 102호</t>
  </si>
  <si>
    <t>02-000-0000</t>
  </si>
  <si>
    <t>카푸티노</t>
  </si>
  <si>
    <t>까페라떼</t>
  </si>
  <si>
    <t>아메리카노</t>
  </si>
  <si>
    <t>명동분식</t>
  </si>
  <si>
    <t>서울특별시 서울 구로구 디지털로19길 15</t>
  </si>
  <si>
    <t>02-867-6646</t>
  </si>
  <si>
    <t>돌솥밥</t>
  </si>
  <si>
    <t>용아식당</t>
  </si>
  <si>
    <t>서울특별시 서울 구로구 남부순환로105라길 20</t>
  </si>
  <si>
    <t>02-863-5788</t>
  </si>
  <si>
    <t>냉동삽겹살</t>
  </si>
  <si>
    <t>갈치조림</t>
  </si>
  <si>
    <t>서울특별시 서울 구로구 남부순환로105라길 5</t>
  </si>
  <si>
    <t>02-856-0823</t>
  </si>
  <si>
    <t>삼겹살</t>
  </si>
  <si>
    <t>한그릇</t>
  </si>
  <si>
    <t>서울특별시 서울 구로구 구로동로20길 18-4</t>
  </si>
  <si>
    <t>02-858-7441</t>
  </si>
  <si>
    <t>삼삼칼국수</t>
  </si>
  <si>
    <t>서울특별시 서울 구로구 구로동로22길 26</t>
  </si>
  <si>
    <t>02-866-7762</t>
  </si>
  <si>
    <t>얼큰닭칼국수</t>
  </si>
  <si>
    <t>장원돈갈비</t>
  </si>
  <si>
    <t>서울특별시 서울 구로구 구로동로20길 6-8</t>
  </si>
  <si>
    <t>02-868-1838</t>
  </si>
  <si>
    <t>돼지갈비(600g)</t>
  </si>
  <si>
    <t>냉면</t>
  </si>
  <si>
    <t>미란이식당</t>
  </si>
  <si>
    <t>서울특별시 서울 구로구 고척로40길 33-3</t>
  </si>
  <si>
    <t>02-2681-0176</t>
  </si>
  <si>
    <t>해물칼국수</t>
  </si>
  <si>
    <t>서울특별시 서울 구로구 고척로 179</t>
  </si>
  <si>
    <t>02-2614-3609</t>
  </si>
  <si>
    <t>돌솥비빔밥</t>
  </si>
  <si>
    <t>팥칼국수</t>
  </si>
  <si>
    <t>힘찬장어</t>
  </si>
  <si>
    <t>서울특별시 서울 도봉구 노해로69길 15-9</t>
  </si>
  <si>
    <t>02)999-9975</t>
  </si>
  <si>
    <t>가정식백반</t>
  </si>
  <si>
    <t>할머니토스트</t>
  </si>
  <si>
    <t>서울특별시 서울 도봉구 덕릉로60다길 15</t>
  </si>
  <si>
    <t>햄추가토스트</t>
  </si>
  <si>
    <t>뚜비뚜밥스</t>
  </si>
  <si>
    <t>서울특별시 서울 노원구 동일로190길 4</t>
  </si>
  <si>
    <t>070-4115-7775</t>
  </si>
  <si>
    <t>컵밥 소</t>
  </si>
  <si>
    <t>컵밥 대</t>
  </si>
  <si>
    <t>언제나오고가식당</t>
  </si>
  <si>
    <t>서울특별시 서울 노원구 상계로35길 10</t>
  </si>
  <si>
    <t>02-939-1974</t>
  </si>
  <si>
    <t>동태찌개 중</t>
  </si>
  <si>
    <t>동태찌개 소</t>
  </si>
  <si>
    <t>사랑의 김밥</t>
  </si>
  <si>
    <t>서울특별시 서울 노원구 초안산로5길 12</t>
  </si>
  <si>
    <t>02-900-0714</t>
  </si>
  <si>
    <t>야채김밥</t>
  </si>
  <si>
    <t>백반</t>
  </si>
  <si>
    <t>락궁</t>
  </si>
  <si>
    <t>중식</t>
  </si>
  <si>
    <t>서울특별시 서울 노원구 마들로 31</t>
  </si>
  <si>
    <t>02-949-8585</t>
  </si>
  <si>
    <t>짜장면</t>
  </si>
  <si>
    <t>짬뽕</t>
  </si>
  <si>
    <t>남성헤어컷</t>
  </si>
  <si>
    <t>서울특별시 서울 노원구 월계로55길 16</t>
  </si>
  <si>
    <t>기본컷</t>
  </si>
  <si>
    <t>대원아구찜칼국수</t>
  </si>
  <si>
    <t>서울특별시 서울 노원구 상계로27길 48</t>
  </si>
  <si>
    <t>02-936-2242</t>
  </si>
  <si>
    <t>아구찜 소</t>
  </si>
  <si>
    <t>아구찜 중</t>
  </si>
  <si>
    <t>아구찜 대</t>
  </si>
  <si>
    <t>이조모밀</t>
  </si>
  <si>
    <t>서울특별시 서울 노원구 한글비석로 474</t>
  </si>
  <si>
    <t>02-936-2525</t>
  </si>
  <si>
    <t>만둣국</t>
  </si>
  <si>
    <t>꼬막비빔밥</t>
  </si>
  <si>
    <t>콩국수</t>
  </si>
  <si>
    <t>진스쿡</t>
  </si>
  <si>
    <t>서울특별시 서울 노원구 한글비석로24나길 19</t>
  </si>
  <si>
    <t>02-951-2213</t>
  </si>
  <si>
    <t>옛날돈까스</t>
  </si>
  <si>
    <t>별미밥상</t>
  </si>
  <si>
    <t>서울특별시 서울 노원구 덕릉로 849</t>
  </si>
  <si>
    <t>02-931-5487</t>
  </si>
  <si>
    <t>가정식 백반</t>
  </si>
  <si>
    <t>고바우생삼겹</t>
  </si>
  <si>
    <t>서울특별시 서울 성동구 동일로 221, 1층</t>
  </si>
  <si>
    <t>02-498-8442</t>
  </si>
  <si>
    <t>베네토피자앤펍</t>
  </si>
  <si>
    <t>서울특별시 서울 성동구 마조로3길 7-1, 1층</t>
  </si>
  <si>
    <t>02-3395-8858</t>
  </si>
  <si>
    <t>알리오올리오 스파게티</t>
  </si>
  <si>
    <t>페퍼로니 피자</t>
  </si>
  <si>
    <t>만두랑</t>
  </si>
  <si>
    <t>서울특별시 서울 서초구 남부순환로356길 39 2층</t>
  </si>
  <si>
    <t>02-573-7577</t>
  </si>
  <si>
    <t>칼만둣국</t>
  </si>
  <si>
    <t>만두전골(밥+사리)</t>
  </si>
  <si>
    <t>하루</t>
  </si>
  <si>
    <t>서울특별시 서울특별시 광진구 능동로16길 60, 1층 (화양동)</t>
  </si>
  <si>
    <t>돈가스</t>
  </si>
  <si>
    <t>위락</t>
  </si>
  <si>
    <t>서울특별시 서울특별시 광진구 능동로16길 50, 1층 (화양동)</t>
  </si>
  <si>
    <t>스시붐</t>
  </si>
  <si>
    <t>서울특별시 서울특별시 광진구 광나루로17길 14-5 (군자동)</t>
  </si>
  <si>
    <t>02-466-6077</t>
  </si>
  <si>
    <t>초밥</t>
  </si>
  <si>
    <t>무한정수제돈가스</t>
  </si>
  <si>
    <t>서울특별시 서울특별시 광진구 군자로 102, 1층 (군자동)</t>
  </si>
  <si>
    <t>02-469-3122</t>
  </si>
  <si>
    <t>구름초밥</t>
  </si>
  <si>
    <t>서울특별시 서울특별시 광진구 뚝섬로 678, 1층 (자양동)</t>
  </si>
  <si>
    <t>02-6212-0678</t>
  </si>
  <si>
    <t>손수제치킨</t>
  </si>
  <si>
    <t>서울특별시 서울 광진구 군자로 129, 1층</t>
  </si>
  <si>
    <t>02-465-0366</t>
  </si>
  <si>
    <t>치킨</t>
  </si>
  <si>
    <t>신미가 맛집</t>
  </si>
  <si>
    <t>서울특별시 서울 은평구 증산로15길 24-1</t>
  </si>
  <si>
    <t>0507-1366-1326</t>
  </si>
  <si>
    <t>한식부페</t>
  </si>
  <si>
    <t>북한산 손칼국수</t>
  </si>
  <si>
    <t>서울특별시 서울 은평구 대서문길 36</t>
  </si>
  <si>
    <t>0507-1407-4413</t>
  </si>
  <si>
    <t>응암칼국수</t>
  </si>
  <si>
    <t>서울특별시 서울 은평구 응암로21길 18-1</t>
  </si>
  <si>
    <t>02-918-6700</t>
  </si>
  <si>
    <t>삼겹순대국</t>
  </si>
  <si>
    <t>따뜻한 밥상</t>
  </si>
  <si>
    <t>서울특별시 서울 은평구 연서로 260, 2층</t>
  </si>
  <si>
    <t>강남손제비</t>
  </si>
  <si>
    <t>서울특별시 서울 강남구 테헤란로25길 20</t>
  </si>
  <si>
    <t>02-2192-3599</t>
  </si>
  <si>
    <t>손수제비</t>
  </si>
  <si>
    <t>'콩나물보리비빔밥 +미니수제비'</t>
  </si>
  <si>
    <t>제이나인커피</t>
  </si>
  <si>
    <t>서울특별시 서울 강남구 강남대로66길 14</t>
  </si>
  <si>
    <t xml:space="preserve">헤이즐넛아메리카노 S </t>
  </si>
  <si>
    <t>카페라떼</t>
  </si>
  <si>
    <t>아메리카노 S</t>
  </si>
  <si>
    <t>북청김치찌개</t>
  </si>
  <si>
    <t>서울특별시 서울 강남구 개포로 668</t>
  </si>
  <si>
    <t>콩비지찌개</t>
  </si>
  <si>
    <t>이모네정육식당</t>
  </si>
  <si>
    <t>서울특별시 서울 강남구 일원로9길 38</t>
  </si>
  <si>
    <t>02-451-5430</t>
  </si>
  <si>
    <t>지리산흑돼지  삼겹살(200g)'</t>
  </si>
  <si>
    <t xml:space="preserve">갈매기살(200g) </t>
  </si>
  <si>
    <t>삼겹살(200g)</t>
  </si>
  <si>
    <t>소울담은 퓨전요리</t>
  </si>
  <si>
    <t>서울특별시 서울 강남구 영동대로96길 37</t>
  </si>
  <si>
    <t>02-508-8708</t>
  </si>
  <si>
    <t>제육쌈밥</t>
  </si>
  <si>
    <t>방이뚝배기</t>
  </si>
  <si>
    <t>서울특별시 서울 송파구 방이동 141-6, 1층</t>
  </si>
  <si>
    <t>새서울세탁</t>
  </si>
  <si>
    <t>세탁업</t>
  </si>
  <si>
    <t>서울특별시 서울 송파구 동남로17길 11, 1층</t>
  </si>
  <si>
    <t>02-814-8194</t>
  </si>
  <si>
    <t>양복세탁료</t>
  </si>
  <si>
    <t>와이셔츠</t>
  </si>
  <si>
    <t>송천엄마손칼국수</t>
  </si>
  <si>
    <t>서울특별시 서울 송파구 마천로45길 8, 1층</t>
  </si>
  <si>
    <t>02-470-3370</t>
  </si>
  <si>
    <t>떡국</t>
  </si>
  <si>
    <t>먹거리휴게소</t>
  </si>
  <si>
    <t>서울특별시 서울 금천구 벚꽃로 309</t>
  </si>
  <si>
    <t>02-869-1318</t>
  </si>
  <si>
    <t>우동</t>
  </si>
  <si>
    <t>옛날토스트</t>
  </si>
  <si>
    <t>김밥</t>
  </si>
  <si>
    <t>왕산골만두(그시절그맛)</t>
  </si>
  <si>
    <t>서울특별시 서울 동대문구 고산자로38길 25 (제기동, 경동시장 -11)</t>
  </si>
  <si>
    <t>꽈배기</t>
  </si>
  <si>
    <t>도너츠</t>
  </si>
  <si>
    <t>서희</t>
  </si>
  <si>
    <t>서울특별시 서울 동대문구 사가정로23길 64, 105-101 (장안동, 성우스타팰리스)</t>
  </si>
  <si>
    <t>02-2212-8877</t>
  </si>
  <si>
    <t>자장면(현금)</t>
  </si>
  <si>
    <t>간짜장</t>
  </si>
  <si>
    <t>신원식당</t>
  </si>
  <si>
    <t>서울특별시 서울 동대문구 장한로 92, 101호 (장안동, 화성빌딩)</t>
  </si>
  <si>
    <t>02-3394-5121</t>
  </si>
  <si>
    <t>김치칼국수</t>
  </si>
  <si>
    <t>알타리냉면</t>
  </si>
  <si>
    <t>만나식당</t>
  </si>
  <si>
    <t>서울특별시 서울 동대문구 장한로25길 8 (장안동, 1층)</t>
  </si>
  <si>
    <t>02-2244-4314</t>
  </si>
  <si>
    <t>만두전골(2인)</t>
  </si>
  <si>
    <t>오뚝식당</t>
  </si>
  <si>
    <t>서울특별시 서울 동대문구 회기로21길 8-18 (회기동)</t>
  </si>
  <si>
    <t>02-966-6680</t>
  </si>
  <si>
    <t>이야기카페</t>
  </si>
  <si>
    <t>서울특별시 서울 동대문구 전농로3길 106 (답십리동)</t>
  </si>
  <si>
    <t>02-6465-7786</t>
  </si>
  <si>
    <t>크로플</t>
  </si>
  <si>
    <t>충북식당</t>
  </si>
  <si>
    <t>서울특별시 서울 동대문구 고산자로38길 27 (제기동)</t>
  </si>
  <si>
    <t>02-964-3031</t>
  </si>
  <si>
    <t>뚝배기불고기</t>
  </si>
  <si>
    <t>된장보리밥</t>
  </si>
  <si>
    <t>청국장보리밥</t>
  </si>
  <si>
    <t>신설보쌈앤칼국수</t>
  </si>
  <si>
    <t>서울특별시 서울 동대문구 하정로3길 10 (신설동)</t>
  </si>
  <si>
    <t>02-925-3030</t>
  </si>
  <si>
    <t>보쌈정식</t>
  </si>
  <si>
    <t>큰손갈비</t>
  </si>
  <si>
    <t>서울특별시 서울 동대문구 서울시립대로 49-3 (전농동)</t>
  </si>
  <si>
    <t>02-2212-0747</t>
  </si>
  <si>
    <t>세진식당</t>
  </si>
  <si>
    <t>서울특별시 서울 동대문구 서울시립대로 61-4 (전농동)</t>
  </si>
  <si>
    <t>02-2215-0305</t>
  </si>
  <si>
    <t>비에르 에 프리트</t>
  </si>
  <si>
    <t>서울특별시 서울 동대문구 제기로5길 40 (제기동)</t>
  </si>
  <si>
    <t>02-3291-5111</t>
  </si>
  <si>
    <t>불고기양념치킨</t>
  </si>
  <si>
    <t>소세지볶음</t>
  </si>
  <si>
    <t>이문동사진관</t>
  </si>
  <si>
    <t>서울특별시 서울 동대문구 이문로12길 4-3 (이문동)</t>
  </si>
  <si>
    <t>증명사진</t>
  </si>
  <si>
    <t>여권사진</t>
  </si>
  <si>
    <t>원더월커피로스터</t>
  </si>
  <si>
    <t>서울특별시 서울 동대문구 답십리로 80 (답십리동)</t>
  </si>
  <si>
    <t>텀블러(to go) 아메리카노</t>
  </si>
  <si>
    <t>행복한식탁</t>
  </si>
  <si>
    <t>서울특별시 서울 동대문구 장한로 150</t>
  </si>
  <si>
    <t>02-2248-3335</t>
  </si>
  <si>
    <t>바비큐치킨카츠</t>
  </si>
  <si>
    <t>신라방마라탕</t>
  </si>
  <si>
    <t>서울특별시 서울 동대문구 천호대로79길 66 (장안동)</t>
  </si>
  <si>
    <t>02-2212-9991</t>
  </si>
  <si>
    <t>마라탕</t>
  </si>
  <si>
    <t>마라상궈</t>
  </si>
  <si>
    <t>삼보닭꼬치</t>
  </si>
  <si>
    <t>서울특별시 서울 동대문구 한천로 186 (장안동, 1층 우측코너점포)</t>
  </si>
  <si>
    <t>닭껍질꼬치(4개)</t>
  </si>
  <si>
    <t>파닭꼬치</t>
  </si>
  <si>
    <t>염통꼬치(4개)</t>
  </si>
  <si>
    <t>화이트세탁소</t>
  </si>
  <si>
    <t>서울특별시 동작구 만양로 19</t>
  </si>
  <si>
    <t>02-816-7515</t>
  </si>
  <si>
    <t>수선</t>
  </si>
  <si>
    <t>양복세탁</t>
  </si>
  <si>
    <t>비스타(vista)</t>
  </si>
  <si>
    <t>서울특별시 동작구 동작대로35길 71</t>
  </si>
  <si>
    <t>02-6414-7716</t>
  </si>
  <si>
    <t>염색만</t>
  </si>
  <si>
    <t>커트포함염색</t>
  </si>
  <si>
    <t>동원이용원</t>
  </si>
  <si>
    <t>서울특별시 동작구 동작대로27다길 41</t>
  </si>
  <si>
    <t>02-536-3411</t>
  </si>
  <si>
    <t xml:space="preserve">커트포함염색 </t>
  </si>
  <si>
    <t>머리염색 전문점</t>
  </si>
  <si>
    <t>서울특별시 동작구 사당로16가길 20</t>
  </si>
  <si>
    <t>뿌리염색</t>
  </si>
  <si>
    <t>'더 프리메라  미용실'</t>
  </si>
  <si>
    <t>서울특별시 동작구 흑석로13마길 65-3</t>
  </si>
  <si>
    <t>02-825-3655</t>
  </si>
  <si>
    <t>여성커트</t>
  </si>
  <si>
    <t>콘(Corn)</t>
  </si>
  <si>
    <t>서울특별시 동작구 상도로47길 13</t>
  </si>
  <si>
    <t>바나나케일주스</t>
  </si>
  <si>
    <t>라떼(테이크아웃 3500)</t>
  </si>
  <si>
    <t>찬도락</t>
  </si>
  <si>
    <t>서울특별시 동작구 보라매로 83</t>
  </si>
  <si>
    <t>02-815-4255</t>
  </si>
  <si>
    <t>코다리강정</t>
  </si>
  <si>
    <t>오삼불고기</t>
  </si>
  <si>
    <t>진수산</t>
  </si>
  <si>
    <t>서울특별시 동작구 사당로16가길 12</t>
  </si>
  <si>
    <t>0507-1349-7268</t>
  </si>
  <si>
    <t>초밥(활어, 12pcs)</t>
  </si>
  <si>
    <t>회덮밥(활어)</t>
  </si>
  <si>
    <t>엄마손뷔페</t>
  </si>
  <si>
    <t>서울특별시 동작구 장승배기로 149-1</t>
  </si>
  <si>
    <t>서브마린</t>
  </si>
  <si>
    <t>서울특별시 동작구 여의대방로 22 상가동 지하1층 제1호</t>
  </si>
  <si>
    <t>라떼</t>
  </si>
  <si>
    <t>광명수산</t>
  </si>
  <si>
    <t>서울특별시 동작구 동작대로29가길 5</t>
  </si>
  <si>
    <t>02-536-7801</t>
  </si>
  <si>
    <t>광어(중)</t>
  </si>
  <si>
    <t>회덮밥(점심)</t>
  </si>
  <si>
    <t>골목식당</t>
  </si>
  <si>
    <t>서울특별시 동작구 사당로16가길 24</t>
  </si>
  <si>
    <t>02-522-6320</t>
  </si>
  <si>
    <t>현정헤어샵</t>
  </si>
  <si>
    <t>서울특별시 서울특별시 강북구 삼양로87길 24, 1층(수유동)</t>
  </si>
  <si>
    <t>02-905-2225</t>
  </si>
  <si>
    <t>송미용실</t>
  </si>
  <si>
    <t>서울특별시 서울특별시 강북구 인수봉로78길 13, 1층(수유동)</t>
  </si>
  <si>
    <t>02-998-7775</t>
  </si>
  <si>
    <t>음밥협동조합</t>
  </si>
  <si>
    <t>서울특별시 서울특별시 강북구 솔매로50길 78, 1층(미아동)</t>
  </si>
  <si>
    <t>02-992-2048</t>
  </si>
  <si>
    <t>오늘의메뉴</t>
  </si>
  <si>
    <t>베이컨김치짜글이덮밥</t>
  </si>
  <si>
    <t>왕비집 시청무교점</t>
  </si>
  <si>
    <t>서울특별시 서울 중구 무교로 19 2층</t>
  </si>
  <si>
    <t>02-755-9229</t>
  </si>
  <si>
    <t>한우 등심구이(140g)</t>
  </si>
  <si>
    <t>한우 육회(150g)</t>
  </si>
  <si>
    <t>왕비집 육호점</t>
  </si>
  <si>
    <t>서울특별시 서울 중구 남대문로 64 2층 203호</t>
  </si>
  <si>
    <t>02-3789-1544</t>
  </si>
  <si>
    <t>왕비집 명동2호점</t>
  </si>
  <si>
    <t>서울특별시 서울 중구 명동9길 13 2층</t>
  </si>
  <si>
    <t>02-3789-1946</t>
  </si>
  <si>
    <t>명동중앙점 왕비집</t>
  </si>
  <si>
    <t>서울특별시 서울 중구 명동8나길 45 2층</t>
  </si>
  <si>
    <t>02-776-2361</t>
  </si>
  <si>
    <t>왕비집 명동본점</t>
  </si>
  <si>
    <t>서울특별시 서울 중구 명동8가길 26 2층</t>
  </si>
  <si>
    <t>02-3789-1945</t>
  </si>
  <si>
    <t>옛날 손칼국수</t>
  </si>
  <si>
    <t>서울특별시 서울 구로구 신도림로11길 5, 1층</t>
  </si>
  <si>
    <t>02-2675-4810</t>
  </si>
  <si>
    <t>떡만두국</t>
  </si>
  <si>
    <t>카페Roi : 후아</t>
  </si>
  <si>
    <t>서울특별시 강동구 상암로23길 49, 1층(암사동)</t>
  </si>
  <si>
    <t>0507-1447-6678</t>
  </si>
  <si>
    <t>커피노트</t>
  </si>
  <si>
    <t>서울특별시 강동구 천중로39길 102</t>
  </si>
  <si>
    <t>02-487-6842</t>
  </si>
  <si>
    <t>만리장성</t>
  </si>
  <si>
    <t>서울특별시 강동구 올림픽로93길 12</t>
  </si>
  <si>
    <t>02-441-2745</t>
  </si>
  <si>
    <t>라희네</t>
  </si>
  <si>
    <t>서울특별시 강동구 성안로9길 11 1층</t>
  </si>
  <si>
    <t>0507-1365-1990</t>
  </si>
  <si>
    <t>떡볶이(대)</t>
  </si>
  <si>
    <t>떡볶이(중)</t>
  </si>
  <si>
    <t>119닭발 성내점</t>
  </si>
  <si>
    <t>서울특별시 강동구 양재대로87길 81 1층</t>
  </si>
  <si>
    <t>02-6494-1191</t>
  </si>
  <si>
    <t>석쇠구이닭발(1인)</t>
  </si>
  <si>
    <t>만선국수</t>
  </si>
  <si>
    <t>서울특별시 강동구 풍성로 111</t>
  </si>
  <si>
    <t>02-478-0723</t>
  </si>
  <si>
    <t>더베리랠리</t>
  </si>
  <si>
    <t>서울특별시 강동구 올림픽로 552 홍익빌딩 B1(우측)</t>
  </si>
  <si>
    <t>0507-1355-0742</t>
  </si>
  <si>
    <t>레슨(2:1, 주1회, 총4주, 20분, 평일)</t>
  </si>
  <si>
    <t>영헤어스케치</t>
  </si>
  <si>
    <t>서울특별시 천중로52길 27 1층(길동)</t>
  </si>
  <si>
    <t>02-6489-8887</t>
  </si>
  <si>
    <t>펌</t>
  </si>
  <si>
    <t>번성머리방</t>
  </si>
  <si>
    <t>서울특별시 강동구 상암로 120</t>
  </si>
  <si>
    <t>02-479-4746</t>
  </si>
  <si>
    <t>70세 이상 펌</t>
  </si>
  <si>
    <t>70세 이상 커트</t>
  </si>
  <si>
    <t>새나라머리방</t>
  </si>
  <si>
    <t>서울특별시 강동구 천호대로170길 76</t>
  </si>
  <si>
    <t>02-482-3422</t>
  </si>
  <si>
    <t>헤어스케치</t>
  </si>
  <si>
    <t>02-470-5108</t>
  </si>
  <si>
    <t>제일이발</t>
  </si>
  <si>
    <t xml:space="preserve">서울특별시 강동구 성안로25길 55 </t>
  </si>
  <si>
    <t>이발</t>
  </si>
  <si>
    <t>송이네닭집</t>
  </si>
  <si>
    <t>서울특별시 관악구 신원5길 21, 1층</t>
  </si>
  <si>
    <t>02-863-8713</t>
  </si>
  <si>
    <t>닭강정(대)</t>
  </si>
  <si>
    <t>얼큰수제비 해물칼국수</t>
  </si>
  <si>
    <t>서울특별시 관악구 관악로 113</t>
  </si>
  <si>
    <t>02-888-0712</t>
  </si>
  <si>
    <t>해물수제비</t>
  </si>
  <si>
    <t>크리스탈헤어</t>
  </si>
  <si>
    <t>서울특별시 관악구 신사로20길 13, 1층</t>
  </si>
  <si>
    <t>02-856-7177</t>
  </si>
  <si>
    <t>유별난숯불꼼장어</t>
  </si>
  <si>
    <t>서울특별시 서울 금천구 금하로14길 10</t>
  </si>
  <si>
    <t>02-803-4635</t>
  </si>
  <si>
    <t>김밥천국</t>
  </si>
  <si>
    <t>서울특별시 서울 금천구 시흥대로50길 10</t>
  </si>
  <si>
    <t>02-894-7772</t>
  </si>
  <si>
    <t>라면</t>
  </si>
  <si>
    <t>천국김밥</t>
  </si>
  <si>
    <t>머리나라</t>
  </si>
  <si>
    <t>서울특별시 서울 금천구 시흥대로63길 50</t>
  </si>
  <si>
    <t>02-805-1305</t>
  </si>
  <si>
    <t>남성커트</t>
  </si>
  <si>
    <t>써니밥상</t>
  </si>
  <si>
    <t>서울특별시 서울 금천구 시흥대로 364</t>
  </si>
  <si>
    <t>02-891-8918</t>
  </si>
  <si>
    <t>빨간떡볶이</t>
  </si>
  <si>
    <t>서울특별시 서울 금천구 금하로24길 16</t>
  </si>
  <si>
    <t>떡볶이</t>
  </si>
  <si>
    <t>순대</t>
  </si>
  <si>
    <t>다도해수산</t>
  </si>
  <si>
    <t>서울특별시 서울 금천구 남부순환로108길 27</t>
  </si>
  <si>
    <t>0507-1400-1309</t>
  </si>
  <si>
    <t>양념꽃게돌솥밥정식</t>
  </si>
  <si>
    <t>알밥</t>
  </si>
  <si>
    <t>하이 베를리너</t>
  </si>
  <si>
    <t>서울특별시 서울 금천구 가산로9길 12</t>
  </si>
  <si>
    <t>시원손칼국수 가산점</t>
  </si>
  <si>
    <t>서울특별시 서울특별시 금천구 가산로 126</t>
  </si>
  <si>
    <t>02-851-0045</t>
  </si>
  <si>
    <t>형제치킨</t>
  </si>
  <si>
    <t>서울특별시 서울 금천구 시흥대로47길 28-9</t>
  </si>
  <si>
    <t>02-895-9992</t>
  </si>
  <si>
    <t>크리스피</t>
  </si>
  <si>
    <t>지도리치킨</t>
  </si>
  <si>
    <t>서울특별시 서울특별시 금천구 금하로 641-1</t>
  </si>
  <si>
    <t>02-808-9992</t>
  </si>
  <si>
    <t>후라이드</t>
  </si>
  <si>
    <t>텐더(15개)</t>
  </si>
  <si>
    <t>청년공간모락모락</t>
  </si>
  <si>
    <t>서울특별시 서울 금천구 시흥대로 258</t>
  </si>
  <si>
    <t>0507-1481-2888</t>
  </si>
  <si>
    <t>뚝배기육칼</t>
  </si>
  <si>
    <t>서울특별시 서울 금천구 가산디지털1로 233</t>
  </si>
  <si>
    <t>0507-1367-6279</t>
  </si>
  <si>
    <t>육칼</t>
  </si>
  <si>
    <t>왕래성</t>
  </si>
  <si>
    <t>서울특별시 서울 금천구 가산로 8</t>
  </si>
  <si>
    <t>02-6404-5557</t>
  </si>
  <si>
    <t>북경원</t>
  </si>
  <si>
    <t>서울특별시 서울 금천구 시흥대로153길 88</t>
  </si>
  <si>
    <t>02-861-1171</t>
  </si>
  <si>
    <t>택구네칼국수</t>
  </si>
  <si>
    <t>서울특별시 서울 금천구 범안로 1249</t>
  </si>
  <si>
    <t>02-851-9459</t>
  </si>
  <si>
    <t>얼큰수제비</t>
  </si>
  <si>
    <t>린스튜디오</t>
  </si>
  <si>
    <t>서울특별시 서울 중랑구 봉화산로 194,201호</t>
  </si>
  <si>
    <t>02-3422-0522</t>
  </si>
  <si>
    <t>사진촬영료</t>
  </si>
  <si>
    <t>다이렉트(DIRECT)커피</t>
  </si>
  <si>
    <t>서울특별시 서울 중랑구 봉화산로56길 120</t>
  </si>
  <si>
    <t>070-7585-7272</t>
  </si>
  <si>
    <t>국산차(녹차)</t>
  </si>
  <si>
    <t>왕짜장</t>
  </si>
  <si>
    <t>서울특별시 서울 중랑구 신내로14길 26</t>
  </si>
  <si>
    <t>02-433-0202</t>
  </si>
  <si>
    <t>탕수육</t>
  </si>
  <si>
    <t>자장면</t>
  </si>
  <si>
    <t>친구의천(후랜드천)</t>
  </si>
  <si>
    <t>서울특별시 용산구 장문로 88(보광동)</t>
  </si>
  <si>
    <t>02-790-9415</t>
  </si>
  <si>
    <t>즉석떡볶이</t>
  </si>
  <si>
    <t>장원</t>
  </si>
  <si>
    <t>서울특별시 용산구 원효로19길 34(원효로4가)</t>
  </si>
  <si>
    <t>02-711-8948</t>
  </si>
  <si>
    <t>오늘의메뉴(백반)</t>
  </si>
  <si>
    <t>부자식당</t>
  </si>
  <si>
    <t>서울특별시 용산구 대사관로24길 14(한남동)</t>
  </si>
  <si>
    <t>02-797-9046</t>
  </si>
  <si>
    <t>고등어쌈밥정식</t>
  </si>
  <si>
    <t>불고기쌈밥정식</t>
  </si>
  <si>
    <t>초가집</t>
  </si>
  <si>
    <t>서울특별시 용산구 보광로 46(보광동)</t>
  </si>
  <si>
    <t>02-795-2409</t>
  </si>
  <si>
    <t>깻잎전</t>
  </si>
  <si>
    <t>동태전</t>
  </si>
  <si>
    <t>고추전</t>
  </si>
  <si>
    <t>지혜떡볶이</t>
  </si>
  <si>
    <t>서울특별시 용산구 이촌로18길 15-12(이촌동)</t>
  </si>
  <si>
    <t>02-706-5255</t>
  </si>
  <si>
    <t>쫄면</t>
  </si>
  <si>
    <t>호정식당</t>
  </si>
  <si>
    <t>서울특별시 용산구 보광로 17(보광동)</t>
  </si>
  <si>
    <t>02-794-3295</t>
  </si>
  <si>
    <t>오겹살(200g)</t>
  </si>
  <si>
    <t>헤어칼라미용실</t>
  </si>
  <si>
    <t>서울특별시 용산구 보광로12가길 11(보광동)</t>
  </si>
  <si>
    <t>02-749-7784</t>
  </si>
  <si>
    <t>컷트</t>
  </si>
  <si>
    <t>신가네칼국수</t>
  </si>
  <si>
    <t>서울특별시 서울 노원구 공릉로59나길 78-14</t>
  </si>
  <si>
    <t>02-948-9956</t>
  </si>
  <si>
    <t>피노키오</t>
  </si>
  <si>
    <t>02-930-7233</t>
  </si>
  <si>
    <t>원조냉면</t>
  </si>
  <si>
    <t>착한초밥</t>
  </si>
  <si>
    <t>서울특별시 서울 노원구 광운로1길 26</t>
  </si>
  <si>
    <t>02-909-4494</t>
  </si>
  <si>
    <t>모듬초밥</t>
  </si>
  <si>
    <t>은행빵집</t>
  </si>
  <si>
    <t>서울특별시 서울 노원구 한글비석로 253</t>
  </si>
  <si>
    <t>02-931-9289</t>
  </si>
  <si>
    <t>우유식빵</t>
  </si>
  <si>
    <t>옹골면</t>
  </si>
  <si>
    <t>서울특별시 서울 노원구 상계로 70</t>
  </si>
  <si>
    <t>02-951-4748</t>
  </si>
  <si>
    <t>손맛집</t>
  </si>
  <si>
    <t>서울특별시 서울 노원구 중계로14나길 25</t>
  </si>
  <si>
    <t>비공개</t>
  </si>
  <si>
    <t>샤보이 남성커트</t>
  </si>
  <si>
    <t>서울특별시 서울 노원구 덕릉로82길 25</t>
  </si>
  <si>
    <t>02-977-3135</t>
  </si>
  <si>
    <t>새싹보리밥</t>
  </si>
  <si>
    <t>서울특별시 서울 노원구 동일로217길 58</t>
  </si>
  <si>
    <t>02-932-8585</t>
  </si>
  <si>
    <t>새싹보리밥정식</t>
  </si>
  <si>
    <t>메밀꽃</t>
  </si>
  <si>
    <t>서울특별시 서울 노원구 상계로9가길 67</t>
  </si>
  <si>
    <t>단호박죽</t>
  </si>
  <si>
    <t>공릉동멸치국수</t>
  </si>
  <si>
    <t>서울특별시 서울 노원구 동일로173가길 43</t>
  </si>
  <si>
    <t>070-8160-6158</t>
  </si>
  <si>
    <t>모즈헤어</t>
  </si>
  <si>
    <t>서울특별시 서울 구로구 신도림로 29 (신도림동. 신성빌딩 1층)</t>
  </si>
  <si>
    <t>헤어커트 (여성)</t>
  </si>
  <si>
    <t>염색(여성,중간기장)</t>
  </si>
  <si>
    <t>파마(여성,중간기장)</t>
  </si>
  <si>
    <t>탈색(여성,중간기장)</t>
  </si>
  <si>
    <t>명동세탁</t>
  </si>
  <si>
    <t>서울특별시 동작구 동작대로29길 63-7</t>
  </si>
  <si>
    <t>02-537-4312</t>
  </si>
  <si>
    <t>수선료</t>
  </si>
  <si>
    <t>준호네즉석떡볶이본점</t>
  </si>
  <si>
    <t>서울특별시 동작구 흑석로 83-1, 지하1층</t>
  </si>
  <si>
    <t>070-8771-8249</t>
  </si>
  <si>
    <t>치즈즉석떡볶이</t>
  </si>
  <si>
    <t>용식이포차</t>
  </si>
  <si>
    <t>서울특별시 동작구 사당로16가길 13</t>
  </si>
  <si>
    <t>02-582-6920</t>
  </si>
  <si>
    <t>동태찌개(2인)</t>
  </si>
  <si>
    <t>김치찌개(2인)</t>
  </si>
  <si>
    <t>포항물회</t>
  </si>
  <si>
    <t>서울특별시 동작구 서달로14가길 19</t>
  </si>
  <si>
    <t>02-824-8934</t>
  </si>
  <si>
    <t>비빔물회</t>
  </si>
  <si>
    <t>이가초밥</t>
  </si>
  <si>
    <t>서울특별시 동작구 국사봉1길 4</t>
  </si>
  <si>
    <t>02-821-7878</t>
  </si>
  <si>
    <t>추천초밥</t>
  </si>
  <si>
    <t>대박김치찌개</t>
  </si>
  <si>
    <t>서울특별시 동작구 보라매로5길 5 상가1층</t>
  </si>
  <si>
    <t>02-833-4330</t>
  </si>
  <si>
    <t>제육정식</t>
  </si>
  <si>
    <t>셀프백반</t>
  </si>
  <si>
    <t>부자국밥</t>
  </si>
  <si>
    <t>서울특별시 동작구 신대방11길 34</t>
  </si>
  <si>
    <t>0507-1330-2570</t>
  </si>
  <si>
    <t>오늘의메뉴(점심)</t>
  </si>
  <si>
    <t>방실분식</t>
  </si>
  <si>
    <t>서울특별시 서울 관악구 신림로17길 20, 1층</t>
  </si>
  <si>
    <t>070-7819-0301</t>
  </si>
  <si>
    <t>한끼 삼겹 도시락(250g)</t>
  </si>
  <si>
    <t>백미향</t>
  </si>
  <si>
    <t>서울특별시 마포구 성지길 27, 1층</t>
  </si>
  <si>
    <t>02-312-8253</t>
  </si>
  <si>
    <t>짬뽕밥</t>
  </si>
  <si>
    <t>요일별식사</t>
  </si>
  <si>
    <t>짜장밥</t>
  </si>
  <si>
    <t>짜장(짬뽕)+탕수육 점심특선</t>
  </si>
  <si>
    <t>잡채밥</t>
  </si>
  <si>
    <t>볶음밥</t>
  </si>
  <si>
    <t>마파두부밥</t>
  </si>
  <si>
    <t>탕수육(2~3인)</t>
  </si>
  <si>
    <t>뷰티클럽피부미용</t>
  </si>
  <si>
    <t>서울특별시 서울 마포구 동교로32길 8</t>
  </si>
  <si>
    <t>02-6032-3535</t>
  </si>
  <si>
    <t>여드름&amp;재생&amp;화이트닝</t>
  </si>
  <si>
    <t>모락미반</t>
  </si>
  <si>
    <t>서울특별시 관악구 관악로 211, A동 1층 3호</t>
  </si>
  <si>
    <t>070-8287-0866</t>
  </si>
  <si>
    <t>추어탕</t>
  </si>
  <si>
    <t>포방터쭈꾸미</t>
  </si>
  <si>
    <t>서울특별시 서대문구 홍은중앙로 100-35, 1층</t>
  </si>
  <si>
    <t>02-6012-6925</t>
  </si>
  <si>
    <t>계란찜</t>
  </si>
  <si>
    <t>철판쭈꾸미(1인분)</t>
  </si>
  <si>
    <t>양귀비짬뽕</t>
  </si>
  <si>
    <t>서울특별시 서울 마포구 월드컵로 190 상가112호</t>
  </si>
  <si>
    <t>02-302-2302</t>
  </si>
  <si>
    <t>민들레</t>
  </si>
  <si>
    <t>서울특별시 서울 마포구 잔다리로 132</t>
  </si>
  <si>
    <t>02-3142-8887</t>
  </si>
  <si>
    <t>가정식백반뷔페</t>
  </si>
  <si>
    <t>세종원</t>
  </si>
  <si>
    <t>서울특별시 서울 광진구 광나루로 373</t>
  </si>
  <si>
    <t>02-499-1800</t>
  </si>
  <si>
    <t>어쩌다김밥</t>
  </si>
  <si>
    <t>서울특별시 서울 광진구 자양로22길 18</t>
  </si>
  <si>
    <t>02-457-1737</t>
  </si>
  <si>
    <t>다비다식당</t>
  </si>
  <si>
    <t>서울특별시 서울 광진구 동일로 444</t>
  </si>
  <si>
    <t>02-466-1074</t>
  </si>
  <si>
    <t>나눔국수국수</t>
  </si>
  <si>
    <t>서울특별시 관악구 쑥고개로 133</t>
  </si>
  <si>
    <t>0507-1480-9394</t>
  </si>
  <si>
    <t>허수아비</t>
  </si>
  <si>
    <t>서울특별시 관악구 호암로26길 72</t>
  </si>
  <si>
    <t>02-887-1187</t>
  </si>
  <si>
    <t>치킨까스</t>
  </si>
  <si>
    <t>돈까스</t>
  </si>
  <si>
    <t>행운동 한식 분식</t>
  </si>
  <si>
    <t>서울특별시 관악구 행운1길 48</t>
  </si>
  <si>
    <t>02-883-8852</t>
  </si>
  <si>
    <t>코알라김밥</t>
  </si>
  <si>
    <t>서울특별시 관악구 남부순환로 143길 29</t>
  </si>
  <si>
    <t>02-867-9978</t>
  </si>
  <si>
    <t>참치김밥</t>
  </si>
  <si>
    <t>초밥사랑정스</t>
  </si>
  <si>
    <t>서울특별시 관악구 조원로16길 27</t>
  </si>
  <si>
    <t>0507-1448-3880</t>
  </si>
  <si>
    <t>초밥(10p)</t>
  </si>
  <si>
    <t>모듬초밥(20p)</t>
  </si>
  <si>
    <t>청년밥상문간 낙성대점</t>
  </si>
  <si>
    <t>서울특별시 관악구 남부순환로244길 26 지하1층</t>
  </si>
  <si>
    <t>0507-1333-6031</t>
  </si>
  <si>
    <t>챔프골프연습장</t>
  </si>
  <si>
    <t>서울특별시 관악구 남부순환로 1932 지하1층</t>
  </si>
  <si>
    <t>02-874-0287</t>
  </si>
  <si>
    <t>월 이용료</t>
  </si>
  <si>
    <t>착한생칼국수</t>
  </si>
  <si>
    <t>서울특별시 관악구 관천로 49</t>
  </si>
  <si>
    <t>없음</t>
  </si>
  <si>
    <t>칼국수보리밥</t>
  </si>
  <si>
    <t>착한 미용실 원.투.쓰리</t>
  </si>
  <si>
    <t>서울특별시 관악구 남부순환로 1620, 3층</t>
  </si>
  <si>
    <t>02-424-2565</t>
  </si>
  <si>
    <t>커트(여성)</t>
  </si>
  <si>
    <t>파마(숏)</t>
  </si>
  <si>
    <t>커트(남성)</t>
  </si>
  <si>
    <t>헤어컬렉션</t>
  </si>
  <si>
    <t>서울특별시 서울 양천구 중앙로46길 16</t>
  </si>
  <si>
    <t>02)2695-5550</t>
  </si>
  <si>
    <t>새마을 미용실</t>
  </si>
  <si>
    <t>서울특별시 서울 양천구 은행정로5길 48-1</t>
  </si>
  <si>
    <t>현미식당</t>
  </si>
  <si>
    <t>서울특별시 서울 구로구 구로중앙로 17</t>
  </si>
  <si>
    <t>아리랑 수미감자탕</t>
  </si>
  <si>
    <t>서울특별시 서울 성북구 아리랑로 54</t>
  </si>
  <si>
    <t>0507-1386-9255</t>
  </si>
  <si>
    <t>감자탕 중</t>
  </si>
  <si>
    <t>감자탕 소</t>
  </si>
  <si>
    <t>원도넛</t>
  </si>
  <si>
    <t>서울특별시 서울 성북구 돌곶이로 29</t>
  </si>
  <si>
    <t>02-6951-0707</t>
  </si>
  <si>
    <t>글레이즈</t>
  </si>
  <si>
    <t xml:space="preserve">초코링, 딸기쉘, 꽈배기 </t>
  </si>
  <si>
    <t>어멍식당</t>
  </si>
  <si>
    <t>서울특별시 서울 성북구 오패산로10길 18</t>
  </si>
  <si>
    <t>제육볶음, 오징어볶음</t>
  </si>
  <si>
    <t>김치찌개, 순두부찌개, 된장찌개</t>
  </si>
  <si>
    <t>나경미용실</t>
  </si>
  <si>
    <t>서울특별시 서울 성북구 종암로18길 6</t>
  </si>
  <si>
    <t>착한짬뽕더착한탕수육</t>
  </si>
  <si>
    <t>서울특별시 서울 성북구 월곡로18길 4</t>
  </si>
  <si>
    <t>02-6015-3559</t>
  </si>
  <si>
    <t>탕수육 대</t>
  </si>
  <si>
    <t>아코스터디카페</t>
  </si>
  <si>
    <t>서울특별시 서울 성북구 보문로34길 15, 3층</t>
  </si>
  <si>
    <t>02-929-8209</t>
  </si>
  <si>
    <t>자유석기간권2주</t>
  </si>
  <si>
    <t>24시간</t>
  </si>
  <si>
    <t>옐로치킨7&amp;바로돈까스</t>
  </si>
  <si>
    <t>서울특별시 서울 성북구 아리랑로19길 48</t>
  </si>
  <si>
    <t>02-913-2360</t>
  </si>
  <si>
    <t>수제돈까스</t>
  </si>
  <si>
    <t>치킨1마리</t>
  </si>
  <si>
    <t>수제생선까스</t>
  </si>
  <si>
    <t>옛날중국집</t>
  </si>
  <si>
    <t>서울특별시 서울 성북구 성북로8길 8</t>
  </si>
  <si>
    <t>02-764-0094</t>
  </si>
  <si>
    <t>제순식당</t>
  </si>
  <si>
    <t>서울특별시 서울 성북구 동소문로20다길 30-9</t>
  </si>
  <si>
    <t>02-927-2007</t>
  </si>
  <si>
    <t>된장찌개, 순두부찌개</t>
  </si>
  <si>
    <t>오징어볶음</t>
  </si>
  <si>
    <t>아프리카헤어</t>
  </si>
  <si>
    <t>서울특별시 서울 성북구 안암로 77, 2층</t>
  </si>
  <si>
    <t>02-953-7779</t>
  </si>
  <si>
    <t>동네</t>
  </si>
  <si>
    <t>서울특별시 서울 성북구 개운사길 22-5</t>
  </si>
  <si>
    <t>생선구이</t>
  </si>
  <si>
    <t>순두부찌개, 된장찌개, 김치짜개</t>
  </si>
  <si>
    <t>이모네식당</t>
  </si>
  <si>
    <t>서울특별시 서울 성북구 안암로 73-3</t>
  </si>
  <si>
    <t>제육덮밥</t>
  </si>
  <si>
    <t>독일베이커리</t>
  </si>
  <si>
    <t>서울특별시 서울 성북구 삼양로 50</t>
  </si>
  <si>
    <t>02-915-2603</t>
  </si>
  <si>
    <t>소보루빵</t>
  </si>
  <si>
    <t>크림빵</t>
  </si>
  <si>
    <t>단팥빵</t>
  </si>
  <si>
    <t>같이가치 정릉덮밥</t>
  </si>
  <si>
    <t>서울특별시 서울 성북구 솔샘로6길 62</t>
  </si>
  <si>
    <t>070-8954-7788</t>
  </si>
  <si>
    <t>큐브스테이크덮밥</t>
  </si>
  <si>
    <t>소불고기덮밥</t>
  </si>
  <si>
    <t>아바이토종순대국</t>
  </si>
  <si>
    <t>서울특별시 서울 성북구 안암로9가길 80-17</t>
  </si>
  <si>
    <t>0507-1317-2874</t>
  </si>
  <si>
    <t>돼지국밥</t>
  </si>
  <si>
    <t>얼큰해장국</t>
  </si>
  <si>
    <t>경성고기꾼 성신여대점</t>
  </si>
  <si>
    <t>서울특별시 서울 성북구 동소문로20길 28-10</t>
  </si>
  <si>
    <t>070-4048-0335</t>
  </si>
  <si>
    <t>갈비살(150g)</t>
  </si>
  <si>
    <t>등심(150g)</t>
  </si>
  <si>
    <t>루아룸</t>
  </si>
  <si>
    <t>서울특별시 동광로 75, 2층</t>
  </si>
  <si>
    <t>02-537-4117</t>
  </si>
  <si>
    <t>샴푸</t>
  </si>
  <si>
    <t>다운펌</t>
  </si>
  <si>
    <t>코지헤어</t>
  </si>
  <si>
    <t>서울특별시 반포대로 22길 14-3</t>
  </si>
  <si>
    <t>02-3473-5033</t>
  </si>
  <si>
    <t>드라이</t>
  </si>
  <si>
    <t>금산골</t>
  </si>
  <si>
    <t>서울특별시 서울 영등포구 도신로29길 12</t>
  </si>
  <si>
    <t>02-841-7002</t>
  </si>
  <si>
    <t>헤어짱</t>
  </si>
  <si>
    <t>서울특별시 서울 영등포구 당산로26길 1</t>
  </si>
  <si>
    <t>02-2633-0248</t>
  </si>
  <si>
    <t>카페달싸</t>
  </si>
  <si>
    <t>서울특별시 서울 영등포구 당산로33길 9</t>
  </si>
  <si>
    <t>02-2677-8522</t>
  </si>
  <si>
    <t>명동얼큰수제비</t>
  </si>
  <si>
    <t>서울특별시 중구 남대문로 64(명동2가)</t>
  </si>
  <si>
    <t>02-752-7649</t>
  </si>
  <si>
    <t>소고기김밥</t>
  </si>
  <si>
    <t>345국수</t>
  </si>
  <si>
    <t>서울특별시 중구 청구로 83-9(신당동)</t>
  </si>
  <si>
    <t>02-2237-5257</t>
  </si>
  <si>
    <t>동선식당</t>
  </si>
  <si>
    <t>서울특별시 중구 동호로 209</t>
  </si>
  <si>
    <t>02-2232-9908</t>
  </si>
  <si>
    <t>차돌된장찌개</t>
  </si>
  <si>
    <t>점심백반</t>
  </si>
  <si>
    <t>옛날홍두깨손칼국수</t>
  </si>
  <si>
    <t>서울특별시 중구 동호로7길 32</t>
  </si>
  <si>
    <t>02-2231-1458</t>
  </si>
  <si>
    <t>야채비빔밥</t>
  </si>
  <si>
    <t>지후식당</t>
  </si>
  <si>
    <t>서울특별시 서울 마포구 매봉산로2길 68</t>
  </si>
  <si>
    <t>김치가츠동</t>
  </si>
  <si>
    <t>규동</t>
  </si>
  <si>
    <t>가츠동</t>
  </si>
  <si>
    <t>청량리할머니냉면</t>
  </si>
  <si>
    <t>서울특별시 서울 동대문구 왕산로37길 51 (제기동)</t>
  </si>
  <si>
    <t>02-963-5362</t>
  </si>
  <si>
    <t>냉면 곱배기</t>
  </si>
  <si>
    <t>장진주</t>
  </si>
  <si>
    <t>서울특별시 서울 동대문구 약령동길 97 (제기동)</t>
  </si>
  <si>
    <t>02-957-3993</t>
  </si>
  <si>
    <t>콩나물비빔밥</t>
  </si>
  <si>
    <t>제주흑돼지알토란쌈밥</t>
  </si>
  <si>
    <t>서울특별시 서울 동대문구 한천로14길 69, 1층 (장안동)</t>
  </si>
  <si>
    <t>02-2246-8987</t>
  </si>
  <si>
    <t>박사네곱창</t>
  </si>
  <si>
    <t>서울특별시 서울 동대문구 한천로11길 61-3 (답십리동)</t>
  </si>
  <si>
    <t>곱창전골(2인)</t>
  </si>
  <si>
    <t>야채곱창(2인)</t>
  </si>
  <si>
    <t>어머니의 고등어</t>
  </si>
  <si>
    <t>서울특별시 서울 동대문구 전농로15길 7, 101호 (전농동)</t>
  </si>
  <si>
    <t>02-2245-9991</t>
  </si>
  <si>
    <t>황태해장국</t>
  </si>
  <si>
    <t>그린하우스</t>
  </si>
  <si>
    <t>서울특별시 서울 동대문구 전농로 219 (전농동)</t>
  </si>
  <si>
    <t>02-2247-2247</t>
  </si>
  <si>
    <t>참치찌개</t>
  </si>
  <si>
    <t>김가네김밥</t>
  </si>
  <si>
    <t>서울특별시 서울 동대문구 서울시립대로16길 97-2 (전농동)</t>
  </si>
  <si>
    <t>02-2245-6340</t>
  </si>
  <si>
    <t>깻잎김밥</t>
  </si>
  <si>
    <t>옛고을닭한마리</t>
  </si>
  <si>
    <t>서울특별시 서울 동대문구 사가정로 7, 1층 (답십리동)</t>
  </si>
  <si>
    <t>02-2215-1316</t>
  </si>
  <si>
    <t>닭곰탕</t>
  </si>
  <si>
    <t>수빈마마</t>
  </si>
  <si>
    <t>서울특별시 서울 동대문구 사가정로 221, 103호 (장안동)</t>
  </si>
  <si>
    <t>02-2244-9294</t>
  </si>
  <si>
    <t>장안골</t>
  </si>
  <si>
    <t>서울특별시 서울 동대문구 답십리로65길 124-3 (장안동)</t>
  </si>
  <si>
    <t>02-2242-9476</t>
  </si>
  <si>
    <t>청국된장</t>
  </si>
  <si>
    <t>카페뜨랑</t>
  </si>
  <si>
    <t>서울특별시 서울 동대문구 제기로 130 (청량리동)</t>
  </si>
  <si>
    <t>02-6949-3928</t>
  </si>
  <si>
    <t>카푸치노</t>
  </si>
  <si>
    <t>지노돈가스</t>
  </si>
  <si>
    <t>서울특별시 서울 동대문구 제기로38길 13 (청량리동)</t>
  </si>
  <si>
    <t>다래정</t>
  </si>
  <si>
    <t>서울특별시 서울 동대문구 휘경로 24-4, 1층 (이문동)</t>
  </si>
  <si>
    <t>02-961-5400</t>
  </si>
  <si>
    <t>낙지볶음(소)</t>
  </si>
  <si>
    <t>아구찜(소)</t>
  </si>
  <si>
    <t>버드나무순대국</t>
  </si>
  <si>
    <t>서울특별시 서울 동대문구 휘경로2길 42 (이문동)</t>
  </si>
  <si>
    <t>02-960-2932</t>
  </si>
  <si>
    <t>순대국밥</t>
  </si>
  <si>
    <t>머리국밥</t>
  </si>
  <si>
    <t>서울쉬퐁</t>
  </si>
  <si>
    <t>서울특별시 서울 동대문구 한천로63길 17,  1층 (이문동)</t>
  </si>
  <si>
    <t>02-966-2539</t>
  </si>
  <si>
    <t>영수네고기세상</t>
  </si>
  <si>
    <t>서울특별시 서울 동대문구 신이문로 34-1, 1층 (이문동)</t>
  </si>
  <si>
    <t>02-969-7779</t>
  </si>
  <si>
    <t>뚝배기소불고기</t>
  </si>
  <si>
    <t>생삼겹살(200g)</t>
  </si>
  <si>
    <t>정성서울국수집</t>
  </si>
  <si>
    <t>서울특별시 서울 동대문구 휘경로 51, 1층 (휘경동)</t>
  </si>
  <si>
    <t>02-966-0579</t>
  </si>
  <si>
    <t>낙원떡방앗간</t>
  </si>
  <si>
    <t>서울특별시 서울 동대문구 회기로25길 11 (회기동)</t>
  </si>
  <si>
    <t>영양떡(400g)</t>
  </si>
  <si>
    <t>인절미(400g)</t>
  </si>
  <si>
    <t>배트콩</t>
  </si>
  <si>
    <t>서울특별시 서울 동대문구 경희대로4길 52, 1층 (회기동)</t>
  </si>
  <si>
    <t>에스프레소</t>
  </si>
  <si>
    <t>칼리앤메리</t>
  </si>
  <si>
    <t>서울특별시 서울 동대문구 서울시립대로 160, 105호 (전농동)</t>
  </si>
  <si>
    <t>불고기비빔밥</t>
  </si>
  <si>
    <t>제육비빔밥</t>
  </si>
  <si>
    <t>작렬곱창</t>
  </si>
  <si>
    <t>서울특별시 서울 동대문구 답십리로65길 131 (장안동)</t>
  </si>
  <si>
    <t>02-2212-0972</t>
  </si>
  <si>
    <t>순대곱창</t>
  </si>
  <si>
    <t>알곱창(2인)</t>
  </si>
  <si>
    <t>야채곱창</t>
  </si>
  <si>
    <t>국수집</t>
  </si>
  <si>
    <t>서울특별시 서울 동대문구 한천로14길 63, 1층 (장안동)</t>
  </si>
  <si>
    <t>어묵국수</t>
  </si>
  <si>
    <t>성원유황오리</t>
  </si>
  <si>
    <t>서울특별시 서울 동대문구 신이문로 27-7 (이문동)</t>
  </si>
  <si>
    <t>02-960-7097</t>
  </si>
  <si>
    <t>오리주물럭</t>
  </si>
  <si>
    <t>오리로스</t>
  </si>
  <si>
    <t>짜장면집</t>
  </si>
  <si>
    <t>서울특별시 관악구 신원로 16</t>
  </si>
  <si>
    <t>070-8210-3345</t>
  </si>
  <si>
    <t>종베이커리</t>
  </si>
  <si>
    <t>서울특별시 관악구 난우길 39</t>
  </si>
  <si>
    <t>02-868-0887</t>
  </si>
  <si>
    <t>정직한명품한우</t>
  </si>
  <si>
    <t>서울특별시 관악구 인헌6길 24</t>
  </si>
  <si>
    <t>0507-1417-9934</t>
  </si>
  <si>
    <t>임가네칼국수</t>
  </si>
  <si>
    <t>서울특별시 관악구 관악로 237</t>
  </si>
  <si>
    <t>02-882-2626</t>
  </si>
  <si>
    <t>물냉면</t>
  </si>
  <si>
    <t>비빔냉면</t>
  </si>
  <si>
    <t>이레삼계탕</t>
  </si>
  <si>
    <t>서울특별시 관악구 봉천로 609 2층</t>
  </si>
  <si>
    <t>02-877-8833</t>
  </si>
  <si>
    <t>삼계탕</t>
  </si>
  <si>
    <t>우리동네고기집</t>
  </si>
  <si>
    <t>02-871-9938</t>
  </si>
  <si>
    <t>소고기(등심)</t>
  </si>
  <si>
    <t>우동이랑짜장이랑</t>
  </si>
  <si>
    <t>서울특별시 관악구 양녕로 19</t>
  </si>
  <si>
    <t>오제커피</t>
  </si>
  <si>
    <t>서울특별시 관악구 신림로21길 39</t>
  </si>
  <si>
    <t>0507-1332-9435</t>
  </si>
  <si>
    <t>오삼숙이</t>
  </si>
  <si>
    <t>서울특별시 관악구 대학길 57</t>
  </si>
  <si>
    <t>0507-1415-5332</t>
  </si>
  <si>
    <t>삼겹살숙주김치</t>
  </si>
  <si>
    <t>예소담</t>
  </si>
  <si>
    <t>서울특별시 관악구 호암로24길 56</t>
  </si>
  <si>
    <t>02-882-9050</t>
  </si>
  <si>
    <t>영희네국수집</t>
  </si>
  <si>
    <t>서울특별시 관악구 장군봉2길 18</t>
  </si>
  <si>
    <t>02-883-8182</t>
  </si>
  <si>
    <t>씬챠호</t>
  </si>
  <si>
    <t>서울특별시 관악구 대학길 52 CU편의점 옆 지하</t>
  </si>
  <si>
    <t>02-874-8745</t>
  </si>
  <si>
    <t>우삼겹볶음밥</t>
  </si>
  <si>
    <t>양지차돌국수</t>
  </si>
  <si>
    <t>수미용실</t>
  </si>
  <si>
    <t>서울특별시 관악구 남부순환로 1534</t>
  </si>
  <si>
    <t>더 헤어</t>
  </si>
  <si>
    <t>서울특별시 서울 서대문구 증가로32안길 1</t>
  </si>
  <si>
    <t>황금식당</t>
  </si>
  <si>
    <t>서울특별시 강남대로62길 26 B01층</t>
  </si>
  <si>
    <t>02-556-7740</t>
  </si>
  <si>
    <t>홍가네김치독</t>
  </si>
  <si>
    <t>서울특별시 도곡로7길 7  B01층</t>
  </si>
  <si>
    <t>02-565-9832</t>
  </si>
  <si>
    <t>김치수육찜</t>
  </si>
  <si>
    <t>김치고등어찜</t>
  </si>
  <si>
    <t>장원식당</t>
  </si>
  <si>
    <t>서울특별시 강남대로152길 67</t>
  </si>
  <si>
    <t>02-548-7577</t>
  </si>
  <si>
    <t>뚝불고기</t>
  </si>
  <si>
    <t>자반구이</t>
  </si>
  <si>
    <t>빨강우산 부대찌개</t>
  </si>
  <si>
    <t>서울특별시 테헤란로 313 성지하이츠 B107호</t>
  </si>
  <si>
    <t>02-558-1033</t>
  </si>
  <si>
    <t>돈가네</t>
  </si>
  <si>
    <t>서울특별시 일원로9길 58</t>
  </si>
  <si>
    <t>02-2226-1807</t>
  </si>
  <si>
    <t>숯불생삼겹살(200g)</t>
  </si>
  <si>
    <t>숯불돼지갈비(250g)</t>
  </si>
  <si>
    <t>대풍참숯갈비</t>
  </si>
  <si>
    <t>서울특별시 논현로 76길 8 1층</t>
  </si>
  <si>
    <t>02-564-6563</t>
  </si>
  <si>
    <t>돼지왕갈비(250g)</t>
  </si>
  <si>
    <t>와규갈비살(150g)</t>
  </si>
  <si>
    <t>덤앤더머</t>
  </si>
  <si>
    <t>서울특별시 서울 성동구 사근동길 25-1</t>
  </si>
  <si>
    <t>02-2292-9700</t>
  </si>
  <si>
    <t>미용료(파마)</t>
  </si>
  <si>
    <t>미용료(커트)</t>
  </si>
  <si>
    <t>아랫목식당</t>
  </si>
  <si>
    <t>서울특별시 서울 성동구 송정14길 14-1</t>
  </si>
  <si>
    <t>02-498-3217</t>
  </si>
  <si>
    <t>닭볶음탕(대)</t>
  </si>
  <si>
    <t>감자탕(대)</t>
  </si>
  <si>
    <t>수주머리나라</t>
  </si>
  <si>
    <t>서울특별시 서울 성동구 광나루로11길 9-1</t>
  </si>
  <si>
    <t>선짜장</t>
  </si>
  <si>
    <t>서울특별시 서울 관악구 신림로 130</t>
  </si>
  <si>
    <t>070-411-14097</t>
  </si>
  <si>
    <t>탕숭규</t>
  </si>
  <si>
    <t>삼성미용실</t>
  </si>
  <si>
    <t>서울특별시 서울 관악구 보라매로 62</t>
  </si>
  <si>
    <t>02-882-0009</t>
  </si>
  <si>
    <t>백가집</t>
  </si>
  <si>
    <t>서울특별시 서울 관악구 호암로24길 11</t>
  </si>
  <si>
    <t>02-885-5486</t>
  </si>
  <si>
    <t>배할머니네 파절이 삼겹살</t>
  </si>
  <si>
    <t>서울특별시 서울 관악구 봉천로 594-1</t>
  </si>
  <si>
    <t>02-876-5477</t>
  </si>
  <si>
    <t>미림분식</t>
  </si>
  <si>
    <t>서울특별시 서울 관악구 호암로 553</t>
  </si>
  <si>
    <t>02-888-8567</t>
  </si>
  <si>
    <t>머리깍자</t>
  </si>
  <si>
    <t>서울특별시 서울 관악구 쑥고개로 82</t>
  </si>
  <si>
    <t>맛있구마피자</t>
  </si>
  <si>
    <t>서울특별시 서울 관악구 봉천로 612</t>
  </si>
  <si>
    <t>02-878-6312</t>
  </si>
  <si>
    <t>콤비네이션M</t>
  </si>
  <si>
    <t>콤비네이션L</t>
  </si>
  <si>
    <t>동화반점</t>
  </si>
  <si>
    <t>서울특별시 서울 관악구 관악로 268</t>
  </si>
  <si>
    <t>02-874-0611</t>
  </si>
  <si>
    <t>짬뽕(매장)</t>
  </si>
  <si>
    <t>짜장면(매장)</t>
  </si>
  <si>
    <t>대가왕돈카츠</t>
  </si>
  <si>
    <t>서울특별시 호암로22길 69</t>
  </si>
  <si>
    <t>0507-1481-1201</t>
  </si>
  <si>
    <t>치즈까스</t>
  </si>
  <si>
    <t>왕돈까스</t>
  </si>
  <si>
    <t>다부찌</t>
  </si>
  <si>
    <t>서울특별시 서울 관악구 호암로24길 43</t>
  </si>
  <si>
    <t>02-876-1121</t>
  </si>
  <si>
    <t>늘콩 서울대점</t>
  </si>
  <si>
    <t>서울특별시 서울 관악구 관악로 199, 1층</t>
  </si>
  <si>
    <t>전주비빔밥</t>
  </si>
  <si>
    <t>이태리네모면</t>
  </si>
  <si>
    <t>서울특별시 서울 관악구 남부순환로 1869-6 1층</t>
  </si>
  <si>
    <t>02-877-4367</t>
  </si>
  <si>
    <t>까르보나라</t>
  </si>
  <si>
    <t>알리오올리오</t>
  </si>
  <si>
    <t>장안김밥</t>
  </si>
  <si>
    <t>서울특별시 중구 다산로36길 25</t>
  </si>
  <si>
    <t>02-2236-8135</t>
  </si>
  <si>
    <t>소고기김밥, 참치김밥</t>
  </si>
  <si>
    <t>굿커피 충정로점</t>
  </si>
  <si>
    <t>서울특별시 중구 중림로 2</t>
  </si>
  <si>
    <t>02-393-1978</t>
  </si>
  <si>
    <t>아메리카노 핫</t>
  </si>
  <si>
    <t>아메리카노 아이스</t>
  </si>
  <si>
    <t>카페라떼 핫</t>
  </si>
  <si>
    <t>토방닭한마리</t>
  </si>
  <si>
    <t>서울특별시 서울 관악구 신림로22길 5</t>
  </si>
  <si>
    <t>02-874-6895</t>
  </si>
  <si>
    <t>닭한마리(2인분)</t>
  </si>
  <si>
    <t>난곡덮밥과김밥</t>
  </si>
  <si>
    <t>서울특별시 서울 관악구 난곡로35길 3</t>
  </si>
  <si>
    <t>국수가 땡긴다</t>
  </si>
  <si>
    <t>서울특별시 서울 관악구 은천로 117, 1층</t>
  </si>
  <si>
    <t>0507-1359-5513</t>
  </si>
  <si>
    <t>거북이분식</t>
  </si>
  <si>
    <t>서울특별시 난향로 87</t>
  </si>
  <si>
    <t>0507-1341-8154</t>
  </si>
  <si>
    <t>튀김(5개)</t>
  </si>
  <si>
    <t>공단사우나</t>
  </si>
  <si>
    <t>서울특별시 서울 관악구 시흥대로 578 지하3층</t>
  </si>
  <si>
    <t>02?867?8665</t>
  </si>
  <si>
    <t>목욕료</t>
  </si>
  <si>
    <t>맨헤어</t>
  </si>
  <si>
    <t>서울특별시 서울 송파구 올림픽로 145, 리센츠상가 B1층 A20호</t>
  </si>
  <si>
    <t>070-7759-7304</t>
  </si>
  <si>
    <t>푼양이김치찌개</t>
  </si>
  <si>
    <t>서울특별시 서울 송파구 송이로 112</t>
  </si>
  <si>
    <t>0507-1474-1307</t>
  </si>
  <si>
    <t>계란말이</t>
  </si>
  <si>
    <t>맛고을식당</t>
  </si>
  <si>
    <t>서울특별시 서울 송파구 올림픽로45길 21, 1층</t>
  </si>
  <si>
    <t>향원</t>
  </si>
  <si>
    <t>서울특별시 서울 강남구 역삼로4길 16 성우스타우스 104호</t>
  </si>
  <si>
    <t>02-561-1741</t>
  </si>
  <si>
    <t>반계탕</t>
  </si>
  <si>
    <t>한정식</t>
  </si>
  <si>
    <t>왕두꺼비 부대찌개</t>
  </si>
  <si>
    <t>서울특별시 강남구 역삼로4길 16 성우스타우스 103호</t>
  </si>
  <si>
    <t>02-2188-1233</t>
  </si>
  <si>
    <t>헤어센스</t>
  </si>
  <si>
    <t>서울특별시 서울 마포구 고산길 150</t>
  </si>
  <si>
    <t>02-703-6612</t>
  </si>
  <si>
    <t>모아식당</t>
  </si>
  <si>
    <t>서울특별시 서울 마포구 월드컵북로 262 시영상가114호</t>
  </si>
  <si>
    <t>동태찌개</t>
  </si>
  <si>
    <t>카페마루</t>
  </si>
  <si>
    <t>서울특별시 서울 마포구 창전로 66</t>
  </si>
  <si>
    <t>02-6737-1013</t>
  </si>
  <si>
    <t>아메리카노(포장)</t>
  </si>
  <si>
    <t>아메리카노(매장)</t>
  </si>
  <si>
    <t>라떼(hot/iced)</t>
  </si>
  <si>
    <t>모두와돈까스</t>
  </si>
  <si>
    <t>서울특별시 은평구 은평로 197-1</t>
  </si>
  <si>
    <t>02-389-3855</t>
  </si>
  <si>
    <t>효우동</t>
  </si>
  <si>
    <t>서울특별시 은평구 은평로 202</t>
  </si>
  <si>
    <t>02-353-1700</t>
  </si>
  <si>
    <t>카페드림</t>
  </si>
  <si>
    <t>서울특별시 은평구 은평로 145</t>
  </si>
  <si>
    <t>02-6953-1555</t>
  </si>
  <si>
    <t>인생돈카츠</t>
  </si>
  <si>
    <t>서울특별시 은평구 통일로65길 12-10</t>
  </si>
  <si>
    <t>02-352-3920</t>
  </si>
  <si>
    <t>등심돈카츠 도시락</t>
  </si>
  <si>
    <t>떡갈비 컵밥</t>
  </si>
  <si>
    <t>폼폼커피베이비</t>
  </si>
  <si>
    <t>서울특별시 서울 도봉구 도봉로164길 8</t>
  </si>
  <si>
    <t>카페모카</t>
  </si>
  <si>
    <t>북부식당</t>
  </si>
  <si>
    <t>서울특별시 서울 도봉구 도봉로152가길 102</t>
  </si>
  <si>
    <t>소고기우거지국밥</t>
  </si>
  <si>
    <t>서울특별시 서울 도봉구 덕릉로59길 62</t>
  </si>
  <si>
    <t>탕수육(소)</t>
  </si>
  <si>
    <t>이레헤어</t>
  </si>
  <si>
    <t>서울특별시 서울 도봉구 덕릉로59길 60</t>
  </si>
  <si>
    <t>소나무 미용실</t>
  </si>
  <si>
    <t>서울특별시 서울 도봉구 도당로19길 55</t>
  </si>
  <si>
    <t>02-994-7526</t>
  </si>
  <si>
    <t>여성펌</t>
  </si>
  <si>
    <t>여성컷트</t>
  </si>
  <si>
    <t>다온</t>
  </si>
  <si>
    <t>서울특별시 서울 도봉구 도당로13길 34-21</t>
  </si>
  <si>
    <t>착한 이발소</t>
  </si>
  <si>
    <t>서울특별시 서울 금천구 독산로40길 37</t>
  </si>
  <si>
    <t>신빙고</t>
  </si>
  <si>
    <t>서울특별시 중구 동호로12길 93, 1층(다산동)</t>
  </si>
  <si>
    <t>02-2235-8819</t>
  </si>
  <si>
    <t>복숭아아이스티</t>
  </si>
  <si>
    <t>딸기생크림와플</t>
  </si>
  <si>
    <t>플레인크로플</t>
  </si>
  <si>
    <t>이조식당</t>
  </si>
  <si>
    <t>서울특별시 중구 청파로103길 33 , 1층(중림동)</t>
  </si>
  <si>
    <t>02-365-5993</t>
  </si>
  <si>
    <t>프레이 pray</t>
  </si>
  <si>
    <t>서울특별시 중구 다산로36길 25,1층(동화동)</t>
  </si>
  <si>
    <t>카페라떼 hot</t>
  </si>
  <si>
    <t>아메리카노 ice</t>
  </si>
  <si>
    <t>카페라떼 ice</t>
  </si>
  <si>
    <t>아메리카노 hot</t>
  </si>
  <si>
    <t>풍년식당</t>
  </si>
  <si>
    <t>서울특별시 중구 퇴계로36가길 47(필동2가)</t>
  </si>
  <si>
    <t>02-2272-0870</t>
  </si>
  <si>
    <t>거목식당</t>
  </si>
  <si>
    <t>서울특별시 중구 을지로36길 18</t>
  </si>
  <si>
    <t>02-2263-0010</t>
  </si>
  <si>
    <t>동태찌개,제육볶음</t>
  </si>
  <si>
    <t>갈치구이</t>
  </si>
  <si>
    <t>조기구이</t>
  </si>
  <si>
    <t>충정로김밥</t>
  </si>
  <si>
    <t>서울특별시 중구 서소문로6길 34 ,1층108호</t>
  </si>
  <si>
    <t>02-313-1006</t>
  </si>
  <si>
    <t>라볶이</t>
  </si>
  <si>
    <t>참치깁밥</t>
  </si>
  <si>
    <t>맨투맨</t>
  </si>
  <si>
    <t>서울특별시 금호산길 56-1</t>
  </si>
  <si>
    <t>통돈까스</t>
  </si>
  <si>
    <t>윤가네김밥</t>
  </si>
  <si>
    <t>서울특별시 송파구 가락로 208</t>
  </si>
  <si>
    <t>02-425-0148</t>
  </si>
  <si>
    <t>현미용실</t>
  </si>
  <si>
    <t>서울특별시 서울 종로구 지봉로17길 12 1층</t>
  </si>
  <si>
    <t>0507-1390-7284</t>
  </si>
  <si>
    <t>여성컷</t>
  </si>
  <si>
    <t>일반펌</t>
  </si>
  <si>
    <t>전주콩나물국밥</t>
  </si>
  <si>
    <t>서울특별시 종로구 자하문로 3</t>
  </si>
  <si>
    <t>02-738-8223</t>
  </si>
  <si>
    <t>인사동칼국수</t>
  </si>
  <si>
    <t>서울특별시 서울 종로구 인사동5길 25 하나로빌딩 지하</t>
  </si>
  <si>
    <t>02-737-1151</t>
  </si>
  <si>
    <t>푸드카페</t>
  </si>
  <si>
    <t>서울특별시 중구 충무로2길 23</t>
  </si>
  <si>
    <t>02-2233-5666</t>
  </si>
  <si>
    <t>치즈김밥</t>
  </si>
  <si>
    <t>얼큰해장라면</t>
  </si>
  <si>
    <t>치즈라면</t>
  </si>
  <si>
    <t>카페라면</t>
  </si>
  <si>
    <t>화담</t>
  </si>
  <si>
    <t>서울특별시 서울 송파구 올림픽로8길 12 1층</t>
  </si>
  <si>
    <t>02-2202-8003</t>
  </si>
  <si>
    <t>김치찌개 (점심)</t>
  </si>
  <si>
    <t>현대세탁소</t>
  </si>
  <si>
    <t>서울특별시 서울 송파구 가락동 31-4, 1층</t>
  </si>
  <si>
    <t>02-407-4877</t>
  </si>
  <si>
    <t>신발세탁료</t>
  </si>
  <si>
    <t>헤어필</t>
  </si>
  <si>
    <t>서울특별시 서울 송파구 성내천로30길 16-1</t>
  </si>
  <si>
    <t>02-443-7906</t>
  </si>
  <si>
    <t>최수지헤어</t>
  </si>
  <si>
    <t>서울특별시 서울 송파구 거여동 293-1</t>
  </si>
  <si>
    <t>02-817-1983</t>
  </si>
  <si>
    <t>셋팅펌</t>
  </si>
  <si>
    <t>서울특별시 서울 송파구 가락로 208</t>
  </si>
  <si>
    <t>미가헤어</t>
  </si>
  <si>
    <t>서울특별시 서울 송파구 올림픽로 12길 58, 1층</t>
  </si>
  <si>
    <t>02-423-1334</t>
  </si>
  <si>
    <t>학생커트</t>
  </si>
  <si>
    <t>서울특별시 서울 송파구 마천로41길 23-1</t>
  </si>
  <si>
    <t>0507-1384-6330</t>
  </si>
  <si>
    <t>나오반스헤어</t>
  </si>
  <si>
    <t>서울특별시 서울 송파구 백제고분로48길 9 2층</t>
  </si>
  <si>
    <t>02-413-5566</t>
  </si>
  <si>
    <t>반색식당</t>
  </si>
  <si>
    <t>서울특별시 서울 강남구 선릉로6길 19</t>
  </si>
  <si>
    <t>070-4121-9923</t>
  </si>
  <si>
    <t>더플레이스공간</t>
  </si>
  <si>
    <t>서울특별시 서울 마포구 백범로 152</t>
  </si>
  <si>
    <t>0507-1465-2045</t>
  </si>
  <si>
    <t>피자(고구마)</t>
  </si>
  <si>
    <t>백구사헤어플랜</t>
  </si>
  <si>
    <t>서울특별시 서울 강서구 곰달래로19길 45, 1층</t>
  </si>
  <si>
    <t>02-2607-0194</t>
  </si>
  <si>
    <t>노랑머리앤</t>
  </si>
  <si>
    <t>서울특별시 서울 강서구 까치산로 135, 1층</t>
  </si>
  <si>
    <t>02-2697-6146</t>
  </si>
  <si>
    <t>한식뷔페식당</t>
  </si>
  <si>
    <t>서울특별시 동작구 여의대방로24길 97</t>
  </si>
  <si>
    <t>0507-1469-5202</t>
  </si>
  <si>
    <t>홍가진국</t>
  </si>
  <si>
    <t>서울특별시 서울 용산구 원효로 241-1</t>
  </si>
  <si>
    <t>0507-1407-3339</t>
  </si>
  <si>
    <t>만두국</t>
  </si>
  <si>
    <t>커피스모키</t>
  </si>
  <si>
    <t>서울특별시 서울 용산구 한강대로30길 25, 지하1층 26호</t>
  </si>
  <si>
    <t>헤이즐넛아메리카노</t>
  </si>
  <si>
    <t>콜드브루</t>
  </si>
  <si>
    <t>진미식당</t>
  </si>
  <si>
    <t>서울특별시 서울 용산구 백범로90길 46, 1층</t>
  </si>
  <si>
    <t>02-703-6842</t>
  </si>
  <si>
    <t>오징어 볶음</t>
  </si>
  <si>
    <t>용대박</t>
  </si>
  <si>
    <t>서울특별시 서울 용산구 원효로83길 13-5, 102호</t>
  </si>
  <si>
    <t>02-718-8853</t>
  </si>
  <si>
    <t>먹깨비하우스</t>
  </si>
  <si>
    <t>서울특별시 서울 용산구 소월로20길 72</t>
  </si>
  <si>
    <t>02-779-1518</t>
  </si>
  <si>
    <t>닭도리탕</t>
  </si>
  <si>
    <t>오징어덮밥</t>
  </si>
  <si>
    <t>소앤돼지</t>
  </si>
  <si>
    <t>서울특별시 서울 서초구 강남대로95길 55</t>
  </si>
  <si>
    <t>한우된장전골</t>
  </si>
  <si>
    <t>돼지김치전골</t>
  </si>
  <si>
    <t>한우국밥</t>
  </si>
  <si>
    <t>돼지제육볶음</t>
  </si>
  <si>
    <t>한우불고기전골</t>
  </si>
  <si>
    <t>한우뚝배기불고기</t>
  </si>
  <si>
    <t>플로우</t>
  </si>
  <si>
    <t>서울특별시 서울 서초구 신반포로43길 45</t>
  </si>
  <si>
    <t>070-7779-5577</t>
  </si>
  <si>
    <t>에이드</t>
  </si>
  <si>
    <t>카모마일</t>
  </si>
  <si>
    <t>카푸치노,</t>
  </si>
  <si>
    <t>잠원정육도시락</t>
  </si>
  <si>
    <t>서울특별시 서울 서초구 잠원로4길 33-2</t>
  </si>
  <si>
    <t>02-535-0310</t>
  </si>
  <si>
    <t>삼겹보쌈</t>
  </si>
  <si>
    <t>돼지불고기</t>
  </si>
  <si>
    <t>카레</t>
  </si>
  <si>
    <t>오삼</t>
  </si>
  <si>
    <t>꿀꿀상회</t>
  </si>
  <si>
    <t>서울특별시 서울 서초구 나루터로15길 30-4</t>
  </si>
  <si>
    <t>02-546-1116</t>
  </si>
  <si>
    <t>치맛살(150g)</t>
  </si>
  <si>
    <t>오겹살(180g)</t>
  </si>
  <si>
    <t>생각비살(200g)</t>
  </si>
  <si>
    <t>뽈살(150g)</t>
  </si>
  <si>
    <t>덜미살(150g)</t>
  </si>
  <si>
    <t>은순이네 반찬가게</t>
  </si>
  <si>
    <t>서울특별시 서울 서초구 서초중앙로24길 43 지층114호(유원상가)</t>
  </si>
  <si>
    <t>02-501-5060</t>
  </si>
  <si>
    <t>장조림</t>
  </si>
  <si>
    <t>미소마을</t>
  </si>
  <si>
    <t>서울특별시 서울 서초구 강남대로41길 18</t>
  </si>
  <si>
    <t>02-584-9199</t>
  </si>
  <si>
    <t>해물순두부</t>
  </si>
  <si>
    <t>돈스라</t>
  </si>
  <si>
    <t>서울특별시 서울 서초구 강남대로39길 15-10</t>
  </si>
  <si>
    <t>02-521-4465</t>
  </si>
  <si>
    <t>매운돈까스</t>
  </si>
  <si>
    <t>왕에그돈까스</t>
  </si>
  <si>
    <t>에그후라이돈까스</t>
  </si>
  <si>
    <t>수제치킨까스</t>
  </si>
  <si>
    <t>수제등심돈까스</t>
  </si>
  <si>
    <t>매운에그후라이돈까스</t>
  </si>
  <si>
    <t>억불산</t>
  </si>
  <si>
    <t>서울특별시 서울 서초구 남부순환로347길 64</t>
  </si>
  <si>
    <t>02-587-0335</t>
  </si>
  <si>
    <t>오징어제육</t>
  </si>
  <si>
    <t>버섯불고기</t>
  </si>
  <si>
    <t>해물된장찌개</t>
  </si>
  <si>
    <t>제육쌈정식</t>
  </si>
  <si>
    <t>행복밥상</t>
  </si>
  <si>
    <t>서울특별시 서울 서초구 마방로10길 18-15</t>
  </si>
  <si>
    <t>02-536-8825</t>
  </si>
  <si>
    <t>웰빙비빔밥</t>
  </si>
  <si>
    <t>제육돌솥비빔밥</t>
  </si>
  <si>
    <t>자이헤어</t>
  </si>
  <si>
    <t>서울특별시 서울 광진구 광나루로52길 44-1</t>
  </si>
  <si>
    <t>02-457-9151</t>
  </si>
  <si>
    <t>한양세탁소</t>
  </si>
  <si>
    <t>서울특별시 서울 광진구 뚝섬로46길 34</t>
  </si>
  <si>
    <t>02-452-3769</t>
  </si>
  <si>
    <t>의복수선료</t>
  </si>
  <si>
    <t>윤선영헤어샵</t>
  </si>
  <si>
    <t>서울특별시 서울 광진구 영화사로 21-1</t>
  </si>
  <si>
    <t>02-454-9928</t>
  </si>
  <si>
    <t>학생 커트</t>
  </si>
  <si>
    <t>보리앤치킨</t>
  </si>
  <si>
    <t>서울특별시 서울 광진구 군자로 175</t>
  </si>
  <si>
    <t>치킨(후라이드)</t>
  </si>
  <si>
    <t>고은별</t>
  </si>
  <si>
    <t>서울특별시 서울 광진구 자양로 177</t>
  </si>
  <si>
    <t>02-453-4933</t>
  </si>
  <si>
    <t>또띠아(마요햄)</t>
  </si>
  <si>
    <t>치아비타</t>
  </si>
  <si>
    <t>샐러드</t>
  </si>
  <si>
    <t>헤어라인</t>
  </si>
  <si>
    <t>서울특별시 서울 광진구 광나루로30나길 6-1</t>
  </si>
  <si>
    <t>정은정헤어샵</t>
  </si>
  <si>
    <t>서울특별시 서울 광진구 자양로28길 10</t>
  </si>
  <si>
    <t>오목대</t>
  </si>
  <si>
    <t>서울특별시 서울 광진구 동일로80길 23</t>
  </si>
  <si>
    <t>02-433-6692</t>
  </si>
  <si>
    <t>영주머리방</t>
  </si>
  <si>
    <t>서울특별시 서울 광진구 긴고랑로36길 35</t>
  </si>
  <si>
    <t>02-458-7233</t>
  </si>
  <si>
    <t>양컷퍼드업헤어샵</t>
  </si>
  <si>
    <t>서울특별시 서울 광진구 뚝섬로 622-1, 2층</t>
  </si>
  <si>
    <t>02-454-4447</t>
  </si>
  <si>
    <t>석기시대짜장마을</t>
  </si>
  <si>
    <t>서울특별시 서울 광진구 군자로 111, 2층</t>
  </si>
  <si>
    <t>02-467-7123</t>
  </si>
  <si>
    <t>서승미헤어</t>
  </si>
  <si>
    <t>서울특별시 서울 광진구 용마산로24길 6</t>
  </si>
  <si>
    <t>02-456-0773</t>
  </si>
  <si>
    <t>파마(경로우대)</t>
  </si>
  <si>
    <t>서가네 쌈밥</t>
  </si>
  <si>
    <t>서울특별시 서울 광진구 면목로17길 40</t>
  </si>
  <si>
    <t>02-432-3937</t>
  </si>
  <si>
    <t>미도미용실</t>
  </si>
  <si>
    <t>서울특별시 서울 광진구 긴고랑로 149</t>
  </si>
  <si>
    <t>02-458-0916</t>
  </si>
  <si>
    <t>무병장수한방삼계탕</t>
  </si>
  <si>
    <t>서울특별시 서울 광진구 자양번영로 65</t>
  </si>
  <si>
    <t>02-444-9988</t>
  </si>
  <si>
    <t>영미용실</t>
  </si>
  <si>
    <t>서울특별시 은평구 진흥로13길 8, 1층(대조동)</t>
  </si>
  <si>
    <t>02-352-6675</t>
  </si>
  <si>
    <t>천이오겹살</t>
  </si>
  <si>
    <t>서울특별시 서울 마포구 양화로7길 12</t>
  </si>
  <si>
    <t>02-325-2920</t>
  </si>
  <si>
    <t>오겹살(150g)</t>
  </si>
  <si>
    <t>삼겹살(150g)</t>
  </si>
  <si>
    <t>나인미용실</t>
  </si>
  <si>
    <t>서울특별시 서울 마포구 월드컵로32길 9</t>
  </si>
  <si>
    <t>02-333-7298</t>
  </si>
  <si>
    <t>홍헤어샵</t>
  </si>
  <si>
    <t>서울특별시 서울 중랑구 상봉중앙로6길 17</t>
  </si>
  <si>
    <t>한밀청년밥상</t>
  </si>
  <si>
    <t>서울특별시 서울 중랑구 동일로140길 15</t>
  </si>
  <si>
    <t>0507-1388-3409</t>
  </si>
  <si>
    <t>02-2282-3043</t>
  </si>
  <si>
    <t>경동식당</t>
  </si>
  <si>
    <t>서울특별시 서울 동대문구 고산자로36길 3, 지하1층 (제기동)</t>
  </si>
  <si>
    <t>02-965-0621</t>
  </si>
  <si>
    <t>영칼국수</t>
  </si>
  <si>
    <t>서울특별시 동대문구 답십리로51길 10 (답십리동)</t>
  </si>
  <si>
    <t>02-2213-0994</t>
  </si>
  <si>
    <t>도토리군 버섯양</t>
  </si>
  <si>
    <t>서울특별시 서울 동대문구 전농로 222 (전농동)</t>
  </si>
  <si>
    <t>02-2212-2468</t>
  </si>
  <si>
    <t>등심칼국수</t>
  </si>
  <si>
    <t>명물식당</t>
  </si>
  <si>
    <t>서울특별시 서울 동대문구 답십리로51길 8-4 (답십리동)</t>
  </si>
  <si>
    <t>02-2212-4039</t>
  </si>
  <si>
    <t>보리랑</t>
  </si>
  <si>
    <t>서울특별시 서울 동대문구 답십리로51길 20-2 (답십리동)</t>
  </si>
  <si>
    <t>02-3390-4980</t>
  </si>
  <si>
    <t>전주곰탕</t>
  </si>
  <si>
    <t>서울특별시 서울 동대문구 답십리로51길 15-12 (답십리동)</t>
  </si>
  <si>
    <t>02-2249-3399</t>
  </si>
  <si>
    <t>소머리국밥</t>
  </si>
  <si>
    <t>도가니탕</t>
  </si>
  <si>
    <t>원준왕냉면</t>
  </si>
  <si>
    <t>서울특별시 성북구 장위로38길 67</t>
  </si>
  <si>
    <t>02-915-0820</t>
  </si>
  <si>
    <t>청년밥상 문간</t>
  </si>
  <si>
    <t>서울특별시 성북구 보국문로11길 18-2, 2층</t>
  </si>
  <si>
    <t>0507-1349-6952</t>
  </si>
  <si>
    <t>사리</t>
  </si>
  <si>
    <t>병규네부대찌개</t>
  </si>
  <si>
    <t>서울특별시 서울 구로구 오류로8길 87</t>
  </si>
  <si>
    <t>02-2060-9095</t>
  </si>
  <si>
    <t xml:space="preserve">순두부 부대찌개 </t>
  </si>
  <si>
    <t>우삼겹 부대찌개</t>
  </si>
  <si>
    <t>명가추어탕보리밥</t>
  </si>
  <si>
    <t>서울특별시 성북구 오패산로 6-9</t>
  </si>
  <si>
    <t>02-916-4443</t>
  </si>
  <si>
    <t>보리밥</t>
  </si>
  <si>
    <t>마포숯불갈비</t>
  </si>
  <si>
    <t>서울특별시 성북구 보문로40길 1</t>
  </si>
  <si>
    <t>02-925-1964</t>
  </si>
  <si>
    <t>돼지갈비(300g)</t>
  </si>
  <si>
    <t>도이칠란드 박</t>
  </si>
  <si>
    <t>서울특별시 성북구 솔샘로6길 30-15, 1층</t>
  </si>
  <si>
    <t>0507-1335-4532</t>
  </si>
  <si>
    <t xml:space="preserve"> 잠봉프로마쥬샌드위치 </t>
  </si>
  <si>
    <t>잠봉뵈르샌드위치</t>
  </si>
  <si>
    <t>진미정</t>
  </si>
  <si>
    <t>서울특별시 서울 관악구 남부순환로141길 14</t>
  </si>
  <si>
    <t>02-868-1206</t>
  </si>
  <si>
    <t>감쪽같이</t>
  </si>
  <si>
    <t>서울특별시 서울 관악구 조원로16길 33, 101호</t>
  </si>
  <si>
    <t>02-859-1616</t>
  </si>
  <si>
    <t>진헤어샵</t>
  </si>
  <si>
    <t>서울특별시 서울 서대문구 거북골로16길 5, 1층</t>
  </si>
  <si>
    <t>02-305-7767</t>
  </si>
  <si>
    <t>미스터 갈매기</t>
  </si>
  <si>
    <t>서울특별시 서울 서대문구 세검정로1길 126, 1층</t>
  </si>
  <si>
    <t>02-391-0776</t>
  </si>
  <si>
    <t>왕갈비(300g)</t>
  </si>
  <si>
    <t>갈매기살(400g)</t>
  </si>
  <si>
    <t>미성이용원</t>
  </si>
  <si>
    <t>서울특별시 서울 서대문구 명지대3길 48</t>
  </si>
  <si>
    <t>02-3142-3396</t>
  </si>
  <si>
    <t>이발면도세발</t>
  </si>
  <si>
    <t>세발</t>
  </si>
  <si>
    <t>성인커트</t>
  </si>
  <si>
    <t>02-702-2007</t>
  </si>
  <si>
    <t>피자(마르게리따)</t>
  </si>
  <si>
    <t>파스타(토마토,알리오올리오,크림)</t>
  </si>
  <si>
    <t>코끼리식당</t>
  </si>
  <si>
    <t>서울특별시 강동구 천호대로176길33</t>
  </si>
  <si>
    <t>02-486-1822</t>
  </si>
  <si>
    <t>김치찌개 등 전품목</t>
  </si>
  <si>
    <t>비니거니 치킨호프</t>
  </si>
  <si>
    <t>서울특별시 서울 양천구 중앙로46길 20-1</t>
  </si>
  <si>
    <t>02-2690-8779</t>
  </si>
  <si>
    <t>간장치킨</t>
  </si>
  <si>
    <t>허브 후라이드 치킨</t>
  </si>
  <si>
    <t>양념치킨</t>
  </si>
  <si>
    <t>마포갈비</t>
  </si>
  <si>
    <t>서울특별시 강남구 남부순환로361길 6 1층</t>
  </si>
  <si>
    <t>02-3462-9955</t>
  </si>
  <si>
    <t>돼지갈비(250g)</t>
  </si>
  <si>
    <t>정원식당</t>
  </si>
  <si>
    <t>서울특별시 강남구 논현로 507 성지하이츠3차빌딩 B1</t>
  </si>
  <si>
    <t>0507-1410-1235</t>
  </si>
  <si>
    <t>강남불고기</t>
  </si>
  <si>
    <t>서울특별시 강남구 테헤란로 25길 20 (현대벤처텔) 210호</t>
  </si>
  <si>
    <t>02-552-6464</t>
  </si>
  <si>
    <t>옛맛서울불고기(250g)</t>
  </si>
  <si>
    <t>송송카레</t>
  </si>
  <si>
    <t>서울특별시 강남구 역삼로 207</t>
  </si>
  <si>
    <t>02-553-0527</t>
  </si>
  <si>
    <t xml:space="preserve">치즈 카레 </t>
  </si>
  <si>
    <t>고로케 카레</t>
  </si>
  <si>
    <t>잔디불</t>
  </si>
  <si>
    <t>서울특별시 서울 도봉구 도봉로156길 8</t>
  </si>
  <si>
    <t>02-955-9292</t>
  </si>
  <si>
    <t>자기연출</t>
  </si>
  <si>
    <t>서울특별시 서울 도봉구 삼양로154길 33</t>
  </si>
  <si>
    <t>02-991-6085</t>
  </si>
  <si>
    <t>버들미용실</t>
  </si>
  <si>
    <t>서울특별시 서울 도봉구 도당로13길 49</t>
  </si>
  <si>
    <t>상미김밥</t>
  </si>
  <si>
    <t>서울특별시 은평구 응암로4길 18-26(응암동)</t>
  </si>
  <si>
    <t>02-307-1140</t>
  </si>
  <si>
    <t>주먹밥</t>
  </si>
  <si>
    <t>커피앤</t>
  </si>
  <si>
    <t>서울특별시 은평구 통일로63길 6(녹번동)</t>
  </si>
  <si>
    <t>02-358-7090</t>
  </si>
  <si>
    <t>장수칼국수와돈까스</t>
  </si>
  <si>
    <t>서울특별시 은평구 통일로87길 6-11(갈현동)</t>
  </si>
  <si>
    <t>02-354-7676</t>
  </si>
  <si>
    <t>국가대표칼국수</t>
  </si>
  <si>
    <t>서울특별시 은평구 연서로6길 22(역촌동)</t>
  </si>
  <si>
    <t xml:space="preserve"> 02-6956-1518</t>
  </si>
  <si>
    <t>만두</t>
  </si>
  <si>
    <t>돈꾹</t>
  </si>
  <si>
    <t>서울특별시 은평구 진흥로1길 8(역촌동)</t>
  </si>
  <si>
    <t>02-383-6110</t>
  </si>
  <si>
    <t>민정이네</t>
  </si>
  <si>
    <t>서울특별시 중구 만리재로 37길 21(만리동1가)</t>
  </si>
  <si>
    <t>02-312-1420</t>
  </si>
  <si>
    <t>모범이용원</t>
  </si>
  <si>
    <t>서울특별시 서울 영등포구 영등포로47길 5  1층</t>
  </si>
  <si>
    <t>신동아이발</t>
  </si>
  <si>
    <t>서울특별시 서울 영등포구 영등포로12길 8 상가지층3호</t>
  </si>
  <si>
    <t>02-2631-4632</t>
  </si>
  <si>
    <t>다시사랑한다면</t>
  </si>
  <si>
    <t>서울특별시 강남구 역삼동 언주로 407</t>
  </si>
  <si>
    <t>02-555-0451</t>
  </si>
  <si>
    <t>국밥</t>
  </si>
  <si>
    <t>닭국수</t>
  </si>
  <si>
    <t xml:space="preserve">잔치국수 </t>
  </si>
  <si>
    <t>미테리언육식주의자</t>
  </si>
  <si>
    <t>서울특별시 강남구 역삼동 역삼로8길 5</t>
  </si>
  <si>
    <t>0507-1325-2238</t>
  </si>
  <si>
    <t>와규꽃등심(150g)</t>
  </si>
  <si>
    <t>토시살(150g)</t>
  </si>
  <si>
    <t>소갈비살(150g)</t>
  </si>
  <si>
    <t>고불초삼겹</t>
  </si>
  <si>
    <t>서울특별시 강남구 역삼동 도곡로7길 25 2층</t>
  </si>
  <si>
    <t>02-563-6417</t>
  </si>
  <si>
    <t>가브리살(150g)</t>
  </si>
  <si>
    <t>목살(180g)</t>
  </si>
  <si>
    <t>생삼겹살(180g)</t>
  </si>
  <si>
    <t>돈바치</t>
  </si>
  <si>
    <t>서울특별시 강남구 개포동 개포로 250 103호</t>
  </si>
  <si>
    <t>070-7778-8300</t>
  </si>
  <si>
    <t>카츠동</t>
  </si>
  <si>
    <t>서울특별시 강남구 개포동개포로 109길 5 106호</t>
  </si>
  <si>
    <t>02-451-8886</t>
  </si>
  <si>
    <t>칼만두</t>
  </si>
  <si>
    <t>대청분식</t>
  </si>
  <si>
    <t>서울특별시 강남구 개포동 개포로 621 B102호</t>
  </si>
  <si>
    <t>02-2226-2928</t>
  </si>
  <si>
    <t>등심돈까스</t>
  </si>
  <si>
    <t>어묵우동</t>
  </si>
  <si>
    <t>청년밥상문간 이화여자대학교점</t>
  </si>
  <si>
    <t>서울특별시 서울 서대문구 이화여대길 52-39 지하1층</t>
  </si>
  <si>
    <t>0507-1344-6031</t>
  </si>
  <si>
    <t>사리류(라면,스팸,두부)</t>
  </si>
  <si>
    <t>박연헤어</t>
  </si>
  <si>
    <t>서울특별시 서울 도봉구 마들로 573</t>
  </si>
  <si>
    <t>02-900-0838</t>
  </si>
  <si>
    <t>블루컷트</t>
  </si>
  <si>
    <t>서울특별시 서울 도봉구 해등로 255</t>
  </si>
  <si>
    <t>02-999-6922</t>
  </si>
  <si>
    <t>우이목장</t>
  </si>
  <si>
    <t>서울특별시 서울 도봉구 우이천로 298</t>
  </si>
  <si>
    <t>02-904-3070</t>
  </si>
  <si>
    <t>된장찌개 백반</t>
  </si>
  <si>
    <t>착한부대찌개</t>
  </si>
  <si>
    <t>서울특별시 서울 도봉구 도봉로109길 46</t>
  </si>
  <si>
    <t>02-902-0191</t>
  </si>
  <si>
    <t>홍방원</t>
  </si>
  <si>
    <t>서울특별시 서울 도봉구 도봉로169나길 47(도봉동)</t>
  </si>
  <si>
    <t>02-954-0719</t>
  </si>
  <si>
    <t>뽀빠이포토스튜디오 원</t>
  </si>
  <si>
    <t>서울특별시 서울 도봉구 도당로13길 50</t>
  </si>
  <si>
    <t>02-955-3795</t>
  </si>
  <si>
    <t>인화료</t>
  </si>
  <si>
    <t>일광사</t>
  </si>
  <si>
    <t>서울특별시 중구 다산로33다길 29 (신당동)</t>
  </si>
  <si>
    <t>02-2238-6492</t>
  </si>
  <si>
    <t>하의 드라이클리닝</t>
  </si>
  <si>
    <t>겨울코트 세탁</t>
  </si>
  <si>
    <t>상의 드라이클리닝</t>
  </si>
  <si>
    <t>바지수선</t>
  </si>
  <si>
    <t>오늘우리집비어</t>
  </si>
  <si>
    <t>서울특별시 서울 중랑구 용마산로115길 109, 지1층</t>
  </si>
  <si>
    <t>0507-1469-0613</t>
  </si>
  <si>
    <t>쿨맨헤어</t>
  </si>
  <si>
    <t>서울특별시 은평구 서오릉로 79(역촌동)</t>
  </si>
  <si>
    <t>02-308-7161</t>
  </si>
  <si>
    <t>은평닭곰탕</t>
  </si>
  <si>
    <t>서울특별시 은평구 연서로3길 5(역촌동)</t>
  </si>
  <si>
    <t>0507-1360-2038</t>
  </si>
  <si>
    <t>역촌동 멸치국수</t>
  </si>
  <si>
    <t>서울특별시 은평구 역말로 24(역촌동)</t>
  </si>
  <si>
    <t>02-356-5903</t>
  </si>
  <si>
    <t>솥뚜껑</t>
  </si>
  <si>
    <t>서울특별시 은평구 연서로29길 11(갈현동)</t>
  </si>
  <si>
    <t>02-354-9282</t>
  </si>
  <si>
    <t>양구손두부</t>
  </si>
  <si>
    <t>서울특별시 은평구 통일로83길 5-21(갈현동)</t>
  </si>
  <si>
    <t>02-353-7185</t>
  </si>
  <si>
    <t>두부(보쌈)정식</t>
  </si>
  <si>
    <t>서울특별시 은평구 갈현로 302-7(갈현동)</t>
  </si>
  <si>
    <t>우경촌</t>
  </si>
  <si>
    <t>서울특별시 은평구 통일로78길 4-4(불광동)</t>
  </si>
  <si>
    <t>02-382-1236</t>
  </si>
  <si>
    <t>(점심)양념게장백반</t>
  </si>
  <si>
    <t>(점심)게장백반</t>
  </si>
  <si>
    <t>서울특별시 은평구 은평로 119, 2층(응암동)</t>
  </si>
  <si>
    <t>02-359-8988</t>
  </si>
  <si>
    <t>OK스시</t>
  </si>
  <si>
    <t>서울특별시 은평구 응암로4길 22, 102호(응암동)</t>
  </si>
  <si>
    <t>02-389-9888</t>
  </si>
  <si>
    <t>모듬회</t>
  </si>
  <si>
    <t>OK초밥</t>
  </si>
  <si>
    <t>시장냉면</t>
  </si>
  <si>
    <t>서울특별시 은평구 응암로22길 5-17(응암동)</t>
  </si>
  <si>
    <t>02-387-1434</t>
  </si>
  <si>
    <t>전주집</t>
  </si>
  <si>
    <t>서울특별시 서울 마포구 큰우물로 75 지하1층</t>
  </si>
  <si>
    <t>02-716-4872</t>
  </si>
  <si>
    <t>국산콩비지</t>
  </si>
  <si>
    <t>사루카메</t>
  </si>
  <si>
    <t>서울특별시 서울 마포구 연남로 15 1층</t>
  </si>
  <si>
    <t>스태미너덮밥</t>
  </si>
  <si>
    <t>사와칵테일</t>
  </si>
  <si>
    <t>사루라멘</t>
  </si>
  <si>
    <t>동일이용원</t>
  </si>
  <si>
    <t>서울특별시 서울 마포구 성미산로1길 30</t>
  </si>
  <si>
    <t>02-333-0771</t>
  </si>
  <si>
    <t>면도</t>
  </si>
  <si>
    <t>은경미용실</t>
  </si>
  <si>
    <t>서울특별시 서울 마포구 월드컵로28길 6</t>
  </si>
  <si>
    <t>02-334-6262</t>
  </si>
  <si>
    <t>태양미용실</t>
  </si>
  <si>
    <t>서울특별시 서울 마포구 월드컵북로 207</t>
  </si>
  <si>
    <t>02-375-3912</t>
  </si>
  <si>
    <t>현 미용실</t>
  </si>
  <si>
    <t>서울특별시 서울 마포구 성미산로1길 5</t>
  </si>
  <si>
    <t>조은칼라</t>
  </si>
  <si>
    <t>서울특별시 서울 마포구 월드컵북로 230</t>
  </si>
  <si>
    <t>02-375-7755</t>
  </si>
  <si>
    <t>촬영료</t>
  </si>
  <si>
    <t>인화료(장당)</t>
  </si>
  <si>
    <t>카페매일이기념일</t>
  </si>
  <si>
    <t>서울특별시 서울 도봉구 우이천로24길 69</t>
  </si>
  <si>
    <t>엄마가</t>
  </si>
  <si>
    <t>서울특별시 관악구 신림로 280, 1층(신림동)</t>
  </si>
  <si>
    <t>0507-1308-2634</t>
  </si>
  <si>
    <t>바른꽈배기</t>
  </si>
  <si>
    <t>서울특별시 관악구 은천로 92, 103호(봉천동)</t>
  </si>
  <si>
    <t>02-877-7863</t>
  </si>
  <si>
    <t>핫도그</t>
  </si>
  <si>
    <t>꽈배기(3개)</t>
  </si>
  <si>
    <t>명태본가</t>
  </si>
  <si>
    <t>서울특별시 서울 구로구 구로중앙로19길 20</t>
  </si>
  <si>
    <t>02-861-0303</t>
  </si>
  <si>
    <t>명태조림(2인이상)</t>
  </si>
  <si>
    <t>고창국수</t>
  </si>
  <si>
    <t xml:space="preserve">서울특별시 서울 구로구 디지털로33길 48 대륭포스트타워7차 B108호 </t>
  </si>
  <si>
    <t>0507-1415-7751</t>
  </si>
  <si>
    <t>윤경이네</t>
  </si>
  <si>
    <t xml:space="preserve">서울특별시 서울 구로구 도림로 36 지층 </t>
  </si>
  <si>
    <t>02-854-4956</t>
  </si>
  <si>
    <t xml:space="preserve">된장찌개 </t>
  </si>
  <si>
    <t>포에리얼 떡볶이</t>
  </si>
  <si>
    <t xml:space="preserve">서울특별시 서울 구로구 경인로 403 A동 105호 </t>
  </si>
  <si>
    <t>02-2619-7827</t>
  </si>
  <si>
    <t>꿀꿀이생고기맛집</t>
  </si>
  <si>
    <t>서울특별시 서울 구로구 중앙로 32</t>
  </si>
  <si>
    <t>02-2686-2049</t>
  </si>
  <si>
    <t>생삼겹살</t>
  </si>
  <si>
    <t>생오겹살</t>
  </si>
  <si>
    <t>이펜세탁소</t>
  </si>
  <si>
    <t>서울특별시 서울 구로구 천왕로 10 천왕이펜하우스 5단지 상가 101호</t>
  </si>
  <si>
    <t>0507-1322-6703</t>
  </si>
  <si>
    <t>바지드라이</t>
  </si>
  <si>
    <t>와이셔츠 드라이</t>
  </si>
  <si>
    <t>양복드라이</t>
  </si>
  <si>
    <t>행촌</t>
  </si>
  <si>
    <t>서울특별시 서울 도봉구 우이천로34길 10</t>
  </si>
  <si>
    <t>02-902-5688</t>
  </si>
  <si>
    <t>남성이용원</t>
  </si>
  <si>
    <t>서울특별시 서울 도봉구 도봉로109길 35-27</t>
  </si>
  <si>
    <t>쌍문이용원</t>
  </si>
  <si>
    <t>서울특별시 서울 도봉구 방학로3길 108</t>
  </si>
  <si>
    <t>02-990-6800</t>
  </si>
  <si>
    <t>이지헤어</t>
  </si>
  <si>
    <t>서울특별시 서울 도봉구 도봉로130길 31</t>
  </si>
  <si>
    <t>염색,파마</t>
  </si>
  <si>
    <t>서울미용실</t>
  </si>
  <si>
    <t>서울특별시 서울 도봉구 시루봉로 56</t>
  </si>
  <si>
    <t>02-999-3147</t>
  </si>
  <si>
    <t>도깨비머리방</t>
  </si>
  <si>
    <t>서울특별시 서울 도봉구 방학로6가길 76</t>
  </si>
  <si>
    <t>02-3494-4724</t>
  </si>
  <si>
    <t>커트(성인)</t>
  </si>
  <si>
    <t>커트(경로우대)</t>
  </si>
  <si>
    <t>서울진우동덮밥</t>
  </si>
  <si>
    <t>서울특별시 강동구 성내로 11,107호</t>
  </si>
  <si>
    <t>070-8779-3215</t>
  </si>
  <si>
    <t>온우동</t>
  </si>
  <si>
    <t>미소분식</t>
  </si>
  <si>
    <t>서울특별시 강동구 성내로3가길 7, 1층(성내동)</t>
  </si>
  <si>
    <t>02-474-2884</t>
  </si>
  <si>
    <t>아침국밥</t>
  </si>
  <si>
    <t>세아이용원</t>
  </si>
  <si>
    <t>서울특별시 강동구 천중로27-18 104호</t>
  </si>
  <si>
    <t>　</t>
  </si>
  <si>
    <t>경희사</t>
  </si>
  <si>
    <t>서울특별시 서울 동작구 서달로10길 16</t>
  </si>
  <si>
    <t>02-812-3947</t>
  </si>
  <si>
    <t>남원추어탕</t>
  </si>
  <si>
    <t>서울특별시 동작구 여의대방로 250, 지하1층 14호</t>
  </si>
  <si>
    <t>02-812-2047</t>
  </si>
  <si>
    <t>섬마을일식</t>
  </si>
  <si>
    <t>서울특별시 동작구 여의대방로 22, 지하1층 14호</t>
  </si>
  <si>
    <t>02-848-2199</t>
  </si>
  <si>
    <t>모듬초밥10pcs</t>
  </si>
  <si>
    <t>신대방대박찹쌀꽈배기</t>
  </si>
  <si>
    <t>서울특별시 동작구 신대방길 105</t>
  </si>
  <si>
    <t>02-848-0307</t>
  </si>
  <si>
    <t>꽈배기3개</t>
  </si>
  <si>
    <t>상도칼국수</t>
  </si>
  <si>
    <t>서울특별시 동작구 성대로 40</t>
  </si>
  <si>
    <t>0507-1316-8896</t>
  </si>
  <si>
    <t>동가보쌈</t>
  </si>
  <si>
    <t>서울특별시 서울 동작구 성대로6길 10</t>
  </si>
  <si>
    <t>02-3280-3023</t>
  </si>
  <si>
    <t>이가떡방</t>
  </si>
  <si>
    <t>서울특별시 동작구 국사봉1길 70</t>
  </si>
  <si>
    <t>0507-1402-2388</t>
  </si>
  <si>
    <t>떡1팩</t>
  </si>
  <si>
    <t>남원추어탕아구찜</t>
  </si>
  <si>
    <t>서울특별시 동작구 사당로29길 1</t>
  </si>
  <si>
    <t>02-595-4271</t>
  </si>
  <si>
    <t>명동국수</t>
  </si>
  <si>
    <t>서울특별시 동작구 상도로41길 12</t>
  </si>
  <si>
    <t>02-813-0402</t>
  </si>
  <si>
    <t>소고기국수</t>
  </si>
  <si>
    <t>서울특별시 동작구 장승배기로27길 7-1</t>
  </si>
  <si>
    <t>02-813-8081</t>
  </si>
  <si>
    <t>돼지갈비250g(국내산)</t>
  </si>
  <si>
    <t>행운이발관</t>
  </si>
  <si>
    <t>서울특별시 노원구 화랑로449, 2층1호(공릉동)</t>
  </si>
  <si>
    <t>연스튜디오</t>
  </si>
  <si>
    <t>서울특별시 서울 금천구 시흥대로 190</t>
  </si>
  <si>
    <t>02-802-0286</t>
  </si>
  <si>
    <t>여권, 증명사진</t>
  </si>
  <si>
    <t>알리파스타</t>
  </si>
  <si>
    <t>서울특별시 강남구 논현로 151길 29 1층</t>
  </si>
  <si>
    <t>0507-1378-1125</t>
  </si>
  <si>
    <t>클래식</t>
  </si>
  <si>
    <t>통새우볶음밥</t>
  </si>
  <si>
    <t>선자네</t>
  </si>
  <si>
    <t>서울특별시 서울 마포구 잔다리로 131 1층</t>
  </si>
  <si>
    <t>02-326-5151</t>
  </si>
  <si>
    <t>된장찌개백반</t>
  </si>
  <si>
    <t>김치찌개백반</t>
  </si>
  <si>
    <t>명품헤어샵</t>
  </si>
  <si>
    <t>서울특별시 서울 마포구 월드컵로23길 25</t>
  </si>
  <si>
    <t>02-3141-2989</t>
  </si>
  <si>
    <t>현미프로헤어</t>
  </si>
  <si>
    <t>서울특별시 서울 성동구 무학봉15길 17-1</t>
  </si>
  <si>
    <t>02-2281-3040</t>
  </si>
  <si>
    <t>펌(경로)</t>
  </si>
  <si>
    <t>커트(경로)</t>
  </si>
  <si>
    <t>서울특별시 서울 성동구 무학봉15가길 1</t>
  </si>
  <si>
    <t>02-2295-0517</t>
  </si>
  <si>
    <t>백반(점심)</t>
  </si>
  <si>
    <t>간장게장</t>
  </si>
  <si>
    <t>고시칼국수</t>
  </si>
  <si>
    <t>서울특별시 서울 관악구 신림로18가길 42</t>
  </si>
  <si>
    <t>070-7803-0001</t>
  </si>
  <si>
    <t>마마떼</t>
  </si>
  <si>
    <t>서울특별시 서울 관악구 대학6길 36, 1층</t>
  </si>
  <si>
    <t>02-887-6262</t>
  </si>
  <si>
    <t>황태사랑</t>
  </si>
  <si>
    <t>서울특별시 강남구 테헤란로 322 지하2층</t>
  </si>
  <si>
    <t>02-2183-1005</t>
  </si>
  <si>
    <t>황태들깨미역국</t>
  </si>
  <si>
    <t>삼탱이시래기밥</t>
  </si>
  <si>
    <t>02-2183-3078</t>
  </si>
  <si>
    <t>들깨시래기국밥</t>
  </si>
  <si>
    <t>들깨미역국밥</t>
  </si>
  <si>
    <t>시래기밥정식</t>
  </si>
  <si>
    <t>명가 홍삼을담다</t>
  </si>
  <si>
    <t>서울특별시 서울 양천구 남부순환로69길 13</t>
  </si>
  <si>
    <t>02-2699-2516</t>
  </si>
  <si>
    <t>로데헤어 망원점</t>
  </si>
  <si>
    <t>서울특별시 서울 마포구 월드컵로31길 48, 1층</t>
  </si>
  <si>
    <t>02-704-8289</t>
  </si>
  <si>
    <t>소정한식</t>
  </si>
  <si>
    <t>서울특별시 서울 마포구 성산로 128, 지하1층</t>
  </si>
  <si>
    <t>02-336-4897</t>
  </si>
  <si>
    <t>부산미용</t>
  </si>
  <si>
    <t>서울특별시 서울 마포구 숭문길 186</t>
  </si>
  <si>
    <t>자유느낌헤어클럽</t>
  </si>
  <si>
    <t>서울특별시 서울 마포구 광성로6길 8</t>
  </si>
  <si>
    <t>02-719-1104</t>
  </si>
  <si>
    <t>한화세탁</t>
  </si>
  <si>
    <t>서울특별시 서울 마포구 마포대로 33</t>
  </si>
  <si>
    <t>02-706-6603</t>
  </si>
  <si>
    <t>일일사</t>
  </si>
  <si>
    <t>서울특별시 서울 마포구 대흥로9길 28, 1층</t>
  </si>
  <si>
    <t>02-715-5728</t>
  </si>
  <si>
    <t>수도미용실</t>
  </si>
  <si>
    <t>서울특별시 서울 마포구 굴레방로7길 26</t>
  </si>
  <si>
    <t>로뎀헤어</t>
  </si>
  <si>
    <t>서울특별시 서울 마포구 숭문길 217</t>
  </si>
  <si>
    <t>02-713-7228</t>
  </si>
  <si>
    <t>준헤어필</t>
  </si>
  <si>
    <t>서울특별시 서울 마포구 월드컵북로 125, 1층</t>
  </si>
  <si>
    <t>02-332-5532</t>
  </si>
  <si>
    <t>옛날무쇠가마솥</t>
  </si>
  <si>
    <t>서울특별시 서울 마포구 서강로1길 12-5, 1층</t>
  </si>
  <si>
    <t>02-323-7098</t>
  </si>
  <si>
    <t>만두의정석</t>
  </si>
  <si>
    <t>서울특별시 동작구 국사봉1길 45, 103호</t>
  </si>
  <si>
    <t>02-6349-6349</t>
  </si>
  <si>
    <t>고기만두(5개)</t>
  </si>
  <si>
    <t>옛날찐빵</t>
  </si>
  <si>
    <t>황금오리</t>
  </si>
  <si>
    <t>서울특별시 동작구 신대방길 112-2</t>
  </si>
  <si>
    <t>02-831-6787</t>
  </si>
  <si>
    <t>일이삼식당</t>
  </si>
  <si>
    <t>서울특별시 동작구 흑석로13마길 65-3, 1층</t>
  </si>
  <si>
    <t>02-814-6961</t>
  </si>
  <si>
    <t>그린사</t>
  </si>
  <si>
    <t>서울특별시 동작구 사당로14길 63</t>
  </si>
  <si>
    <t>02-3472-6974</t>
  </si>
  <si>
    <t>모아크리닝</t>
  </si>
  <si>
    <t>서울특별시 동작구 사당로26길 106, 1층</t>
  </si>
  <si>
    <t>02-585-0245</t>
  </si>
  <si>
    <t>최신이용원</t>
  </si>
  <si>
    <t>서울특별시 동작구 사당로23아길 6</t>
  </si>
  <si>
    <t>고투콜라헤어</t>
  </si>
  <si>
    <t>서울특별시 동작구 사당로2차길 72</t>
  </si>
  <si>
    <t>02-586-5080</t>
  </si>
  <si>
    <t>삼락</t>
  </si>
  <si>
    <t>서울특별시 동작구 여의대방로36길 10-11</t>
  </si>
  <si>
    <t>02-812-6741</t>
  </si>
  <si>
    <t>실비촌</t>
  </si>
  <si>
    <t>서울특별시 동작구 여의대방로 250, 105호(대림쇼핑타운)</t>
  </si>
  <si>
    <t>02-816-5595</t>
  </si>
  <si>
    <t>칡물냉면</t>
  </si>
  <si>
    <t>태원</t>
  </si>
  <si>
    <t>서울특별시 동작구 등용로 81, 1층</t>
  </si>
  <si>
    <t>02-815-5155</t>
  </si>
  <si>
    <t>호순네집</t>
  </si>
  <si>
    <t>서울특별시 동작구 등용로 107, 1층</t>
  </si>
  <si>
    <t>02-812-9185</t>
  </si>
  <si>
    <t>정가네밥상</t>
  </si>
  <si>
    <t>서울특별시 동작구 노량진로10길 28, 1층</t>
  </si>
  <si>
    <t>070-7576-0729</t>
  </si>
  <si>
    <t>황토정</t>
  </si>
  <si>
    <t>서울특별시 동작구 서달로13길 5-23</t>
  </si>
  <si>
    <t>02-814-4467</t>
  </si>
  <si>
    <t>준호네부대찌개</t>
  </si>
  <si>
    <t>서울특별시 동작구 흑석로13마길 61, 1층</t>
  </si>
  <si>
    <t>02-6083-8247</t>
  </si>
  <si>
    <t>남매이야기</t>
  </si>
  <si>
    <t>서울특별시 동작구 현충로 102, 1층</t>
  </si>
  <si>
    <t>02-813-2399</t>
  </si>
  <si>
    <t>산천칡냉면</t>
  </si>
  <si>
    <t>서울특별시 동작구 사당로12길 2, 2층</t>
  </si>
  <si>
    <t>02-3472-2849</t>
  </si>
  <si>
    <t>칡비빔냉면</t>
  </si>
  <si>
    <t>마포곱창</t>
  </si>
  <si>
    <t>서울특별시 동작구 사당로 185</t>
  </si>
  <si>
    <t>02-532-9171</t>
  </si>
  <si>
    <t>막창(300g)</t>
  </si>
  <si>
    <t>모듬곱창(250g)</t>
  </si>
  <si>
    <t>고향갈비</t>
  </si>
  <si>
    <t>서울특별시 동작구 노량진로18길 13</t>
  </si>
  <si>
    <t>02-813-3033</t>
  </si>
  <si>
    <t>달길포차</t>
  </si>
  <si>
    <t>서울특별시 동작구 사당로30길 63, 1층</t>
  </si>
  <si>
    <t>0507-1467-1321</t>
  </si>
  <si>
    <t>계단집</t>
  </si>
  <si>
    <t>서울특별시 동작구 현충로 94, 2층</t>
  </si>
  <si>
    <t>02-821-9867</t>
  </si>
  <si>
    <t>오겹살(160g)</t>
  </si>
  <si>
    <t>이화세탁소</t>
  </si>
  <si>
    <t>서울특별시 동작구 장승배기로 26, 107호(현대아파트 상가동)</t>
  </si>
  <si>
    <t>02-814-2677</t>
  </si>
  <si>
    <t>백양명품세탁</t>
  </si>
  <si>
    <t>서울특별시 동작구 여의대방로22아길 30</t>
  </si>
  <si>
    <t>02-816-9277</t>
  </si>
  <si>
    <t>우성세탁소</t>
  </si>
  <si>
    <t>서울특별시 동작구 노량진로28길 14</t>
  </si>
  <si>
    <t>02-814-6462</t>
  </si>
  <si>
    <t>빗과결사이</t>
  </si>
  <si>
    <t>서울특별시 동작구 등용로 102</t>
  </si>
  <si>
    <t>02-812-5108</t>
  </si>
  <si>
    <t>서울특별시 동작구 동작대로35길 13</t>
  </si>
  <si>
    <t>02-532-0553</t>
  </si>
  <si>
    <t>조현호미용실</t>
  </si>
  <si>
    <t>서울특별시 동작구 현충로14길 8</t>
  </si>
  <si>
    <t>02-822-5142</t>
  </si>
  <si>
    <t>신지헤어샵</t>
  </si>
  <si>
    <t>서울특별시 동작구 성대로1길 17</t>
  </si>
  <si>
    <t>02-815-3090</t>
  </si>
  <si>
    <t>미화미용실</t>
  </si>
  <si>
    <t>서울특별시 동작구 노량진로12길 44</t>
  </si>
  <si>
    <t>02-813-1105</t>
  </si>
  <si>
    <t>신온누리에돈까스</t>
  </si>
  <si>
    <t>서울특별시 동작구 여의대방로24길 107, 1층</t>
  </si>
  <si>
    <t>02-823-8580</t>
  </si>
  <si>
    <t>풀향기칼국수</t>
  </si>
  <si>
    <t>서울특별시 동작구 보라매로 73</t>
  </si>
  <si>
    <t>02-817-8881</t>
  </si>
  <si>
    <t>모꼬지</t>
  </si>
  <si>
    <t>서울특별시 동작구 장승배기로 155</t>
  </si>
  <si>
    <t>02-811-1309</t>
  </si>
  <si>
    <t>준우식당</t>
  </si>
  <si>
    <t>서울특별시 동작구 등용로 93, 1층</t>
  </si>
  <si>
    <t>02-815-5792</t>
  </si>
  <si>
    <t>정선메밀고을</t>
  </si>
  <si>
    <t>서울특별시 동작구 양녕로26길 63, 2층</t>
  </si>
  <si>
    <t>02-811-0730</t>
  </si>
  <si>
    <t>비빔막국수</t>
  </si>
  <si>
    <t>냉메밀막국수</t>
  </si>
  <si>
    <t>동해해물탕</t>
  </si>
  <si>
    <t>서울특별시 동작구 양녕로22가길 67</t>
  </si>
  <si>
    <t>02-814-7700</t>
  </si>
  <si>
    <t>알탕</t>
  </si>
  <si>
    <t>해물탕(중)</t>
  </si>
  <si>
    <t>서울특별시 강남구 논현로76길 8</t>
  </si>
  <si>
    <t>02-564-3793</t>
  </si>
  <si>
    <t>삼결살(200g)</t>
  </si>
  <si>
    <t>시골밥상</t>
  </si>
  <si>
    <t>서울특별시 강남구 역삼동 702-13, 지하1층 3호</t>
  </si>
  <si>
    <t>02-561-4667</t>
  </si>
  <si>
    <t>수제떡갈비정식</t>
  </si>
  <si>
    <t>제주생고기</t>
  </si>
  <si>
    <t>서울특별시 서울 동작구 등용로 110</t>
  </si>
  <si>
    <t>02-826-1342</t>
  </si>
  <si>
    <t>준호네 돈가스</t>
  </si>
  <si>
    <t>서울특별시 서울 동작구 흑석로 85-7, 1층</t>
  </si>
  <si>
    <t>02-810-5500</t>
  </si>
  <si>
    <t>피자돈까스</t>
  </si>
  <si>
    <t>황제소고기국밥</t>
  </si>
  <si>
    <t>서울특별시 서울 동작구 동작대로29길 11, 1층</t>
  </si>
  <si>
    <t>02-594-9200</t>
  </si>
  <si>
    <t>소고기국밥</t>
  </si>
  <si>
    <t>족발슈퍼</t>
  </si>
  <si>
    <t>서울특별시 서울 동작구 상도로 296-2</t>
  </si>
  <si>
    <t>02-814-2151</t>
  </si>
  <si>
    <t>판도라</t>
  </si>
  <si>
    <t>서울특별시 서울 강서구 마곡서1로 115-1</t>
  </si>
  <si>
    <t>0507-1366-3693</t>
  </si>
  <si>
    <t>여성 커트</t>
  </si>
  <si>
    <t>까꼬뽀꼬</t>
  </si>
  <si>
    <t>서울특별시 서울 강서구 강서로45라길 35</t>
  </si>
  <si>
    <t>02-663-2445</t>
  </si>
  <si>
    <t>서울특별시 서울 강서구 마곡중앙로 59-11</t>
  </si>
  <si>
    <t>02-2661-3622</t>
  </si>
  <si>
    <t>먹깨비 김밥</t>
  </si>
  <si>
    <t>서울특별시 서울 강서구 강서로 39</t>
  </si>
  <si>
    <t>02-2698-0123</t>
  </si>
  <si>
    <t>달디빈</t>
  </si>
  <si>
    <t>서울특별시 서울 광진구 능동로39길 11</t>
  </si>
  <si>
    <t>국산차</t>
  </si>
  <si>
    <t>자양다방</t>
  </si>
  <si>
    <t>서울특별시 서울 광진구 자양로15길 100</t>
  </si>
  <si>
    <t>옥돌바베큐</t>
  </si>
  <si>
    <t>서울특별시 서울 광진구 군자로 138</t>
  </si>
  <si>
    <t>02-3409-5577</t>
  </si>
  <si>
    <t>채움</t>
  </si>
  <si>
    <t>서울특별시 서울 광진구 군자로 104-1</t>
  </si>
  <si>
    <t>02-462-8859</t>
  </si>
  <si>
    <t>고향냉면</t>
  </si>
  <si>
    <t>서울특별시 서울 성동구 독서당로 301-93(금호동3가)</t>
  </si>
  <si>
    <t>02-2234-8043</t>
  </si>
  <si>
    <t>보리밥+된장찌개</t>
  </si>
  <si>
    <t>김경자원조칼국수</t>
  </si>
  <si>
    <t>서울특별시 서울 성동구 금호산2길 20-1(금호동3가)</t>
  </si>
  <si>
    <t>02-2233-7001</t>
  </si>
  <si>
    <t>보쌈(중)</t>
  </si>
  <si>
    <t>바다장어초이408</t>
  </si>
  <si>
    <t>서울특별시 독서당로 295-5(금호동3가)</t>
  </si>
  <si>
    <t>0507-1311-1733</t>
  </si>
  <si>
    <t>장어탕</t>
  </si>
  <si>
    <t>장어정식</t>
  </si>
  <si>
    <t>성아미용실</t>
  </si>
  <si>
    <t>서울특별시 서울 용산구 서빙고로91나길 64</t>
  </si>
  <si>
    <t>02-794-3105</t>
  </si>
  <si>
    <t>미용료(학생)</t>
  </si>
  <si>
    <t>영광정육식당</t>
  </si>
  <si>
    <t>서울특별시 서울 용산구 서빙고로91나길 104</t>
  </si>
  <si>
    <t>0507-1355-2423</t>
  </si>
  <si>
    <t>용산장어마을</t>
  </si>
  <si>
    <t>서울특별시 서울 용산구 백범로 318</t>
  </si>
  <si>
    <t>02-711-1139</t>
  </si>
  <si>
    <t>추어장어탕</t>
  </si>
  <si>
    <t>매운탕</t>
  </si>
  <si>
    <t>원돈까스우동</t>
  </si>
  <si>
    <t>서울특별시 서울 용산구 서빙고로65길 10</t>
  </si>
  <si>
    <t>02-797-9718</t>
  </si>
  <si>
    <t>돈까스+(우동/도시락)</t>
  </si>
  <si>
    <t>원우동</t>
  </si>
  <si>
    <t>용산풍천숯불민물장어</t>
  </si>
  <si>
    <t>서울특별시 서울 용산구 한강대로39길 10</t>
  </si>
  <si>
    <t>02-749-5905</t>
  </si>
  <si>
    <t>손칼국수만두</t>
  </si>
  <si>
    <t>일공오삼겹살</t>
  </si>
  <si>
    <t>서울특별시 서울 용산구 백범로87길 52</t>
  </si>
  <si>
    <t>02-3273-0105</t>
  </si>
  <si>
    <t>면마루</t>
  </si>
  <si>
    <t>서울특별시 서울 용산구 신흥로 86, 2층</t>
  </si>
  <si>
    <t>02-797-3449</t>
  </si>
  <si>
    <t>북한강민물고기매운탕</t>
  </si>
  <si>
    <t>서울특별시 서울 노원구 동일로192길 30, 1층</t>
  </si>
  <si>
    <t>02-948-5355</t>
  </si>
  <si>
    <t>매기매운탕</t>
  </si>
  <si>
    <t>SBS사진실-studio 환히</t>
  </si>
  <si>
    <t>서울특별시 서울 중랑구 동일로109길 28-16</t>
  </si>
  <si>
    <t>02-495-1440</t>
  </si>
  <si>
    <t>포토아트</t>
  </si>
  <si>
    <t>서울특별시 서울 중랑구 면목로40길 16</t>
  </si>
  <si>
    <t>02-435-1757</t>
  </si>
  <si>
    <t>우리집식당</t>
  </si>
  <si>
    <t>서울특별시 서울 구로구 디지털로27길 69</t>
  </si>
  <si>
    <t>02-862-2299</t>
  </si>
  <si>
    <t>오늘의베뉴(불고기)</t>
  </si>
  <si>
    <t>돼지갈비</t>
  </si>
  <si>
    <t>삼동숯불갈비</t>
  </si>
  <si>
    <t>서울특별시 서울 구로구 디지털로27길 57</t>
  </si>
  <si>
    <t>02-852-7615</t>
  </si>
  <si>
    <t>등심</t>
  </si>
  <si>
    <t>불고기전골</t>
  </si>
  <si>
    <t>갈비</t>
  </si>
  <si>
    <t>골드헤어샵</t>
  </si>
  <si>
    <t>서울특별시 서울 구로구 구로동로42길 54-6</t>
  </si>
  <si>
    <t>02-839-0151</t>
  </si>
  <si>
    <t>퍼머</t>
  </si>
  <si>
    <t>스마일헤어광장</t>
  </si>
  <si>
    <t>서울특별시 서울 양천구 중앙로46길 31(신정동)</t>
  </si>
  <si>
    <t>02-2691-4168</t>
  </si>
  <si>
    <t>베스트크리닝</t>
  </si>
  <si>
    <t>서울특별시 서울 양천구 은행정로1길 10(신정동)</t>
  </si>
  <si>
    <t>02-2648-8272</t>
  </si>
  <si>
    <t>바지</t>
  </si>
  <si>
    <t>세탁비(양복)</t>
  </si>
  <si>
    <t>크레용헤어</t>
  </si>
  <si>
    <t>서울특별시 서울 양천구 목동동로12길 11(목동)</t>
  </si>
  <si>
    <t>2646-3693</t>
  </si>
  <si>
    <t>에스헤어살롱</t>
  </si>
  <si>
    <t>서울특별시 서울 양천구 목동중앙서로 32, 1층</t>
  </si>
  <si>
    <t>02-2605-8331</t>
  </si>
  <si>
    <t>염색(여)</t>
  </si>
  <si>
    <t>커트(남)</t>
  </si>
  <si>
    <t>커트(여)</t>
  </si>
  <si>
    <t>굿띵커피</t>
  </si>
  <si>
    <t>서울특별시 관악구 조원로4길 37</t>
  </si>
  <si>
    <t>0507-1342-5833</t>
  </si>
  <si>
    <t>허브차</t>
  </si>
  <si>
    <t>김가네국수집</t>
  </si>
  <si>
    <t>서울특별시 서울 도봉구 도봉로153길 51</t>
  </si>
  <si>
    <t>02-955-1357</t>
  </si>
  <si>
    <t>돼지물고기</t>
  </si>
  <si>
    <t>서울특별시 서울 도봉구 해등로16길 1</t>
  </si>
  <si>
    <t>02-906-8727</t>
  </si>
  <si>
    <t>서울특별시 서울 도봉구 해등로16길 12</t>
  </si>
  <si>
    <t>02-994-8233</t>
  </si>
  <si>
    <t>카페커민</t>
  </si>
  <si>
    <t>서울특별시 서울 도봉구 방학로2길 53</t>
  </si>
  <si>
    <t>02-954-5553</t>
  </si>
  <si>
    <t>엄마랑꿀꽈배기</t>
  </si>
  <si>
    <t>서울특별시 도봉구 해등로16길 26(창동)</t>
  </si>
  <si>
    <t>02-903-3339</t>
  </si>
  <si>
    <t>찹쌀도너츠</t>
  </si>
  <si>
    <t>박리김밥</t>
  </si>
  <si>
    <t>02-907-7002</t>
  </si>
  <si>
    <t>짜장마을</t>
  </si>
  <si>
    <t>서울특별시 서울 도봉구 마들로 657</t>
  </si>
  <si>
    <t>어머니찌개</t>
  </si>
  <si>
    <t>서울특별시 도봉구 도봉로152길 16(방학동)</t>
  </si>
  <si>
    <t>956-8312</t>
  </si>
  <si>
    <t>세움카페</t>
  </si>
  <si>
    <t>서울특별시 서울 도봉구 마들로 656</t>
  </si>
  <si>
    <t>070-4251-4264</t>
  </si>
  <si>
    <t>커피라떼</t>
  </si>
  <si>
    <t>머리깎자</t>
  </si>
  <si>
    <t>서울특별시 서울 도봉구 해등로241-14</t>
  </si>
  <si>
    <t>착한이발관</t>
  </si>
  <si>
    <t>서울특별시 서울 도봉구 도당로27길 48</t>
  </si>
  <si>
    <t>엄지헤어</t>
  </si>
  <si>
    <t>서울특별시 서울 도봉구 우이천로4다길 13</t>
  </si>
  <si>
    <t>02-902-4697</t>
  </si>
  <si>
    <t>커트(일반)</t>
  </si>
  <si>
    <t>파마,염색</t>
  </si>
  <si>
    <t>호돈구이</t>
  </si>
  <si>
    <t>서울특별시 서울 도봉구 방학로2길 32</t>
  </si>
  <si>
    <t>브레쉬에비뉴</t>
  </si>
  <si>
    <t>서울특별시 서울 도봉구 방학로 216</t>
  </si>
  <si>
    <t>02-955-3799</t>
  </si>
  <si>
    <t>슈크림빵</t>
  </si>
  <si>
    <t>아메리카노(테이크 아웃)</t>
  </si>
  <si>
    <t>짱구네 분식</t>
  </si>
  <si>
    <t>서울특별시 서울 도봉구 시루봉로 148</t>
  </si>
  <si>
    <t>02-3491-4366</t>
  </si>
  <si>
    <t>보배네능이백숙</t>
  </si>
  <si>
    <t>서울특별시 서울 도봉구 시루봉로 295-1</t>
  </si>
  <si>
    <t>02-954-6300</t>
  </si>
  <si>
    <t>언니네헤어샵</t>
  </si>
  <si>
    <t>서울특별시 서울 도봉구 시루봉로 299</t>
  </si>
  <si>
    <t>더헤어</t>
  </si>
  <si>
    <t>서울특별시 도봉구 도당로9길 37(방학동)</t>
  </si>
  <si>
    <t>진선미미용실</t>
  </si>
  <si>
    <t>서울특별시 도봉구 덕릉로59바길 25(창동)</t>
  </si>
  <si>
    <t>온누리식당</t>
  </si>
  <si>
    <t>서울특별시 서울 도봉구 도봉로159길 11-16</t>
  </si>
  <si>
    <t>02-955-6652</t>
  </si>
  <si>
    <t>서울특별시 서울 도봉구 도봉산4가길 14</t>
  </si>
  <si>
    <t>02-3494-0282</t>
  </si>
  <si>
    <t>화원</t>
  </si>
  <si>
    <t>서울특별시 서울 도봉구 덕릉로59길 93</t>
  </si>
  <si>
    <t>02-998-8888</t>
  </si>
  <si>
    <t xml:space="preserve">짬뽕 </t>
  </si>
  <si>
    <t>아!짜장</t>
  </si>
  <si>
    <t>서울특별시 서울 도봉구 도당로 76</t>
  </si>
  <si>
    <t>하나야 플라워앤공방</t>
  </si>
  <si>
    <t>서울특별시 서울 강동구 상암로41길 67 103호</t>
  </si>
  <si>
    <t>02-471-4769</t>
  </si>
  <si>
    <t>아로마오일</t>
  </si>
  <si>
    <t>비누</t>
  </si>
  <si>
    <t>명동찌개마을 강동구청점</t>
  </si>
  <si>
    <t>서울특별시 서울 강동구 성안로3길 91</t>
  </si>
  <si>
    <t>02-476-8987</t>
  </si>
  <si>
    <t>우렁된장찌개</t>
  </si>
  <si>
    <t>양푼돼지고기김치찌개2인분</t>
  </si>
  <si>
    <t>씨티스퀘어</t>
  </si>
  <si>
    <t>서울특별시 서울 중구 서소문로 124</t>
  </si>
  <si>
    <t>1111-1111</t>
  </si>
  <si>
    <t>수자타착한식당</t>
  </si>
  <si>
    <t>서울특별시 관악구 남부순환로143나길 6</t>
  </si>
  <si>
    <t>02-865-8836</t>
  </si>
  <si>
    <t>김치전골</t>
  </si>
  <si>
    <t>밥 보다 국시</t>
  </si>
  <si>
    <t>서울특별시 서대문구 세검정로3길 64</t>
  </si>
  <si>
    <t>02-391-1279</t>
  </si>
  <si>
    <t>히즈모</t>
  </si>
  <si>
    <t>서울특별시 서대문구 세무서길71, 1층</t>
  </si>
  <si>
    <t>02-3217-4275</t>
  </si>
  <si>
    <t>디자인커트</t>
  </si>
  <si>
    <t>스마트커트</t>
  </si>
  <si>
    <t>본솔커피</t>
  </si>
  <si>
    <t>서울특별시 서대문구 증가로82</t>
  </si>
  <si>
    <t>02-323-1225</t>
  </si>
  <si>
    <t>대만샌드위치</t>
  </si>
  <si>
    <t>동과차</t>
  </si>
  <si>
    <t>조희헤어샵</t>
  </si>
  <si>
    <t>서울특별시 서대문구 가재울로10길41</t>
  </si>
  <si>
    <t>02-373-8659</t>
  </si>
  <si>
    <t>머리사랑</t>
  </si>
  <si>
    <t>서울특별시 서대문구 거북골로200</t>
  </si>
  <si>
    <t>02-305-6912</t>
  </si>
  <si>
    <t>커트(남,여)</t>
  </si>
  <si>
    <t>볼륨펌</t>
  </si>
  <si>
    <t>가족이발</t>
  </si>
  <si>
    <t>서울특별시 서대문구 거북골로154, 삼호상가 104호</t>
  </si>
  <si>
    <t>02-374-4323</t>
  </si>
  <si>
    <t>초중고생커트</t>
  </si>
  <si>
    <t>자스민헤어</t>
  </si>
  <si>
    <t>서울특별시 서울 서대문구 증가로20길 71</t>
  </si>
  <si>
    <t>02-304-6188</t>
  </si>
  <si>
    <t>아이롱</t>
  </si>
  <si>
    <t>아름다운헤어</t>
  </si>
  <si>
    <t>서울특별시 서대문구 응암로28</t>
  </si>
  <si>
    <t>02-376-7124</t>
  </si>
  <si>
    <t>어린이커트</t>
  </si>
  <si>
    <t>노인파마</t>
  </si>
  <si>
    <t>머리자랑</t>
  </si>
  <si>
    <t>서울특별시 서대문구 증가로32안길1</t>
  </si>
  <si>
    <t>02-302-6025</t>
  </si>
  <si>
    <t>은주헤어뉴스</t>
  </si>
  <si>
    <t>서울특별시 서대문구 거북골로20길 53-3</t>
  </si>
  <si>
    <t>02-302-6281</t>
  </si>
  <si>
    <t>은하수헤어갤러리</t>
  </si>
  <si>
    <t>서울특별시 서대문구 응암로53</t>
  </si>
  <si>
    <t>02-306-4580</t>
  </si>
  <si>
    <t>윤헤어</t>
  </si>
  <si>
    <t>서울특별시 서대문구 거북골로 206</t>
  </si>
  <si>
    <t>02-304-1922</t>
  </si>
  <si>
    <t>엉터리돼지갈비</t>
  </si>
  <si>
    <t>서울특별시 서대문구 포방터길 71</t>
  </si>
  <si>
    <t>02-379-1583</t>
  </si>
  <si>
    <t>푸드플러스</t>
  </si>
  <si>
    <t>서울특별시 서울시 금천구 가산디지털1로 119, B동 136호</t>
  </si>
  <si>
    <t>02-858-4235</t>
  </si>
  <si>
    <t>서울특별시 서울시 금천구 금하로25길 18, 1층(시흥동)</t>
  </si>
  <si>
    <t>02-809-8013</t>
  </si>
  <si>
    <t>정가네촌 감자탕</t>
  </si>
  <si>
    <t>서울특별시 서울시 금천구 독산로 46</t>
  </si>
  <si>
    <t>02-808-4332</t>
  </si>
  <si>
    <t>버섯 감자탕(2인)</t>
  </si>
  <si>
    <t>포스트푸드</t>
  </si>
  <si>
    <t>서울특별시 금천구 디지털로 9길 68  B106~111호</t>
  </si>
  <si>
    <t>02-2624-3939</t>
  </si>
  <si>
    <t>서울특별시 서울시 금천구 탑골로 6-1(시흥동)</t>
  </si>
  <si>
    <t>02-896-8960</t>
  </si>
  <si>
    <t>12st</t>
  </si>
  <si>
    <t>서울특별시 서울시 금천구 디지털로12길 19, 1층(가산동)</t>
  </si>
  <si>
    <t>테스트</t>
  </si>
  <si>
    <t>서울특별시 테스트</t>
  </si>
  <si>
    <t>123-4567</t>
  </si>
  <si>
    <t>뚱뚱이 밥상</t>
  </si>
  <si>
    <t>서울특별시 노원구 동일로1548(상계동 지하 1층 )</t>
  </si>
  <si>
    <t>931-6493</t>
  </si>
  <si>
    <t>여자만아구찜</t>
  </si>
  <si>
    <t>서울특별시 노원구 석계로18길 10-8</t>
  </si>
  <si>
    <t>0507-1361-1989</t>
  </si>
  <si>
    <t>돈장군</t>
  </si>
  <si>
    <t>서울특별시 노원구 광운로 69, 1층</t>
  </si>
  <si>
    <t>02-941-8276</t>
  </si>
  <si>
    <t>명물갈비</t>
  </si>
  <si>
    <t>서울특별시 서대문구 명물길 43-3</t>
  </si>
  <si>
    <t>0507-1415-1239</t>
  </si>
  <si>
    <t>수제돼지갈비</t>
  </si>
  <si>
    <t>소갈비살</t>
  </si>
  <si>
    <t>왕갈비탕</t>
  </si>
  <si>
    <t>효자동 이발소</t>
  </si>
  <si>
    <t>서울특별시 중랑구 용마산로 394</t>
  </si>
  <si>
    <t>끌레오</t>
  </si>
  <si>
    <t>서울특별시 관악구 신림로11길 71</t>
  </si>
  <si>
    <t>가름커피</t>
  </si>
  <si>
    <t>서울특별시 관악구 신림로23길 16</t>
  </si>
  <si>
    <t>자몽에이드</t>
  </si>
  <si>
    <t>더블샷아메리카노</t>
  </si>
  <si>
    <t>카페해밀</t>
  </si>
  <si>
    <t>서울특별시 관악구 법원단지길 42</t>
  </si>
  <si>
    <t>0507-1303-5658</t>
  </si>
  <si>
    <t>1L 아메리카노</t>
  </si>
  <si>
    <t>1L 카페라떼</t>
  </si>
  <si>
    <t>맛조탕</t>
  </si>
  <si>
    <t>서울특별시 관악구 은천로 119</t>
  </si>
  <si>
    <t>02-871-1711</t>
  </si>
  <si>
    <t>즉석우동짜장</t>
  </si>
  <si>
    <t>서울특별시 서울 관악구 남부순환로 1726, 1층</t>
  </si>
  <si>
    <t>070-7758-8227</t>
  </si>
  <si>
    <t>네이밍카페커피GO!#1</t>
  </si>
  <si>
    <t>서울특별시 관악구 난곡로 317</t>
  </si>
  <si>
    <t>0507-1313-4573</t>
  </si>
  <si>
    <t>카라멜마끼아또</t>
  </si>
  <si>
    <t>아이스티</t>
  </si>
  <si>
    <t>어느멋진날</t>
  </si>
  <si>
    <t>서울특별시 관악구 신림로11길 67</t>
  </si>
  <si>
    <t>0507-1432-6779</t>
  </si>
  <si>
    <t>풍년집본가</t>
  </si>
  <si>
    <t>서울특별시 서울 관악구 난곡로 232,  1층</t>
  </si>
  <si>
    <t>0507-1433-3636</t>
  </si>
  <si>
    <t>삼겹살(300g)</t>
  </si>
  <si>
    <t>커피앤바복길이</t>
  </si>
  <si>
    <t>서울특별시 중랑구 봉화산로4길 62</t>
  </si>
  <si>
    <t>070-7590-8528</t>
  </si>
  <si>
    <t>수지헤어</t>
  </si>
  <si>
    <t>서울특별시 서울 중랑구 봉우재로 41, 화진빌딩 2층</t>
  </si>
  <si>
    <t>02-2207-0100</t>
  </si>
  <si>
    <t>세븐돈가스</t>
  </si>
  <si>
    <t>서울특별시 중랑구 용마산로 557</t>
  </si>
  <si>
    <t>02-433-1644</t>
  </si>
  <si>
    <t>스타이발관</t>
  </si>
  <si>
    <t>서울특별시 중랑구 망우로 382-2,2층</t>
  </si>
  <si>
    <t>짜장나루</t>
  </si>
  <si>
    <t>서울특별시 서울 중랑구 겸재로 161</t>
  </si>
  <si>
    <t>02-494-4774</t>
  </si>
  <si>
    <t>다담2900</t>
  </si>
  <si>
    <t>서울특별시 서울 중랑구 망우로66길 75, 1층</t>
  </si>
  <si>
    <t>02-493-3339</t>
  </si>
  <si>
    <t>행운미용실</t>
  </si>
  <si>
    <t>서울특별시 중랑구 동일로120길 121-11 (상봉동)</t>
  </si>
  <si>
    <t>02-2208-7385</t>
  </si>
  <si>
    <t>아폴로헤어크리닉</t>
  </si>
  <si>
    <t>서울특별시 중랑구 사가정로50길 67 (면목동)</t>
  </si>
  <si>
    <t>02-495-1133</t>
  </si>
  <si>
    <t>동해루</t>
  </si>
  <si>
    <t>서울특별시 중랑구 면목천로23길 44</t>
  </si>
  <si>
    <t>02-433-1786</t>
  </si>
  <si>
    <t>경희헤어</t>
  </si>
  <si>
    <t>서울특별시 마포구 마포대로11길 33, 1층</t>
  </si>
  <si>
    <t>02-719-1857</t>
  </si>
  <si>
    <t>돈필</t>
  </si>
  <si>
    <t>서울특별시 광진구 동일로72길 38</t>
  </si>
  <si>
    <t>444-3326</t>
  </si>
  <si>
    <t>엄마손집밥</t>
  </si>
  <si>
    <t>서울특별시 광진구 자양번영로 13</t>
  </si>
  <si>
    <t>2201-4911</t>
  </si>
  <si>
    <t>헤어아이디</t>
  </si>
  <si>
    <t>서울특별시 광진구 능동로48길 75</t>
  </si>
  <si>
    <t>02-452-0981</t>
  </si>
  <si>
    <t>생생칼국수</t>
  </si>
  <si>
    <t>서울특별시 광진구 군자로 104</t>
  </si>
  <si>
    <t>2039-7878</t>
  </si>
  <si>
    <t>452-0981</t>
  </si>
  <si>
    <t>미라클센터</t>
  </si>
  <si>
    <t>서울특별시 송이로 17길  54-28</t>
  </si>
  <si>
    <t>02-443-3295</t>
  </si>
  <si>
    <t>새라가비</t>
  </si>
  <si>
    <t>서울특별시 서울특별시 중구 중림로 50</t>
  </si>
  <si>
    <t>02-392-6067</t>
  </si>
  <si>
    <t>카페라&amp;#46580;</t>
  </si>
  <si>
    <t>남도한식-정든님고운님</t>
  </si>
  <si>
    <t>서울특별시 서울특별시 중구 세종대로14길 22-5</t>
  </si>
  <si>
    <t>02-775-0038</t>
  </si>
  <si>
    <t>남도정식(점심)</t>
  </si>
  <si>
    <t>정원설렁탕(민속의집)</t>
  </si>
  <si>
    <t>서울특별시 서울특별시 중구 중림로 11</t>
  </si>
  <si>
    <t>02-312-0643</t>
  </si>
  <si>
    <t>그냥밥집</t>
  </si>
  <si>
    <t>서울특별시 서울특별시 중구 퇴계로12길 53</t>
  </si>
  <si>
    <t>02-778-7973</t>
  </si>
  <si>
    <t>숯불불백</t>
  </si>
  <si>
    <t>일일구(119)</t>
  </si>
  <si>
    <t>서울특별시 서울특별시 중구 다산로33길 79-4</t>
  </si>
  <si>
    <t>02-2231-4229</t>
  </si>
  <si>
    <t>점심한식뷔페(백반)</t>
  </si>
  <si>
    <t>명동만두</t>
  </si>
  <si>
    <t>서울특별시 강남구 역삼로 133 지상1층 1호</t>
  </si>
  <si>
    <t>02-2052-7776</t>
  </si>
  <si>
    <t>수제고기만두국</t>
  </si>
  <si>
    <t>수제고기떡만두국</t>
  </si>
  <si>
    <t>수제만두얼큰탕</t>
  </si>
  <si>
    <t>J&amp;J뷰티샵</t>
  </si>
  <si>
    <t>서울특별시 강남구 역삼로11길 13-8</t>
  </si>
  <si>
    <t>0507-1311-2522</t>
  </si>
  <si>
    <t>기본커트</t>
  </si>
  <si>
    <t xml:space="preserve"> 기본펌 </t>
  </si>
  <si>
    <t>행복한 잔치국수</t>
  </si>
  <si>
    <t>서울특별시 강남구 광평로 196 2층 201호</t>
  </si>
  <si>
    <t>02-459-2918</t>
  </si>
  <si>
    <t>오감만족</t>
  </si>
  <si>
    <t>서울특별시 밤고개로24길 52</t>
  </si>
  <si>
    <t>02-445-9294</t>
  </si>
  <si>
    <t>요기루</t>
  </si>
  <si>
    <t>서울특별시 강남구 남부순환로 2917 청실종합상가 지하1층 9호</t>
  </si>
  <si>
    <t>02-557-2460</t>
  </si>
  <si>
    <t>차돌짬뽕</t>
  </si>
  <si>
    <t>탕수육(중)</t>
  </si>
  <si>
    <t>고기마을</t>
  </si>
  <si>
    <t>서울특별시 강남구 남부순환로 2917 청실상가 105</t>
  </si>
  <si>
    <t>02-501-5254</t>
  </si>
  <si>
    <t xml:space="preserve">생오겹살 (180g) </t>
  </si>
  <si>
    <t>안창살(180g)</t>
  </si>
  <si>
    <t xml:space="preserve">소갈비살(180g) </t>
  </si>
  <si>
    <t>서울특별시 마포구 독막로40길 8 (대흥동)</t>
  </si>
  <si>
    <t>02-706-0727</t>
  </si>
  <si>
    <t>헤어스타</t>
  </si>
  <si>
    <t>서울특별시 마포구 독막로 266, 2층 (대흥동, 태영아파트중앙상가)</t>
  </si>
  <si>
    <t>0507-1477-7577</t>
  </si>
  <si>
    <t>이화헤어클럽</t>
  </si>
  <si>
    <t>서울특별시 마포구 방울내로7길 29 (망원동)</t>
  </si>
  <si>
    <t>02-335-2547</t>
  </si>
  <si>
    <t>하버드미용실</t>
  </si>
  <si>
    <t>서울특별시 서울 관악구 행운1나길 16</t>
  </si>
  <si>
    <t>추억의 통치킨</t>
  </si>
  <si>
    <t>서울특별시 서울 관악구 난곡로26길 39, 101호</t>
  </si>
  <si>
    <t>02-851-5908</t>
  </si>
  <si>
    <t>버거랩</t>
  </si>
  <si>
    <t>서울특별시 서울 관악구 신림로12길 5</t>
  </si>
  <si>
    <t>02-876-1225</t>
  </si>
  <si>
    <t>수제치즈버거</t>
  </si>
  <si>
    <t>서울밥집 봉천점</t>
  </si>
  <si>
    <t>서울특별시 관악구 봉천동 927-18</t>
  </si>
  <si>
    <t>양구식당</t>
  </si>
  <si>
    <t>서울특별시 강남구 논현로151길 26</t>
  </si>
  <si>
    <t>02-548-5848</t>
  </si>
  <si>
    <t>닭뚝배기볶음탕</t>
  </si>
  <si>
    <t xml:space="preserve">닭칼국수 </t>
  </si>
  <si>
    <t>닭곰탕국밥</t>
  </si>
  <si>
    <t>서울특별시 강남구 논현로151길 29 1층 101호</t>
  </si>
  <si>
    <t>02-518-1125</t>
  </si>
  <si>
    <t xml:space="preserve">알리오올리오 </t>
  </si>
  <si>
    <t>맛찬</t>
  </si>
  <si>
    <t>서울특별시 강남구 개포로 615 석탑프라자 지하1층 106호</t>
  </si>
  <si>
    <t>02-459-8478</t>
  </si>
  <si>
    <t xml:space="preserve">순두부 </t>
  </si>
  <si>
    <t>신토불이 정육식당</t>
  </si>
  <si>
    <t>서울특별시 강남구 남부순환로 2629</t>
  </si>
  <si>
    <t>02-3462-4635</t>
  </si>
  <si>
    <t>한우생등심(200g)</t>
  </si>
  <si>
    <t>돼지왕갈비(300g)</t>
  </si>
  <si>
    <t>부부식당</t>
  </si>
  <si>
    <t>서울특별시 강남구 삼성로 343 지상1층 106호</t>
  </si>
  <si>
    <t>02-563-9241</t>
  </si>
  <si>
    <t xml:space="preserve"> 청국장 </t>
  </si>
  <si>
    <t xml:space="preserve"> 된장찌개 </t>
  </si>
  <si>
    <t>365일기분좋은날잔치날</t>
  </si>
  <si>
    <t xml:space="preserve">서울특별시 강남구 도곡로4길 19 </t>
  </si>
  <si>
    <t>02-6104-7272</t>
  </si>
  <si>
    <t>일반순두부</t>
  </si>
  <si>
    <t>팔팔한상</t>
  </si>
  <si>
    <t xml:space="preserve">서울특별시 강남구 밤고개로1길 10 </t>
  </si>
  <si>
    <t>02-451-1550</t>
  </si>
  <si>
    <t>제육쌈(흑돼지150g)</t>
  </si>
  <si>
    <t>미도한우마을</t>
  </si>
  <si>
    <t>서울특별시 강남구 삼성로 38 개포빌딩 108호</t>
  </si>
  <si>
    <t>02-557-3232</t>
  </si>
  <si>
    <t>생삼겹(180g)</t>
  </si>
  <si>
    <t>양념돼지갈비(250g)</t>
  </si>
  <si>
    <t xml:space="preserve">새싹비빔밥 </t>
  </si>
  <si>
    <t>누렁국수</t>
  </si>
  <si>
    <t>서울특별시 강남구 개포로 652 빌딩스타3 지상1층 101호</t>
  </si>
  <si>
    <t>02-431-0045</t>
  </si>
  <si>
    <t>진국수(사골육수)</t>
  </si>
  <si>
    <t>육장국수</t>
  </si>
  <si>
    <t>우국수</t>
  </si>
  <si>
    <t>이모네손칼국수</t>
  </si>
  <si>
    <t>서울특별시 강남구 언주로69길 9 1층</t>
  </si>
  <si>
    <t>02-555-0706</t>
  </si>
  <si>
    <t>닭칼국수</t>
  </si>
  <si>
    <t xml:space="preserve">멸치칼국수 </t>
  </si>
  <si>
    <t xml:space="preserve">비빔밥 </t>
  </si>
  <si>
    <t>선우동가게</t>
  </si>
  <si>
    <t>서울특별시 남부순환로359길 10 지하1층</t>
  </si>
  <si>
    <t>02-572-8887</t>
  </si>
  <si>
    <t>생우동</t>
  </si>
  <si>
    <t xml:space="preserve">비빔면 </t>
  </si>
  <si>
    <t xml:space="preserve"> 짜장면 </t>
  </si>
  <si>
    <t>남원종가집추어탕</t>
  </si>
  <si>
    <t xml:space="preserve">서울특별시 강남대로48길 8 </t>
  </si>
  <si>
    <t>02-3462-6667</t>
  </si>
  <si>
    <t xml:space="preserve">돈까스 </t>
  </si>
  <si>
    <t>이안헤어</t>
  </si>
  <si>
    <t>서울특별시 강서구 남부순환로 11가길 84</t>
  </si>
  <si>
    <t>우리식당</t>
  </si>
  <si>
    <t>서울특별시 강서구 강서로5나길 144-8</t>
  </si>
  <si>
    <t>02-2698-7026</t>
  </si>
  <si>
    <t>추억순대국전문점</t>
  </si>
  <si>
    <t>서울특별시 관악구 신림로26길 11 (신림동)</t>
  </si>
  <si>
    <t>02)877-3885</t>
  </si>
  <si>
    <t>남도전통순대명가</t>
  </si>
  <si>
    <t>서울특별시 중구 마른내로 121-1 (오장동)</t>
  </si>
  <si>
    <t>02-2277-4115</t>
  </si>
  <si>
    <t>대청마루</t>
  </si>
  <si>
    <t>서울특별시 중구 퇴계로44길 16 (필동2가)</t>
  </si>
  <si>
    <t>02-2285-2650</t>
  </si>
  <si>
    <t>돼지갈비(200g)</t>
  </si>
  <si>
    <t>김치찌개, 된장찌개 등</t>
  </si>
  <si>
    <t>속초집</t>
  </si>
  <si>
    <t>서울특별시 중구 퇴계로6길 3-6 (회현동1가)</t>
  </si>
  <si>
    <t>02-775-2226</t>
  </si>
  <si>
    <t>생태찌개</t>
  </si>
  <si>
    <t>진달래 시래기</t>
  </si>
  <si>
    <t>서울특별시 중구 퇴계로12길 60 (회현동1가)</t>
  </si>
  <si>
    <t>02-752-1208</t>
  </si>
  <si>
    <t>무청시래기밥</t>
  </si>
  <si>
    <t>오늘의밥상</t>
  </si>
  <si>
    <t>유가</t>
  </si>
  <si>
    <t xml:space="preserve">서울특별시 중구 퇴계로12길 68 ,1층(회현동1가) </t>
  </si>
  <si>
    <t>02-3789-9688</t>
  </si>
  <si>
    <t>광희이용원</t>
  </si>
  <si>
    <t>서울특별시 중구 동호로34길 18 (광희동1가)</t>
  </si>
  <si>
    <t>02-2265-0605</t>
  </si>
  <si>
    <t>거북아버지는이발사</t>
  </si>
  <si>
    <t>서울특별시 중구 다산로44길 34 (신당동)</t>
  </si>
  <si>
    <t>02-2252-9879</t>
  </si>
  <si>
    <t>일광세탁소</t>
  </si>
  <si>
    <t>02-2239-6492</t>
  </si>
  <si>
    <t>양복 한벌 드라이클리닝</t>
  </si>
  <si>
    <t>와이셔츠 1장 다림질</t>
  </si>
  <si>
    <t>채미미용실</t>
  </si>
  <si>
    <t>서울특별시 중구 다산로 101 (신당동)</t>
  </si>
  <si>
    <t>02-2234-8339</t>
  </si>
  <si>
    <t>복지로분식</t>
  </si>
  <si>
    <t>서울특별시 중구 동호로11길 40 (신당동, 상춘)</t>
  </si>
  <si>
    <t>02-2234-2525</t>
  </si>
  <si>
    <t>즉석떡볶이(2인분)</t>
  </si>
  <si>
    <t>감동헤어</t>
  </si>
  <si>
    <t>서울특별시 광진구 자양로9길 32 (자양동)</t>
  </si>
  <si>
    <t>단백질펌</t>
  </si>
  <si>
    <t>자매생고기</t>
  </si>
  <si>
    <t>서울특별시 광진구 자양로15길 96 (자양동)</t>
  </si>
  <si>
    <t>02-456-2737</t>
  </si>
  <si>
    <t>돈먹고돈내고</t>
  </si>
  <si>
    <t>서울특별시 강남구 언주로114길 5</t>
  </si>
  <si>
    <t>02-514-1276</t>
  </si>
  <si>
    <t>이베리코(200g)</t>
  </si>
  <si>
    <t>비바비보 앤 호프</t>
  </si>
  <si>
    <t>서울특별시 강남구 논현로136길 5-3 지상1층 103호</t>
  </si>
  <si>
    <t>0507-1325-5982</t>
  </si>
  <si>
    <t>로제스파게티</t>
  </si>
  <si>
    <t>대청김밥</t>
  </si>
  <si>
    <t>서울특별시 개포로621 SH 지하1층</t>
  </si>
  <si>
    <t>02-226-2928</t>
  </si>
  <si>
    <t>남도맛집</t>
  </si>
  <si>
    <t>서울특별시 논현로114길 14</t>
  </si>
  <si>
    <t>02-546-5737</t>
  </si>
  <si>
    <t>지리산 생고기</t>
  </si>
  <si>
    <t>서울특별시 밤고개로 1길 10 지하2층</t>
  </si>
  <si>
    <t>02-2040-6776</t>
  </si>
  <si>
    <t>차돌박이(150g)</t>
  </si>
  <si>
    <t>춘천닭갈비(200g)</t>
  </si>
  <si>
    <t>제주오겹살(180g)</t>
  </si>
  <si>
    <t>서울특별시 강남구 도곡로 516 지하1층 3호</t>
  </si>
  <si>
    <t>02-539-5163</t>
  </si>
  <si>
    <t>김치삼겹살찌개</t>
  </si>
  <si>
    <t>부산돼지머리국밥</t>
  </si>
  <si>
    <t>서평기사식당</t>
  </si>
  <si>
    <t>서울특별시 강남구 개포로 646 지상1층 2호</t>
  </si>
  <si>
    <t>02-2226-1005</t>
  </si>
  <si>
    <t>닭계장</t>
  </si>
  <si>
    <t>특곰탕</t>
  </si>
  <si>
    <t>착한미용실</t>
  </si>
  <si>
    <t>서울특별시 언주로67길 19 1층 103호</t>
  </si>
  <si>
    <t>02-558-1706</t>
  </si>
  <si>
    <t>염색(뿌리염색+영양)</t>
  </si>
  <si>
    <t>펌(영양추가)</t>
  </si>
  <si>
    <t>육천중국요리</t>
  </si>
  <si>
    <t>서울특별시 강남구 역삼로 37길 11</t>
  </si>
  <si>
    <t>02-568-2250</t>
  </si>
  <si>
    <t xml:space="preserve">볶음밥 </t>
  </si>
  <si>
    <t>엄마손김밥</t>
  </si>
  <si>
    <t xml:space="preserve">서울특별시 강남구 언주로 314 </t>
  </si>
  <si>
    <t>02-557-5733</t>
  </si>
  <si>
    <t xml:space="preserve">김치볶음밥  </t>
  </si>
  <si>
    <t xml:space="preserve">생야채비빔밥 </t>
  </si>
  <si>
    <t xml:space="preserve">카레라이스 </t>
  </si>
  <si>
    <t>멀티분식</t>
  </si>
  <si>
    <t>서울특별시 테헤란로8길 13</t>
  </si>
  <si>
    <t>02-501-3453</t>
  </si>
  <si>
    <t xml:space="preserve">돌솥비빔밥 </t>
  </si>
  <si>
    <t xml:space="preserve">칼국수 </t>
  </si>
  <si>
    <t>임가네민속집</t>
  </si>
  <si>
    <t>서울특별시 강남구 논현로79길 7</t>
  </si>
  <si>
    <t>02-556-1015</t>
  </si>
  <si>
    <t xml:space="preserve">평양만두국 </t>
  </si>
  <si>
    <t xml:space="preserve"> 뚝배기닭볶음 </t>
  </si>
  <si>
    <t>사랑의 도시락</t>
  </si>
  <si>
    <t>서울특별시 강남구 강남대로94길 55 2층</t>
  </si>
  <si>
    <t>02-557-1733</t>
  </si>
  <si>
    <t>밥리버거 앤 치킨호프</t>
  </si>
  <si>
    <t>서울특별시 언주로 405</t>
  </si>
  <si>
    <t>02-552-0388</t>
  </si>
  <si>
    <t xml:space="preserve">제육덮밥 </t>
  </si>
  <si>
    <t>교자만두</t>
  </si>
  <si>
    <t xml:space="preserve">비빔국수 </t>
  </si>
  <si>
    <t>서울특별시 논현로76길 8</t>
  </si>
  <si>
    <t>은진미용실</t>
  </si>
  <si>
    <t>서울특별시 금천구 금하로25길 16 (시흥동)</t>
  </si>
  <si>
    <t>02-894-5243</t>
  </si>
  <si>
    <t>다이천 마떡</t>
  </si>
  <si>
    <t>서울특별시 노원구 석계로 106 (월계동)</t>
  </si>
  <si>
    <t>02-976-4841</t>
  </si>
  <si>
    <t>꼬마김밥(4개)</t>
  </si>
  <si>
    <t>어묵(4개)</t>
  </si>
  <si>
    <t>영신 이발소</t>
  </si>
  <si>
    <t>서울특별시 동작구 사당로14가길 13 (사당동)</t>
  </si>
  <si>
    <t>수복 이발소</t>
  </si>
  <si>
    <t>서울특별시 동작구 사당로27길 94-3 (사당동)</t>
  </si>
  <si>
    <t>02-593-1938</t>
  </si>
  <si>
    <t>동원 이발소</t>
  </si>
  <si>
    <t>서울특별시 동작구 동작대로27다길 41 (사당동)</t>
  </si>
  <si>
    <t>복미 세탁</t>
  </si>
  <si>
    <t>서울특별시 동작구 사당로2차길 49 (사당동)</t>
  </si>
  <si>
    <t>02-586-4026</t>
  </si>
  <si>
    <t>세탁료</t>
  </si>
  <si>
    <t>정아 헤어샵</t>
  </si>
  <si>
    <t>서울특별시 동작구 매봉로 157-1</t>
  </si>
  <si>
    <t>02-824-2706</t>
  </si>
  <si>
    <t>외출준비 미용실</t>
  </si>
  <si>
    <t>서울특별시 동작구 서달로10길 28 (흑석동)</t>
  </si>
  <si>
    <t>816-1160</t>
  </si>
  <si>
    <t>라인헤어</t>
  </si>
  <si>
    <t>서울특별시 동작구 사당로16가길 42 (사당동)</t>
  </si>
  <si>
    <t>0507-1319-1614</t>
  </si>
  <si>
    <t>조양사 세탁소</t>
  </si>
  <si>
    <t>서울특별시 동작구 사당로22길 44 (사당동)</t>
  </si>
  <si>
    <t>583-3723</t>
  </si>
  <si>
    <t>경일 클리닝</t>
  </si>
  <si>
    <t>서울특별시 동작구 사당로28길 6 (사당동)</t>
  </si>
  <si>
    <t>02-583-5205</t>
  </si>
  <si>
    <t>김포사</t>
  </si>
  <si>
    <t>서울특별시 동작구 서달로10길 40 (흑석동)</t>
  </si>
  <si>
    <t>02-815-7111</t>
  </si>
  <si>
    <t>서정사 세탁소</t>
  </si>
  <si>
    <t>서울특별시 동작구 사당로16가길 24 (사당동)</t>
  </si>
  <si>
    <t>02-584-2679</t>
  </si>
  <si>
    <t>문세실리아</t>
  </si>
  <si>
    <t>서울특별시 동작구 장승배기로27길 77 (노량진동)</t>
  </si>
  <si>
    <t>소망 세탁소</t>
  </si>
  <si>
    <t>서울특별시 동작구 여의대방로 28 (신대방동, 현대아파트)</t>
  </si>
  <si>
    <t>02-835-6901</t>
  </si>
  <si>
    <t>자야 미용실</t>
  </si>
  <si>
    <t>서울특별시 동작구 여의대방로24길 70 (신대방동)</t>
  </si>
  <si>
    <t>02-821-8571</t>
  </si>
  <si>
    <t>엄청난 미용실</t>
  </si>
  <si>
    <t>서울특별시 동작구 장승배기로19길 29 (노량진동)</t>
  </si>
  <si>
    <t>02-826-6207</t>
  </si>
  <si>
    <t>마샬헤어</t>
  </si>
  <si>
    <t>서울특별시 동작구 만양로14길 8 (노량진동)</t>
  </si>
  <si>
    <t>02-815-2708</t>
  </si>
  <si>
    <t>남자커트</t>
  </si>
  <si>
    <t>힐링헤어</t>
  </si>
  <si>
    <t>서울특별시 동작구 성대로12길 8 (상도동)</t>
  </si>
  <si>
    <t>02-6095-1595</t>
  </si>
  <si>
    <t>헤어 365</t>
  </si>
  <si>
    <t>서울특별시 동작구 동작대로29길 115 (사당동, 사당우성아파트)</t>
  </si>
  <si>
    <t>02-3476-5955</t>
  </si>
  <si>
    <t>아이리스 분식</t>
  </si>
  <si>
    <t>서울특별시 동작구 상도로15길 98 (상도동)</t>
  </si>
  <si>
    <t>827-0288</t>
  </si>
  <si>
    <t>낙지랑 갈비랑</t>
  </si>
  <si>
    <t>서울특별시 동작구 양녕로25길 2-4 (상도동)</t>
  </si>
  <si>
    <t>02-825-5700</t>
  </si>
  <si>
    <t>서울특별시 동작구 동작대로15길 15 (사당동)</t>
  </si>
  <si>
    <t>02-522-6243</t>
  </si>
  <si>
    <t>통추어탕</t>
  </si>
  <si>
    <t>우리 콩사랑</t>
  </si>
  <si>
    <t>서울특별시 동작구 신대방2길 3 (신대방동)</t>
  </si>
  <si>
    <t>846-8116</t>
  </si>
  <si>
    <t>진미 순대국 감자탕</t>
  </si>
  <si>
    <t>서울특별시 동작구 사당로17나길 2 (사당동)</t>
  </si>
  <si>
    <t>김용산</t>
  </si>
  <si>
    <t>해장국</t>
  </si>
  <si>
    <t>궁중순대</t>
  </si>
  <si>
    <t>서울특별시 동작구 보라매로5길 15 (신대방동)</t>
  </si>
  <si>
    <t>0507-1487-3288</t>
  </si>
  <si>
    <t>돈까스 참 잘하는 집</t>
  </si>
  <si>
    <t>서울특별시 동작구 보라매로5길 43 (신대방동, 보라매삼성쉐르빌)</t>
  </si>
  <si>
    <t>831-9989</t>
  </si>
  <si>
    <t>생선까스</t>
  </si>
  <si>
    <t>궁중순대보쌈</t>
  </si>
  <si>
    <t>서울특별시 동작구 등용로14길 60 (노량진동)</t>
  </si>
  <si>
    <t>02-817-8664</t>
  </si>
  <si>
    <t>화풍정</t>
  </si>
  <si>
    <t>서울특별시 동작구 상도로 102 (상도동)</t>
  </si>
  <si>
    <t>02-814-3392</t>
  </si>
  <si>
    <t>(점심)시래기밥상</t>
  </si>
  <si>
    <t>대가설렁탕</t>
  </si>
  <si>
    <t>서울특별시 동작구 상도로 117 (상도동)</t>
  </si>
  <si>
    <t>02-813-1211</t>
  </si>
  <si>
    <t>보물쌈</t>
  </si>
  <si>
    <t>서울특별시 동작구 상도로 296-2 (상도1동)</t>
  </si>
  <si>
    <t>814-2151</t>
  </si>
  <si>
    <t>맛구이촌</t>
  </si>
  <si>
    <t>서울특별시 동작구 흑석로8길 5 (흑석동)</t>
  </si>
  <si>
    <t>823-6068</t>
  </si>
  <si>
    <t>삼겹살(수입산, 170g)</t>
  </si>
  <si>
    <t>용주골 생고기</t>
  </si>
  <si>
    <t>서울특별시 동작구 동작대로17길 5 (사당동)</t>
  </si>
  <si>
    <t>02-583-5404</t>
  </si>
  <si>
    <t>삼겹살(국내산, 200g)</t>
  </si>
  <si>
    <t>배꼽시계</t>
  </si>
  <si>
    <t>서울특별시 동작구 동작대로7길 80 (사당동)</t>
  </si>
  <si>
    <t>02-522-4234</t>
  </si>
  <si>
    <t>우렁쌈밥</t>
  </si>
  <si>
    <t>스카이 피자</t>
  </si>
  <si>
    <t>서울특별시 동작구 노량진로6길 86 (노량진동)</t>
  </si>
  <si>
    <t>02-822-3082</t>
  </si>
  <si>
    <t>피자</t>
  </si>
  <si>
    <t>서울특별시 동작구 등용로14길 81 (노량진동)</t>
  </si>
  <si>
    <t>02-817-0779</t>
  </si>
  <si>
    <t>풍미원</t>
  </si>
  <si>
    <t>서울특별시 동작구 사당로 253-4 (사당동)</t>
  </si>
  <si>
    <t>02-594-4579</t>
  </si>
  <si>
    <t>사당골</t>
  </si>
  <si>
    <t>서울특별시 동작구 사당로10길 97 (사당동)</t>
  </si>
  <si>
    <t>523-0274</t>
  </si>
  <si>
    <t>참숯불구이</t>
  </si>
  <si>
    <t>오리 회전구이</t>
  </si>
  <si>
    <t>돌쇠와 석쇠</t>
  </si>
  <si>
    <t>서울특별시 동작구 솔밭로 110 (사당동)</t>
  </si>
  <si>
    <t>02-588-1005</t>
  </si>
  <si>
    <t>통삼겹(180g)</t>
  </si>
  <si>
    <t>삼겹살(수입산, 180g)</t>
  </si>
  <si>
    <t>생오리 회전 숯불구이, 왕갈비탕</t>
  </si>
  <si>
    <t>서울특별시 동작구 사당로14가길 8 (사당동)</t>
  </si>
  <si>
    <t>525-4491</t>
  </si>
  <si>
    <t>서울특별시 구로구 구로중앙로 17 (구로동)</t>
  </si>
  <si>
    <t>02-838-6088</t>
  </si>
  <si>
    <t>생고기찌개</t>
  </si>
  <si>
    <t>금옥이네</t>
  </si>
  <si>
    <t>서울특별시 동작구 노량진로6길 18 (노량진동)</t>
  </si>
  <si>
    <t>02-816-3007</t>
  </si>
  <si>
    <t>다독이네 숯불갈비</t>
  </si>
  <si>
    <t>서울특별시 동작구 노량진로 106-5 (노량진동)</t>
  </si>
  <si>
    <t>02-6101-9299</t>
  </si>
  <si>
    <t>뼈삼겹갈비(200g)</t>
  </si>
  <si>
    <t>돼지갈비(수입산, 200g)</t>
  </si>
  <si>
    <t>국수뜨락</t>
  </si>
  <si>
    <t xml:space="preserve">서울특별시 서울 구로구 구로중앙로19가길 7 하나세인트빌 101호 </t>
  </si>
  <si>
    <t>02-862-9868</t>
  </si>
  <si>
    <t>옛날불고기</t>
  </si>
  <si>
    <t>시레기비빔밥</t>
  </si>
  <si>
    <t>코코스 중앙식당</t>
  </si>
  <si>
    <t>서울특별시 동작구 흑석로 24 (상도동)</t>
  </si>
  <si>
    <t>02-822-9260</t>
  </si>
  <si>
    <t>향기가득한 인생감자탕</t>
  </si>
  <si>
    <t>서울특별시 동작구 상도로 319 (상도1동)</t>
  </si>
  <si>
    <t>824-5780</t>
  </si>
  <si>
    <t>싸리골</t>
  </si>
  <si>
    <t>서울특별시 구로구 구로중앙로22길 7 (구로동)</t>
  </si>
  <si>
    <t>02-862-1323</t>
  </si>
  <si>
    <t>불고기쌈밥</t>
  </si>
  <si>
    <t>정식</t>
  </si>
  <si>
    <t>생선+청국장</t>
  </si>
  <si>
    <t>북경</t>
  </si>
  <si>
    <t>서울특별시 동작구 상도로37길 21 (상도1동)</t>
  </si>
  <si>
    <t>02-822-8022</t>
  </si>
  <si>
    <t>전라도 시래기국밥</t>
  </si>
  <si>
    <t>서울특별시 동작구 여의대방로24길 97 (대방동)</t>
  </si>
  <si>
    <t>821-5202</t>
  </si>
  <si>
    <t>우정식당</t>
  </si>
  <si>
    <t>서울특별시 동작구 노량진로8길 39 (노량진동)</t>
  </si>
  <si>
    <t>02-821-8156</t>
  </si>
  <si>
    <t>단비분식</t>
  </si>
  <si>
    <t>서울특별시 동작구 흑석로9길 13 (흑석동)</t>
  </si>
  <si>
    <t>02-817-8852</t>
  </si>
  <si>
    <t>사과나무</t>
  </si>
  <si>
    <t>서울특별시 동작구 흑석로9길 7 (흑석동)</t>
  </si>
  <si>
    <t>02-825-1831</t>
  </si>
  <si>
    <t>유정쌈밥</t>
  </si>
  <si>
    <t>서울특별시 동작구 서달로13길 5-14 (흑석동)</t>
  </si>
  <si>
    <t>02-816-0338</t>
  </si>
  <si>
    <t>쌈밥정식(국내산)</t>
  </si>
  <si>
    <t>쌈밥정식(수입산)</t>
  </si>
  <si>
    <t>남원집</t>
  </si>
  <si>
    <t>서울특별시 동작구 여의대방로24가길 8 (대방동)</t>
  </si>
  <si>
    <t>835-7066</t>
  </si>
  <si>
    <t>노들나루 밥상</t>
  </si>
  <si>
    <t>서울특별시 동작구 만양로18길 19-3 (노량진동)</t>
  </si>
  <si>
    <t>815-1409</t>
  </si>
  <si>
    <t>삼겹살 쌈밥 정식</t>
  </si>
  <si>
    <t>와가마마</t>
  </si>
  <si>
    <t>서울특별시 동작구 만양로14길 12 (노량진동)</t>
  </si>
  <si>
    <t>02-823-2225</t>
  </si>
  <si>
    <t>은혜식당</t>
  </si>
  <si>
    <t>서울특별시 동작구 사당로9가길 55 (사당동, 대창센시티아파트)</t>
  </si>
  <si>
    <t>02-592-8007</t>
  </si>
  <si>
    <t>내고향 나주곰탕</t>
  </si>
  <si>
    <t>서울특별시 동작구 사당로 183 (사당동)</t>
  </si>
  <si>
    <t>02-3476-2999</t>
  </si>
  <si>
    <t>우거지곰탕</t>
  </si>
  <si>
    <t>나주곰탕</t>
  </si>
  <si>
    <t>통삼겹구이 6900</t>
  </si>
  <si>
    <t>서울특별시 동작구 보라매로 93 (신대방동)</t>
  </si>
  <si>
    <t>02-826-9285</t>
  </si>
  <si>
    <t>오리로스주물럭(200g)</t>
  </si>
  <si>
    <t>삼호정</t>
  </si>
  <si>
    <t>서울특별시 동작구 여의대방로24길 50 (신대방동)</t>
  </si>
  <si>
    <t>02-825-6023</t>
  </si>
  <si>
    <t>이고시다</t>
  </si>
  <si>
    <t>서울특별시 동작구 여의대방로22길 98 (신대방동)</t>
  </si>
  <si>
    <t>02-821-7007</t>
  </si>
  <si>
    <t>(점심)알탕</t>
  </si>
  <si>
    <t>(점심)해물순두부찌개</t>
  </si>
  <si>
    <t>성상등갈비</t>
  </si>
  <si>
    <t>서울특별시 동작구 신대방길 108 (신대방동)</t>
  </si>
  <si>
    <t>02-848-1151</t>
  </si>
  <si>
    <t>등갈비(350g)</t>
  </si>
  <si>
    <t>주연헤어센스</t>
  </si>
  <si>
    <t>서울특별시 마포구 희우정로10길 30 (망원동)</t>
  </si>
  <si>
    <t>02-332-1777</t>
  </si>
  <si>
    <t>웰빙뚝배기</t>
  </si>
  <si>
    <t>서울특별시 마포구 동교로12길 21 (서교동)</t>
  </si>
  <si>
    <t>02-982-0652</t>
  </si>
  <si>
    <t>다인</t>
  </si>
  <si>
    <t>서울특별시 강동구 양재대로147길 7 (명일동)</t>
  </si>
  <si>
    <t>02-428-2824</t>
  </si>
  <si>
    <t>점심식사</t>
  </si>
  <si>
    <t>뚝배기청국장</t>
  </si>
  <si>
    <t>제일정육식당</t>
  </si>
  <si>
    <t>서울특별시 동대문구 장한로10길 45, 지하1층 (장안동)</t>
  </si>
  <si>
    <t>02-2242-9925</t>
  </si>
  <si>
    <t>소뚝불고기</t>
  </si>
  <si>
    <t>목살(600g)</t>
  </si>
  <si>
    <t>가정식당</t>
  </si>
  <si>
    <t>서울특별시 강남구 학동로77길 20 (청담동)</t>
  </si>
  <si>
    <t>02-514-8009</t>
  </si>
  <si>
    <t>서울밥집</t>
  </si>
  <si>
    <t>서울특별시 관악구 관천로 36-1 (신림동)</t>
  </si>
  <si>
    <t>신림닭볶음탕</t>
  </si>
  <si>
    <t>서울특별시 관악구 신림동7길 51 (신림동)</t>
  </si>
  <si>
    <t>02-883-9242</t>
  </si>
  <si>
    <t>서울특별시 관악구 봉천로 575-1 (봉천동)</t>
  </si>
  <si>
    <t>02-872-1233</t>
  </si>
  <si>
    <t>플러스카페</t>
  </si>
  <si>
    <t>서울특별시 종로구 삼봉로 43 (수송동) 종로구청 본관1층</t>
  </si>
  <si>
    <t>02-6247-9926</t>
  </si>
  <si>
    <t>진차돌</t>
  </si>
  <si>
    <t>서울특별시 종로구 종로35길 39 (효제동) 1층 102호</t>
  </si>
  <si>
    <t>02-745-2516</t>
  </si>
  <si>
    <t>차돌박이</t>
  </si>
  <si>
    <t>만족김치삼겹살(만족숯불갈비)</t>
  </si>
  <si>
    <t>서울특별시 종로구 종로53길 7-2 (창신동)</t>
  </si>
  <si>
    <t>02-765-1298</t>
  </si>
  <si>
    <t>미시간모텔</t>
  </si>
  <si>
    <t>숙박업(호텔,여관)</t>
  </si>
  <si>
    <t>서울특별시 종로구 난계로29길 43 (숭인동)</t>
  </si>
  <si>
    <t>02-2252-0820</t>
  </si>
  <si>
    <t>숙박료</t>
  </si>
  <si>
    <t>호텔 라와</t>
  </si>
  <si>
    <t>서울특별시 종로구 수표로26길 3 (낙원동)</t>
  </si>
  <si>
    <t>02-741-4455</t>
  </si>
  <si>
    <t>일반실</t>
  </si>
  <si>
    <t>특실</t>
  </si>
  <si>
    <t>구대회커피</t>
  </si>
  <si>
    <t>서울특별시 마포구 창전로2길 9 (신수동)</t>
  </si>
  <si>
    <t>02-716-8739</t>
  </si>
  <si>
    <t>유나헤어</t>
  </si>
  <si>
    <t>서울특별시 마포구 방울내로 40 1층 (망원동)</t>
  </si>
  <si>
    <t>02-323-8024</t>
  </si>
  <si>
    <t>망원시장손칼국수</t>
  </si>
  <si>
    <t>서울특별시 마포구 망원로8길 29 (망원동)</t>
  </si>
  <si>
    <t>02-6012-7139</t>
  </si>
  <si>
    <t>옛날 손짜장</t>
  </si>
  <si>
    <t>차이나는만두</t>
  </si>
  <si>
    <t>서울특별시 마포구 백범로 205 (신공덕동, 마포펜트라우스)</t>
  </si>
  <si>
    <t>02-702-7176</t>
  </si>
  <si>
    <t>경성커피</t>
  </si>
  <si>
    <t>서울특별시 마포구 삼개로 7-1 (도화동)</t>
  </si>
  <si>
    <t>02-716-7007</t>
  </si>
  <si>
    <t>커피농부와정원</t>
  </si>
  <si>
    <t>서울특별시 마포구 월드컵로42길 14, 102호 (상암동)</t>
  </si>
  <si>
    <t>02-307-0123</t>
  </si>
  <si>
    <t>냠냠분식</t>
  </si>
  <si>
    <t>서울특별시 서울 마포구 모래내로7길 89</t>
  </si>
  <si>
    <t>02-303-7332</t>
  </si>
  <si>
    <t>신라면</t>
  </si>
  <si>
    <t>지영헤어샵</t>
  </si>
  <si>
    <t>서울특별시 마포구 백범로 199, 지하1층 109호(신공덕동)</t>
  </si>
  <si>
    <t>02-707-2551</t>
  </si>
  <si>
    <t>문가네식당</t>
  </si>
  <si>
    <t>서울특별시 강서구 화곡로61길 64 (등촌동, 녹십초훼미리타운)</t>
  </si>
  <si>
    <t>02-3661-0094</t>
  </si>
  <si>
    <t>그린미용실</t>
  </si>
  <si>
    <t>서울특별시 강서구 월정로30길 47 (화곡동)</t>
  </si>
  <si>
    <t>02-2697-6254</t>
  </si>
  <si>
    <t xml:space="preserve"> 미용료(파마) </t>
  </si>
  <si>
    <t>복음미용실</t>
  </si>
  <si>
    <t>서울특별시 강서구 공항대로65길 51 (염창동, 대경캐슬)</t>
  </si>
  <si>
    <t>02-3664-2822</t>
  </si>
  <si>
    <t>삼성이발관</t>
  </si>
  <si>
    <t>서울특별시 도봉구 도봉로169나길 38 지상 1층 (도봉동)</t>
  </si>
  <si>
    <t>이발(경로우대)</t>
  </si>
  <si>
    <t>백조미용실</t>
  </si>
  <si>
    <t>서울특별시 서울 도봉구 도봉로160길 17</t>
  </si>
  <si>
    <t>월드맛집</t>
  </si>
  <si>
    <t>서울특별시 강남구 논현로151길 26 (신사동)</t>
  </si>
  <si>
    <t>02-516-7892</t>
  </si>
  <si>
    <t>제육뚝배기(덮밥)</t>
  </si>
  <si>
    <t>닭도리뚝배기</t>
  </si>
  <si>
    <t>맛있는돈까스</t>
  </si>
  <si>
    <t>서울특별시 강남구 개포로 638 지상1층(일원동)</t>
  </si>
  <si>
    <t>02-459-5278</t>
  </si>
  <si>
    <t>카레밥</t>
  </si>
  <si>
    <t>일반돈까스</t>
  </si>
  <si>
    <t>한벽루 전주콩나물국밥</t>
  </si>
  <si>
    <t>서울특별시 강남구 개포로 648 1층(일원동)</t>
  </si>
  <si>
    <t>02-445-1041</t>
  </si>
  <si>
    <t>양푼비빔밥</t>
  </si>
  <si>
    <t>버섯들깨탕</t>
  </si>
  <si>
    <t>손칼국수&amp;손만두</t>
  </si>
  <si>
    <t>서울특별시 강남구 광평로56길 11 (수서동, 수서6단지아파트)</t>
  </si>
  <si>
    <t>02-445-1585</t>
  </si>
  <si>
    <t>얼큰이칼국수</t>
  </si>
  <si>
    <t>만아정육점식당</t>
  </si>
  <si>
    <t>서울특별시 강남구 광평로56길 11 수서아파트상가 103호 (수서동)</t>
  </si>
  <si>
    <t>02-459-9488</t>
  </si>
  <si>
    <t>돼지모듬(180g)</t>
  </si>
  <si>
    <t>양평해장국</t>
  </si>
  <si>
    <t>서울특별시 강남구 논현로12길 19-7 1층(개포동)</t>
  </si>
  <si>
    <t>02-578-4464</t>
  </si>
  <si>
    <t>순대해장국</t>
  </si>
  <si>
    <t>김밥여행</t>
  </si>
  <si>
    <t>서울특별시 강남구 논현로4길 47 (개포동)</t>
  </si>
  <si>
    <t>02-571-0747</t>
  </si>
  <si>
    <t>원할매이모네닭한마리</t>
  </si>
  <si>
    <t>서울특별시 강남구 도곡로4길 9 2층(도곡동)</t>
  </si>
  <si>
    <t>02-3461-8555</t>
  </si>
  <si>
    <t>뚝배기닭볶음탕(1인)</t>
  </si>
  <si>
    <t>행운식당</t>
  </si>
  <si>
    <t>서울특별시 강남구 선릉로 328 1층 8호(대치동)</t>
  </si>
  <si>
    <t>02-561-4260</t>
  </si>
  <si>
    <t>나물비빔밥</t>
  </si>
  <si>
    <t>국민우동집</t>
  </si>
  <si>
    <t>서울특별시 강남구 테헤란로4길 38 (역삼동)</t>
  </si>
  <si>
    <t>02-555-5849</t>
  </si>
  <si>
    <t>면곡당</t>
  </si>
  <si>
    <t>서울특별시 광진구 면목로17길 24 (중곡동)</t>
  </si>
  <si>
    <t>0507-1309-1743</t>
  </si>
  <si>
    <t>마카롱</t>
  </si>
  <si>
    <t>능라도분식</t>
  </si>
  <si>
    <t>서울특별시 광진구 천호대로110길 50 (능동)</t>
  </si>
  <si>
    <t>02-455-0322</t>
  </si>
  <si>
    <t>마니아우동</t>
  </si>
  <si>
    <t>서울특별시 광진구 긴고랑로 25 (중곡동)</t>
  </si>
  <si>
    <t>02-465-2587</t>
  </si>
  <si>
    <t>행복한밥상</t>
  </si>
  <si>
    <t xml:space="preserve">서울특별시 강남구 테헤란로 310 지하1층 109호(역삼동) </t>
  </si>
  <si>
    <t>02-555-7935</t>
  </si>
  <si>
    <t>카와블러썸</t>
  </si>
  <si>
    <t>서울특별시 금천구 남부순환로108길 30 (가산동)</t>
  </si>
  <si>
    <t>02-867-4952</t>
  </si>
  <si>
    <t>중국관</t>
  </si>
  <si>
    <t>서울특별시 광진구 긴고랑로 39 (중곡동)</t>
  </si>
  <si>
    <t>02-497-5276</t>
  </si>
  <si>
    <t>서희네</t>
  </si>
  <si>
    <t>서울특별시 강남구 개포로22길 41 1층 101호(개포동)</t>
  </si>
  <si>
    <t>0507-1300-7281</t>
  </si>
  <si>
    <t>생오겹살(200g)</t>
  </si>
  <si>
    <t>노다지</t>
  </si>
  <si>
    <t>서울특별시 강남구 개포로30길 6 (개포동)</t>
  </si>
  <si>
    <t>02-573-1008</t>
  </si>
  <si>
    <t>삽겹살(180g)</t>
  </si>
  <si>
    <t>하하</t>
  </si>
  <si>
    <t>서울특별시 강남구 논현로151길 24 (신사동)</t>
  </si>
  <si>
    <t>02-546-2697</t>
  </si>
  <si>
    <t>하하우동</t>
  </si>
  <si>
    <t>알밥+우동</t>
  </si>
  <si>
    <t>카레덮밥+우동</t>
  </si>
  <si>
    <t>시골애 청국장</t>
  </si>
  <si>
    <t>서울특별시 강남구 개포로 638 (일원동) 지상1층 102호</t>
  </si>
  <si>
    <t>02-3411-1041</t>
  </si>
  <si>
    <t>시골애청국장</t>
  </si>
  <si>
    <t>풍경한식</t>
  </si>
  <si>
    <t xml:space="preserve">서울특별시 강남구 광평로47길 17 (수서동, 신동아아파트) </t>
  </si>
  <si>
    <t>02-3411-0005</t>
  </si>
  <si>
    <t>오늘의 메뉴</t>
  </si>
  <si>
    <t>오가네밥상</t>
  </si>
  <si>
    <t>서울특별시 강남구 광평로 280 지하2층 138호</t>
  </si>
  <si>
    <t>02-3413-0181</t>
  </si>
  <si>
    <t>생삽겹살(180g)</t>
  </si>
  <si>
    <t>생항정살(180g)</t>
  </si>
  <si>
    <t>소담</t>
  </si>
  <si>
    <t>서울특별시 강남구 개포로 615 (개포동) 지하 115호</t>
  </si>
  <si>
    <t>02-3414-0010</t>
  </si>
  <si>
    <t>석화촌</t>
  </si>
  <si>
    <t>서울특별시 강남구 강남대로 240 (도곡동) 지하1층 B111</t>
  </si>
  <si>
    <t>02-573-5756</t>
  </si>
  <si>
    <t>양푼비빔밥+된장찌개</t>
  </si>
  <si>
    <t>불고기덥밥</t>
  </si>
  <si>
    <t>신의주찹쌀순대감자탕</t>
  </si>
  <si>
    <t>서울특별시 강남구 테헤란로27길 22 (역삼동)</t>
  </si>
  <si>
    <t>02-508-0799</t>
  </si>
  <si>
    <t>강남제비</t>
  </si>
  <si>
    <t>서울특별시 강남구 테헤란로25길 20 역삼현대벤처빌딩2층 207호(역삼동)</t>
  </si>
  <si>
    <t>장미헤어컷트원</t>
  </si>
  <si>
    <t>서울특별시 노원구 섬밭로 196, 하계장미6단지B14호 (하계동)</t>
  </si>
  <si>
    <t>힘북이발소</t>
  </si>
  <si>
    <t>서울특별시 노원구 동일로 1390, 상계주공6단지 상가 204 (상계동)</t>
  </si>
  <si>
    <t>0507-1348-2331</t>
  </si>
  <si>
    <t>불암골 맛있는 집</t>
  </si>
  <si>
    <t>서울특별시 노원구 중계로16가길 17 (중계동)</t>
  </si>
  <si>
    <t>932-9988</t>
  </si>
  <si>
    <t>쉼터기원</t>
  </si>
  <si>
    <t>서울특별시 강동구 양재대로 1389 (성내동), 3층</t>
  </si>
  <si>
    <t>기원</t>
  </si>
  <si>
    <t>장수보리밥</t>
  </si>
  <si>
    <t>서울특별시 중구 퇴계로85길 12-4 (황학동)</t>
  </si>
  <si>
    <t>02-2252-2808</t>
  </si>
  <si>
    <t>고기쌈밥</t>
  </si>
  <si>
    <t>장수된장찌개</t>
  </si>
  <si>
    <t>장수꽁보리밥</t>
  </si>
  <si>
    <t>야채쌈밥</t>
  </si>
  <si>
    <t>쌀비빔밥</t>
  </si>
  <si>
    <t>장충동한방왕족발</t>
  </si>
  <si>
    <t>서울특별시 중구 퇴계로85길 6-2 (황학동)</t>
  </si>
  <si>
    <t>02-2231-0242</t>
  </si>
  <si>
    <t>왕족발(소)</t>
  </si>
  <si>
    <t>미니족발(소)</t>
  </si>
  <si>
    <t>형제정육식당</t>
  </si>
  <si>
    <t>서울특별시 중구 다산로40길 56 (신당동)</t>
  </si>
  <si>
    <t>02-2235-9902</t>
  </si>
  <si>
    <t>한우된장찌개</t>
  </si>
  <si>
    <t>한우설렁탕</t>
  </si>
  <si>
    <t>백미사 세탁소</t>
  </si>
  <si>
    <t>서울특별시 중구 퇴계로90길 49 (신당동)</t>
  </si>
  <si>
    <t>02-2252-5885</t>
  </si>
  <si>
    <t>드라이클리닝</t>
  </si>
  <si>
    <t>흑돈연가</t>
  </si>
  <si>
    <t>서울특별시 서울 중구 퇴계로88길 20, 1층</t>
  </si>
  <si>
    <t>02-2234-7854</t>
  </si>
  <si>
    <t xml:space="preserve">삼겹살(180g) </t>
  </si>
  <si>
    <t>돈우가식당</t>
  </si>
  <si>
    <t>서울특별시 중구 남대문로 25-17 (북창동) 1층</t>
  </si>
  <si>
    <t>02-3789-1313</t>
  </si>
  <si>
    <t>한우소머리국밥</t>
  </si>
  <si>
    <t>삼겹살200g</t>
  </si>
  <si>
    <t>황해이발관</t>
  </si>
  <si>
    <t>서울특별시 강북구 솔매로 35-1 (미아동)</t>
  </si>
  <si>
    <t>건영사우나</t>
  </si>
  <si>
    <t>목욕업</t>
  </si>
  <si>
    <t>서울특별시 성동구 동일로 263 (송정동, 송정동 건영아파트)</t>
  </si>
  <si>
    <t>02-464-9888</t>
  </si>
  <si>
    <t>목욕료(성인)</t>
  </si>
  <si>
    <t>찜질방 이용료</t>
  </si>
  <si>
    <t>송하정</t>
  </si>
  <si>
    <t>서울특별시 무학봉길 77 (하왕십리동)</t>
  </si>
  <si>
    <t>02-2291-3346</t>
  </si>
  <si>
    <t>주인밥상</t>
  </si>
  <si>
    <t>보글보글 지글지글</t>
  </si>
  <si>
    <t>서울특별시 관악구 난우길 47 (신림동)</t>
  </si>
  <si>
    <t>02-3281-8253</t>
  </si>
  <si>
    <t>옥천골</t>
  </si>
  <si>
    <t>서울특별시 관악구 청룡7길 41 (봉천동)</t>
  </si>
  <si>
    <t>02-877-8292</t>
  </si>
  <si>
    <t>돌솥추어탕</t>
  </si>
  <si>
    <t>시민식당</t>
  </si>
  <si>
    <t>서울특별시 관악구 남부순환로 1869 (봉천동)</t>
  </si>
  <si>
    <t>02-872-1990</t>
  </si>
  <si>
    <t>심영희헤어</t>
  </si>
  <si>
    <t>서울특별시 관악구 행운1길 116 (봉천동)</t>
  </si>
  <si>
    <t>서울특별시 관악구 관천로 49 (신림동)</t>
  </si>
  <si>
    <t>꽁보리밥정식</t>
  </si>
  <si>
    <t>투가리(청년밥집)</t>
  </si>
  <si>
    <t>서울특별시 관악구 봉천로 595-1 (봉천동)</t>
  </si>
  <si>
    <t>은행나무갈매기</t>
  </si>
  <si>
    <t>서울특별시 금천구 금하로 678 (시흥동)</t>
  </si>
  <si>
    <t>02-894-8999</t>
  </si>
  <si>
    <t>갈비살</t>
  </si>
  <si>
    <t>카페스타</t>
  </si>
  <si>
    <t>서울특별시 강북구 삼각산로 71 (수유동)</t>
  </si>
  <si>
    <t>0507-1308-3826</t>
  </si>
  <si>
    <t>착한이발</t>
  </si>
  <si>
    <t>서울특별시 강북구 도봉로 371 (수유동)</t>
  </si>
  <si>
    <t>070-8866-2350</t>
  </si>
  <si>
    <t>커트&amp;사우나무료</t>
  </si>
  <si>
    <t>서울특별시 광진구 광나루로 373, 1층 (군자동)</t>
  </si>
  <si>
    <t>커피홀릭</t>
  </si>
  <si>
    <t>서울특별시 은평구 응암로 250-1 (응암동)</t>
  </si>
  <si>
    <t>02-354-4334</t>
  </si>
  <si>
    <t>커피(아메리카노)</t>
  </si>
  <si>
    <t>서울특별시 서울 도봉구 해등로 83</t>
  </si>
  <si>
    <t>02-902-0056</t>
  </si>
  <si>
    <t>추어탕(일반)</t>
  </si>
  <si>
    <t>추어탕(경로우대)</t>
  </si>
  <si>
    <t>서울특별시 서울 도봉구 도당로13가길 6</t>
  </si>
  <si>
    <t>02-3493-6553</t>
  </si>
  <si>
    <t>떡만둣국</t>
  </si>
  <si>
    <t>서울특별시 서울 도봉구 도당로13가길 13</t>
  </si>
  <si>
    <t>02-375-2727</t>
  </si>
  <si>
    <t>옛날손칼국수</t>
  </si>
  <si>
    <t>소고기콩나물밥</t>
  </si>
  <si>
    <t>풍년갈비</t>
  </si>
  <si>
    <t>서울특별시 마포구 동교로 264 (연남동)</t>
  </si>
  <si>
    <t>02-322-5818</t>
  </si>
  <si>
    <t>연희동 할머니네</t>
  </si>
  <si>
    <t>서울특별시 마포구 성미산로 100 (연남동)</t>
  </si>
  <si>
    <t>02-322-8258</t>
  </si>
  <si>
    <t>김치찌개 백반</t>
  </si>
  <si>
    <t>생선구이 정식</t>
  </si>
  <si>
    <t>미소국수</t>
  </si>
  <si>
    <t>서울특별시 마포구 동교로27길 62 (연남동)</t>
  </si>
  <si>
    <t>02-326-5403</t>
  </si>
  <si>
    <t>오군 수제돈까스</t>
  </si>
  <si>
    <t>02-325-5159</t>
  </si>
  <si>
    <t>수제로스까스</t>
  </si>
  <si>
    <t>소시지 핫도그</t>
  </si>
  <si>
    <t>와이앤케이 스튜디오</t>
  </si>
  <si>
    <t>서울특별시 마포구 삼개로 24, 3층 (도화동, 용현빌딩)</t>
  </si>
  <si>
    <t>02-6337-6001</t>
  </si>
  <si>
    <t>가족사진 24R</t>
  </si>
  <si>
    <t>4x6 즉석인화</t>
  </si>
  <si>
    <t>증명,여권사진</t>
  </si>
  <si>
    <t>참맛 닭곰탕</t>
  </si>
  <si>
    <t>서울특별시 마포구 망원로8길 36 (망원동)</t>
  </si>
  <si>
    <t>02-336-9945</t>
  </si>
  <si>
    <t>닭곰탕(특)</t>
  </si>
  <si>
    <t>M&amp;M미용실</t>
  </si>
  <si>
    <t>서울특별시 강남구 일원로3길 10 (일원동)</t>
  </si>
  <si>
    <t>02-3411-3727</t>
  </si>
  <si>
    <t>더스푼</t>
  </si>
  <si>
    <t>서울특별시 강남구 역삼로 517 (대치동)</t>
  </si>
  <si>
    <t>02-567-9889</t>
  </si>
  <si>
    <t>황가솥뚜껑삼겹살</t>
  </si>
  <si>
    <t>서울특별시 강남구 논현로30길 36 지하1층(도곡동)</t>
  </si>
  <si>
    <t>02-578-9043</t>
  </si>
  <si>
    <t>자반고등어구이</t>
  </si>
  <si>
    <t>예자네밥상</t>
  </si>
  <si>
    <t>서울특별시 강남구 테헤란로114길 30 (대치동)</t>
  </si>
  <si>
    <t>02-553-4675</t>
  </si>
  <si>
    <t>반도리탕</t>
  </si>
  <si>
    <t>예향</t>
  </si>
  <si>
    <t>서울특별시 강남구 역삼로7길 3 2층(역삼동)</t>
  </si>
  <si>
    <t>02-539-4431</t>
  </si>
  <si>
    <t>역삼정</t>
  </si>
  <si>
    <t>서울특별시 강남구 역삼로19길 31 (역삼동)</t>
  </si>
  <si>
    <t>02-539-7107</t>
  </si>
  <si>
    <t>고추장불고기</t>
  </si>
  <si>
    <t>부추된장</t>
  </si>
  <si>
    <t>커트클럽</t>
  </si>
  <si>
    <t>서울특별시 노원구 동일로 1541 (상계동, 11단지종합상가 15-2)</t>
  </si>
  <si>
    <t>02-933-0221</t>
  </si>
  <si>
    <t>형제해장국</t>
  </si>
  <si>
    <t>서울특별시 노원구 동일로 1106, 1층 일부(공릉동)</t>
  </si>
  <si>
    <t>02-979-5309</t>
  </si>
  <si>
    <t>서울특별시 노원구 석계로 27 (월계동)</t>
  </si>
  <si>
    <t>02-941-3344</t>
  </si>
  <si>
    <t>짬뽕늬우스</t>
  </si>
  <si>
    <t>서울특별시 노원구 노해로81길 6 (상계동)</t>
  </si>
  <si>
    <t>02-934-4442</t>
  </si>
  <si>
    <t>오늘김밥</t>
  </si>
  <si>
    <t>서울특별시 성북구 보문로 157-1, 1층</t>
  </si>
  <si>
    <t>02-925-8558</t>
  </si>
  <si>
    <t>Shville세탁</t>
  </si>
  <si>
    <t>서울특별시 성북구 한천로101길 36, 장월상가 203호 (장위동)</t>
  </si>
  <si>
    <t>02-941-8423</t>
  </si>
  <si>
    <t>코트류</t>
  </si>
  <si>
    <t>아쿠아산소사우나</t>
  </si>
  <si>
    <t>서울특별시 강북구 한천로 1131(수유동)</t>
  </si>
  <si>
    <t>02-991-6388</t>
  </si>
  <si>
    <t>광희식당</t>
  </si>
  <si>
    <t>서울특별시 중구 장충단로 212-2 (광희동2가)</t>
  </si>
  <si>
    <t>02-2265-1555</t>
  </si>
  <si>
    <t>카페 베아띠</t>
  </si>
  <si>
    <t>서울특별시 중구 삼일대로 300 (충무로2가)</t>
  </si>
  <si>
    <t>02-2264-8695</t>
  </si>
  <si>
    <t>샌드위치 세트</t>
  </si>
  <si>
    <t>베이글 세트</t>
  </si>
  <si>
    <t>우리집 맛자랑</t>
  </si>
  <si>
    <t>서울특별시 중구 퇴계로20길 26 (남산동2가)</t>
  </si>
  <si>
    <t>02-319-8939</t>
  </si>
  <si>
    <t>노랑머리미용실</t>
  </si>
  <si>
    <t>서울특별시 관악구 남부순환로145길 11 (신림동)</t>
  </si>
  <si>
    <t>02-864-6196</t>
  </si>
  <si>
    <t>회복펌</t>
  </si>
  <si>
    <t>우리가참순대</t>
  </si>
  <si>
    <t>서울특별시 관악구 관악로 148 (봉천동)</t>
  </si>
  <si>
    <t>02-883-1063</t>
  </si>
  <si>
    <t>가영미용실</t>
  </si>
  <si>
    <t>서울특별시 금천구 시흥대로39길 8 (시흥동)</t>
  </si>
  <si>
    <t>02-715-4539</t>
  </si>
  <si>
    <t>나나헤어샵</t>
  </si>
  <si>
    <t>서울특별시 구로구 구로동로38길 11-4 (구로동)</t>
  </si>
  <si>
    <t>02-851-1705</t>
  </si>
  <si>
    <t>에스더헤어스케치</t>
  </si>
  <si>
    <t>서울특별시 구로구 구로동로38길 8 (구로동)</t>
  </si>
  <si>
    <t>02-867-4522</t>
  </si>
  <si>
    <t>파카</t>
  </si>
  <si>
    <t>삼거리식당</t>
  </si>
  <si>
    <t>서울특별시 구로구 구로동로38길 15 (구로동)</t>
  </si>
  <si>
    <t>02-862-9873</t>
  </si>
  <si>
    <t>삼겹살(프랑스산)</t>
  </si>
  <si>
    <t>동경사진관</t>
  </si>
  <si>
    <t>서울특별시 구로구 우마길 14 (가리봉동)</t>
  </si>
  <si>
    <t>02-863-3598</t>
  </si>
  <si>
    <t>해바라기</t>
  </si>
  <si>
    <t>서울특별시 구로구 구로동로 9-17 (가리봉동)</t>
  </si>
  <si>
    <t>02-862-7208</t>
  </si>
  <si>
    <t>삼겹살데이</t>
  </si>
  <si>
    <t>서울특별시 서대문구 가좌로 29 (연희동)</t>
  </si>
  <si>
    <t>324-0301</t>
  </si>
  <si>
    <t>송림기사식당</t>
  </si>
  <si>
    <t>서울특별시 서대문구 모래내로 209 (남가좌동)</t>
  </si>
  <si>
    <t>02-308-2317</t>
  </si>
  <si>
    <t>초벌구이삼겹살</t>
  </si>
  <si>
    <t>생삼겹(200g)</t>
  </si>
  <si>
    <t>초벌구이목살</t>
  </si>
  <si>
    <t>커피디인</t>
  </si>
  <si>
    <t>서울특별시 거북골로20길3</t>
  </si>
  <si>
    <t>309-1688</t>
  </si>
  <si>
    <t>축산정육식당</t>
  </si>
  <si>
    <t>서울특별시 통일로 479</t>
  </si>
  <si>
    <t>02-391-9285</t>
  </si>
  <si>
    <t>소한마리세트(500g)</t>
  </si>
  <si>
    <t>돼지한마리세트(600g)</t>
  </si>
  <si>
    <t>1번출구커피</t>
  </si>
  <si>
    <t>서울특별시 서대문구 통일로 460 (홍제동)</t>
  </si>
  <si>
    <t>379-0595</t>
  </si>
  <si>
    <t>소돈</t>
  </si>
  <si>
    <t>서울특별시 서대문구 응암로 69 (북가좌동)</t>
  </si>
  <si>
    <t>070-8289-8573</t>
  </si>
  <si>
    <t>소돈갈비</t>
  </si>
  <si>
    <t>생삼겹살(150g)</t>
  </si>
  <si>
    <t>한잎</t>
  </si>
  <si>
    <t>서울특별시 서대문구 세무서7길 6-2 (홍제동)</t>
  </si>
  <si>
    <t>391-7770</t>
  </si>
  <si>
    <t>더케익부티크</t>
  </si>
  <si>
    <t>서울특별시 서대문구 통일로39나길 28 (홍제동)</t>
  </si>
  <si>
    <t>3217-5878</t>
  </si>
  <si>
    <t>나주식당</t>
  </si>
  <si>
    <t>서울특별시 연세로 10-1</t>
  </si>
  <si>
    <t>02-393-9982</t>
  </si>
  <si>
    <t>조정현갈비탕</t>
  </si>
  <si>
    <t>서울특별시 서대문구 명물길 43-3 (창천동)</t>
  </si>
  <si>
    <t>312-5408</t>
  </si>
  <si>
    <t>홍제동잔치집</t>
  </si>
  <si>
    <t>서울특별시 서대문구 통일로 428-1 (홍제동)</t>
  </si>
  <si>
    <t>02-720-8833</t>
  </si>
  <si>
    <t>중화요리 신세계로반점</t>
  </si>
  <si>
    <t>서울특별시 서대문구 증가로24바길 71 (북가좌동)</t>
  </si>
  <si>
    <t>02-304-5100</t>
  </si>
  <si>
    <t>다미돈까스</t>
  </si>
  <si>
    <t>서울특별시 서대문구 증가로 260 (북가좌동)</t>
  </si>
  <si>
    <t>373-3322</t>
  </si>
  <si>
    <t>이삭칼국수</t>
  </si>
  <si>
    <t>서울특별시 서대문구 증가로 101 (남가좌동)</t>
  </si>
  <si>
    <t>3152-8882</t>
  </si>
  <si>
    <t>엄마손밥상</t>
  </si>
  <si>
    <t>서울특별시 서대문구 응암로1길 9-1 (북가좌동)</t>
  </si>
  <si>
    <t>302-3486</t>
  </si>
  <si>
    <t>불고기</t>
  </si>
  <si>
    <t>칼집삼겹살</t>
  </si>
  <si>
    <t>서울특별시 서대문구 통일로39가길 12 (홍제동)</t>
  </si>
  <si>
    <t>0507-1446-9023</t>
  </si>
  <si>
    <t>술된장</t>
  </si>
  <si>
    <t>소문난냉면</t>
  </si>
  <si>
    <t>서울특별시 서대문구 거북골로 210 (북가좌동)</t>
  </si>
  <si>
    <t>02-373-7673</t>
  </si>
  <si>
    <t>물(비빔)냉면</t>
  </si>
  <si>
    <t>숯불고기+물(비빔)냉면</t>
  </si>
  <si>
    <t>소문난화순집</t>
  </si>
  <si>
    <t>서울특별시 서대문구 증가로24마길 47 (북가좌동, 에코더블레스)</t>
  </si>
  <si>
    <t>02-376-2062</t>
  </si>
  <si>
    <t>생선구이백반</t>
  </si>
  <si>
    <t>청와면옥함흥냉면</t>
  </si>
  <si>
    <t>서울특별시 서대문구 응암로 94 (북가좌동)</t>
  </si>
  <si>
    <t>02-309-8395</t>
  </si>
  <si>
    <t>갈비탕(미국산)</t>
  </si>
  <si>
    <t>낙원식당</t>
  </si>
  <si>
    <t>서울특별시 서대문구 응암로 141 (북가좌동)</t>
  </si>
  <si>
    <t>02-303-2088</t>
  </si>
  <si>
    <t>고향한식부페</t>
  </si>
  <si>
    <t>서울특별시 강남구 논현로72길 20 지하1층(역삼동)</t>
  </si>
  <si>
    <t>02-3452-8050</t>
  </si>
  <si>
    <t>대영식당</t>
  </si>
  <si>
    <t>서울특별시 강남구 강남대로62길 30  (역삼동)</t>
  </si>
  <si>
    <t>02-566-1373</t>
  </si>
  <si>
    <t>서울특별시 강남구 역삼로19길 29 (역삼동)</t>
  </si>
  <si>
    <t>02-557-9397</t>
  </si>
  <si>
    <t>누이네</t>
  </si>
  <si>
    <t>서울특별시 강남구 압구정로2길 46 (신사동, 강남상가아파트) 1층 3호, 40호</t>
  </si>
  <si>
    <t>02-545-5195</t>
  </si>
  <si>
    <t>보현식당</t>
  </si>
  <si>
    <t>서울특별시 광진구 뚝섬로34길 9 (자양동, 자양2차현대아파트)</t>
  </si>
  <si>
    <t>458-5784</t>
  </si>
  <si>
    <t>종로식당</t>
  </si>
  <si>
    <t>서울특별시 서울 광진구 아차산로 324</t>
  </si>
  <si>
    <t>02-457-2411</t>
  </si>
  <si>
    <t>보광식당</t>
  </si>
  <si>
    <t>서울특별시 서울 광진구 아차산로 341-1</t>
  </si>
  <si>
    <t>02-456-3707</t>
  </si>
  <si>
    <t>신가네참숯민물장어</t>
  </si>
  <si>
    <t>서울특별시 금천구 시흥대로52길 18 (시흥동)</t>
  </si>
  <si>
    <t>02-802-2999</t>
  </si>
  <si>
    <t>산들바다 생고기</t>
  </si>
  <si>
    <t>서울특별시 금천구 금하로 613 (시흥동)</t>
  </si>
  <si>
    <t>02-808-6919</t>
  </si>
  <si>
    <t>생삼겹살 200g</t>
  </si>
  <si>
    <t>통돼지한마리500g</t>
  </si>
  <si>
    <t>생목살 200g</t>
  </si>
  <si>
    <t>돼지불고기(간장,고추장)</t>
  </si>
  <si>
    <t>육합춘짜장짬뽕전문</t>
  </si>
  <si>
    <t>서울특별시 금천구 시흥대로26길 5 (시흥동)</t>
  </si>
  <si>
    <t>02-802-0133</t>
  </si>
  <si>
    <t>장수갈비</t>
  </si>
  <si>
    <t>서울특별시 금천구 시흥대로56길 18 (시흥동)</t>
  </si>
  <si>
    <t>02-805-8284</t>
  </si>
  <si>
    <t>금천식당</t>
  </si>
  <si>
    <t>서울특별시 금천구 시흥대로56길 22 (시흥동)</t>
  </si>
  <si>
    <t>02-809-5530</t>
  </si>
  <si>
    <t>된장찌게</t>
  </si>
  <si>
    <t>순장어</t>
  </si>
  <si>
    <t>서울특별시 금천구 시흥대로52길 70 (시흥동)</t>
  </si>
  <si>
    <t>02-802-5525</t>
  </si>
  <si>
    <t>풍천민물장어 1kg</t>
  </si>
  <si>
    <t>풍천민물장어 2마리</t>
  </si>
  <si>
    <t>장어탕+공기밥</t>
  </si>
  <si>
    <t>다  담</t>
  </si>
  <si>
    <t>서울특별시 금천구 디지털로9길 68, 대륭포스트타워5차 B113호 (가산동)</t>
  </si>
  <si>
    <t>02-521-4755</t>
  </si>
  <si>
    <t>BEST남성전문컷</t>
  </si>
  <si>
    <t>서울특별시 금천구 가산로 140, 1층 (가산동)</t>
  </si>
  <si>
    <t>02-855-8805</t>
  </si>
  <si>
    <t xml:space="preserve">염색 </t>
  </si>
  <si>
    <t>두산뉴그린사우나</t>
  </si>
  <si>
    <t>서울특별시 금천구 가산로 106 (가산동, 주상복합두산아파트)</t>
  </si>
  <si>
    <t>02-851-8607</t>
  </si>
  <si>
    <t>남자들의 세상</t>
  </si>
  <si>
    <t>서울특별시 금천구 독산로 45 (시흥동)</t>
  </si>
  <si>
    <t>070-4133-7322</t>
  </si>
  <si>
    <t>고기굽는마을</t>
  </si>
  <si>
    <t>서울특별시 금천구 벚꽃로38길 32-29 (가산동)</t>
  </si>
  <si>
    <t>02-858-0390</t>
  </si>
  <si>
    <t>두산이발소</t>
  </si>
  <si>
    <t>서울특별시 금천구 가산로 99, 가산위브아파트상가동 B01호 (가산동, 두산위브아파트)</t>
  </si>
  <si>
    <t>0508-2776-7264</t>
  </si>
  <si>
    <t>자연화로구이</t>
  </si>
  <si>
    <t>서울특별시 금천구 시흥대로153길 42 (가산동)</t>
  </si>
  <si>
    <t>02-862-8535</t>
  </si>
  <si>
    <t>부페</t>
  </si>
  <si>
    <t>생오겹살 180g</t>
  </si>
  <si>
    <t>다래성</t>
  </si>
  <si>
    <t>서울특별시 금천구 시흥대로 471-1 (독산동)</t>
  </si>
  <si>
    <t>02-856-6725</t>
  </si>
  <si>
    <t>홍능갈비</t>
  </si>
  <si>
    <t>서울특별시 금천구 범안로21길 6 (독산동)</t>
  </si>
  <si>
    <t>02-894-8292</t>
  </si>
  <si>
    <t>삼겹</t>
  </si>
  <si>
    <t>얼큰순대국</t>
  </si>
  <si>
    <t>서울특별시 금천구 범안로 1201, 1층 (독산동)</t>
  </si>
  <si>
    <t>02-809-8550</t>
  </si>
  <si>
    <t xml:space="preserve"> 뚝불고기 </t>
  </si>
  <si>
    <t>은혜세탁</t>
  </si>
  <si>
    <t>서울특별시 금천구 벚꽃로 73, 현대종합상가 103호 (독산동, 금천현대아파트)</t>
  </si>
  <si>
    <t>02-892-1230</t>
  </si>
  <si>
    <t>양복</t>
  </si>
  <si>
    <t>서울특별시 금천구 가산로3길 25 (독산동)</t>
  </si>
  <si>
    <t>02-869-7774</t>
  </si>
  <si>
    <t>박리분식</t>
  </si>
  <si>
    <t>서울특별시 금천구 가산로 126 (가산동)</t>
  </si>
  <si>
    <t>02-857-4009</t>
  </si>
  <si>
    <t xml:space="preserve"> 라면 </t>
  </si>
  <si>
    <t>조여사네집</t>
  </si>
  <si>
    <t>서울특별시 금천구 벚꽃로 130 (독산동)</t>
  </si>
  <si>
    <t>02-859-7418</t>
  </si>
  <si>
    <t>만세한식부페본점</t>
  </si>
  <si>
    <t>서울특별시 금천구 가산로3길 77 (독산동)</t>
  </si>
  <si>
    <t>02-808-7862</t>
  </si>
  <si>
    <t>대호식당</t>
  </si>
  <si>
    <t>서울특별시 금천구 가산로3길 55 (독산동)</t>
  </si>
  <si>
    <t>02-864-5623</t>
  </si>
  <si>
    <t>현대세탁</t>
  </si>
  <si>
    <t>서울특별시 금천구 범안로17길 23 (독산동)</t>
  </si>
  <si>
    <t>02-804-1477</t>
  </si>
  <si>
    <t>참치킹</t>
  </si>
  <si>
    <t>서울특별시 금천구 벚꽃로 298, 대륭포스트타워6차 (가산동)</t>
  </si>
  <si>
    <t>02-2083-8885</t>
  </si>
  <si>
    <t>참치회 한접시(중)</t>
  </si>
  <si>
    <t>알탕+라면</t>
  </si>
  <si>
    <t>서울특별시 금천구 독산로39길 11 (시흥동)</t>
  </si>
  <si>
    <t>0507-1424-2162</t>
  </si>
  <si>
    <t>진미한분식</t>
  </si>
  <si>
    <t>서울특별시 금천구 가산로3길 22 (독산동)</t>
  </si>
  <si>
    <t>02-854-7153</t>
  </si>
  <si>
    <t>맛순이순대국감자탕</t>
  </si>
  <si>
    <t>서울특별시 금천구 가산로5길 72, 1층 103호 (가산동)</t>
  </si>
  <si>
    <t>02-861-0758</t>
  </si>
  <si>
    <t>순댓국</t>
  </si>
  <si>
    <t>체리당구클럽</t>
  </si>
  <si>
    <t>서울특별시 금천구 시흥대로123길 7 (독산동)</t>
  </si>
  <si>
    <t>02-862-3282</t>
  </si>
  <si>
    <t>당구이용료 10분당</t>
  </si>
  <si>
    <t>꼼이네</t>
  </si>
  <si>
    <t>서울특별시 금천구 디지털로12길 21 (가산동)</t>
  </si>
  <si>
    <t>02-830-7261</t>
  </si>
  <si>
    <t>현대컴퓨터세탁</t>
  </si>
  <si>
    <t>서울특별시 금천구 벚꽃로56길 40 (가산동)</t>
  </si>
  <si>
    <t>02-863-3719</t>
  </si>
  <si>
    <t>하의</t>
  </si>
  <si>
    <t>상의</t>
  </si>
  <si>
    <t>한신세탁소</t>
  </si>
  <si>
    <t>서울특별시 금천구 한내로 62 (독산동, 한신아파트상가) 2층</t>
  </si>
  <si>
    <t>02-898-9230</t>
  </si>
  <si>
    <t>송도세탁</t>
  </si>
  <si>
    <t>서울특별시 금천구 가산로3길 48 (가산동)</t>
  </si>
  <si>
    <t>02-861-2037</t>
  </si>
  <si>
    <t>세탁</t>
  </si>
  <si>
    <t>가산순대국</t>
  </si>
  <si>
    <t>서울특별시 금천구 가산로 147-7 (가산동)</t>
  </si>
  <si>
    <t>02-830-7514</t>
  </si>
  <si>
    <t>속초맛집</t>
  </si>
  <si>
    <t>서울특별시 동대문구 제기로 86 (청량리동)</t>
  </si>
  <si>
    <t>963-3036</t>
  </si>
  <si>
    <t>모듬생선조림</t>
  </si>
  <si>
    <t>둔촌시장모범이발관</t>
  </si>
  <si>
    <t>서울특별시 강동구 풍성로58길 20 (성내동)</t>
  </si>
  <si>
    <t>서울특별시 강동구 올림픽로80길 44,104 (천호동)</t>
  </si>
  <si>
    <t>두부마을</t>
  </si>
  <si>
    <t>서울특별시 강북구 오현로31길 109 (번동)</t>
  </si>
  <si>
    <t>988-8464</t>
  </si>
  <si>
    <t>순두부정식</t>
  </si>
  <si>
    <t>불고기정식</t>
  </si>
  <si>
    <t>두부마을정식</t>
  </si>
  <si>
    <t>옛날짜장</t>
  </si>
  <si>
    <t>서울특별시 영등포구 신풍로 18-1 (신길동)</t>
  </si>
  <si>
    <t>02-845-5570</t>
  </si>
  <si>
    <t>옥문</t>
  </si>
  <si>
    <t>서울특별시 영등포구 버드나루로7길 12-1 (영등포동7가)</t>
  </si>
  <si>
    <t>02-2671-8633</t>
  </si>
  <si>
    <t>조이미용실</t>
  </si>
  <si>
    <t>서울특별시 영등포구 도신로58길 9 (신길동)</t>
  </si>
  <si>
    <t>02-847-1521</t>
  </si>
  <si>
    <t>포천이동갈비촌</t>
  </si>
  <si>
    <t>서울특별시 관악구 신원로 40-12 (신림동)</t>
  </si>
  <si>
    <t>02-884-7109</t>
  </si>
  <si>
    <t>함흥냉면</t>
  </si>
  <si>
    <t>대명꼬기</t>
  </si>
  <si>
    <t>서울특별시 서대문구 명물길 27-15 (창천동)</t>
  </si>
  <si>
    <t>0507-1484-1636</t>
  </si>
  <si>
    <t>삼겹살180g</t>
  </si>
  <si>
    <t>고추장삼겹살</t>
  </si>
  <si>
    <t>된장삼겹살</t>
  </si>
  <si>
    <t>카페떡마을</t>
  </si>
  <si>
    <t>서울특별시 서대문구 통일로 189-1 (영천동)</t>
  </si>
  <si>
    <t>02-363-8128</t>
  </si>
  <si>
    <t>떡</t>
  </si>
  <si>
    <t>팥빙수</t>
  </si>
  <si>
    <t>단팥죽</t>
  </si>
  <si>
    <t>의정부 부대찌개</t>
  </si>
  <si>
    <t>서울특별시 도봉구 덕릉로60길 57 (창동)</t>
  </si>
  <si>
    <t>02-998-6977</t>
  </si>
  <si>
    <t>나드리식당</t>
  </si>
  <si>
    <t>서울특별시 강남구 선릉로6길 19 (개포동)</t>
  </si>
  <si>
    <t>불뚝배기</t>
  </si>
  <si>
    <t>강남본돼지갈비</t>
  </si>
  <si>
    <t>서울특별시 강남구 개포로22길 27 (개포동)</t>
  </si>
  <si>
    <t>02-575-3792</t>
  </si>
  <si>
    <t>참숯불돼지갈비(300g)</t>
  </si>
  <si>
    <t>영동우동</t>
  </si>
  <si>
    <t>서울특별시 강남구 도곡로7길 28 (역삼동)</t>
  </si>
  <si>
    <t>02-555-6858</t>
  </si>
  <si>
    <t>가로수길칼국수</t>
  </si>
  <si>
    <t>서울특별시 강남구 압구정로2길 46 강남상가 1층 19호</t>
  </si>
  <si>
    <t>02-512-6474</t>
  </si>
  <si>
    <t>새싹열부비빔밥</t>
  </si>
  <si>
    <t>뷰티헤어클럽</t>
  </si>
  <si>
    <t>서울특별시 마포구 희우정로 92 (망원동)</t>
  </si>
  <si>
    <t>02-322-7929</t>
  </si>
  <si>
    <t>커트(청소년)</t>
  </si>
  <si>
    <t>커트(경노)</t>
  </si>
  <si>
    <t>망원동수창골</t>
  </si>
  <si>
    <t>서울특별시 0507-1421-3230</t>
  </si>
  <si>
    <t>02-322-3230</t>
  </si>
  <si>
    <t>추어돈가스</t>
  </si>
  <si>
    <t>웨스턴후라이드라이스</t>
  </si>
  <si>
    <t>서울특별시 마포구 홍익로 6길 4</t>
  </si>
  <si>
    <t>02-336-7892</t>
  </si>
  <si>
    <t>김치야채볶음밥</t>
  </si>
  <si>
    <t>햄김치볶음밥</t>
  </si>
  <si>
    <t>빈대떡마을</t>
  </si>
  <si>
    <t>서울특별시 마포구 망원로 97 (망원동)</t>
  </si>
  <si>
    <t>02-325-0843</t>
  </si>
  <si>
    <t>배추전</t>
  </si>
  <si>
    <t>해물부추전</t>
  </si>
  <si>
    <t>호박전</t>
  </si>
  <si>
    <t>동일루</t>
  </si>
  <si>
    <t>서울특별시 마포구 포은로 75 (망원동)</t>
  </si>
  <si>
    <t>02-3144-2221</t>
  </si>
  <si>
    <t>탕수육(2인)</t>
  </si>
  <si>
    <t>쟁반짜장</t>
  </si>
  <si>
    <t>하마짬뽕</t>
  </si>
  <si>
    <t>바늘꽃옷수선</t>
  </si>
  <si>
    <t>서울특별시 서대문구 홍은중앙로8길 22 (홍은동)</t>
  </si>
  <si>
    <t>010-20131674</t>
  </si>
  <si>
    <t>의복수선료(바지기장)</t>
  </si>
  <si>
    <t>의복수선료(바지밑단)</t>
  </si>
  <si>
    <t>의복수선료(상의소매)</t>
  </si>
  <si>
    <t>실버머리방</t>
  </si>
  <si>
    <t>서울특별시 서대문구 세검정로1길 40 (홍은동)</t>
  </si>
  <si>
    <t>070-8171-7516</t>
  </si>
  <si>
    <t>윤헤어모드</t>
  </si>
  <si>
    <t>서울특별시 서대문구 가재울로10길 25 (남가좌동)</t>
  </si>
  <si>
    <t>02-307-2896</t>
  </si>
  <si>
    <t>은혜헤어</t>
  </si>
  <si>
    <t>서울특별시 서대문구 홍은중앙로9길 2 (홍은동)</t>
  </si>
  <si>
    <t>02-395-3619</t>
  </si>
  <si>
    <t>커트(남자)</t>
  </si>
  <si>
    <t>커트(여자)</t>
  </si>
  <si>
    <t>가원</t>
  </si>
  <si>
    <t>서울특별시 서대문구 통일로 422 (홍제동)</t>
  </si>
  <si>
    <t>02-723-4149</t>
  </si>
  <si>
    <t>비락</t>
  </si>
  <si>
    <t>서울특별시 서대문구 연희로 243 (연희동)</t>
  </si>
  <si>
    <t>02-394-6666</t>
  </si>
  <si>
    <t>곰닭</t>
  </si>
  <si>
    <t>서울특별시 서대문구 홍은중앙로 116-1 (홍은동)</t>
  </si>
  <si>
    <t>02-6406-9291</t>
  </si>
  <si>
    <t>생삼이네</t>
  </si>
  <si>
    <t>서울특별시 서대문구 통일로37길 38 (홍제동)</t>
  </si>
  <si>
    <t>02-6337-8621</t>
  </si>
  <si>
    <t>홍은나루터</t>
  </si>
  <si>
    <t>서울특별시 서대문구 연희로 261</t>
  </si>
  <si>
    <t>02-395-3081</t>
  </si>
  <si>
    <t>서울특별시 서대문구 포방터길 71 (홍은동)</t>
  </si>
  <si>
    <t>어가네</t>
  </si>
  <si>
    <t>서울특별시 서대문구 모래내로 377-1 (홍제동)</t>
  </si>
  <si>
    <t>02-379-5612</t>
  </si>
  <si>
    <t>서울특별시 서대문구 홍은중앙로 106 (홍은동)</t>
  </si>
  <si>
    <t>02-396-9970</t>
  </si>
  <si>
    <t>낭만극장(추억을 파는 극장)</t>
  </si>
  <si>
    <t>서울특별시 종로구 삼일대로 428 (낙원동), 4층</t>
  </si>
  <si>
    <t>02-3672-4235</t>
  </si>
  <si>
    <t>영화관람권</t>
  </si>
  <si>
    <t>수유시골집</t>
  </si>
  <si>
    <t>서울특별시 강북구 도봉로 328 (번동), 가든타워 지하 31호</t>
  </si>
  <si>
    <t>02-990-4343</t>
  </si>
  <si>
    <t>서울특별시 중랑구 봉화산로 54 (중화동)</t>
  </si>
  <si>
    <t>태성순대국</t>
  </si>
  <si>
    <t>서울특별시 노원구 화랑로43길 18 (월계동)</t>
  </si>
  <si>
    <t>02-912-6819</t>
  </si>
  <si>
    <t>머리 고기</t>
  </si>
  <si>
    <t>무릉도원</t>
  </si>
  <si>
    <t>서울특별시 구로구 구로동로28길 64-12 (구로동, 남촌홈타운)</t>
  </si>
  <si>
    <t>02-857-2111</t>
  </si>
  <si>
    <t>신진미용실</t>
  </si>
  <si>
    <t>서울특별시 강북구 한천로 1104 (수유동)</t>
  </si>
  <si>
    <t>02-993-3337</t>
  </si>
  <si>
    <t>명가 중화요리</t>
  </si>
  <si>
    <t>서울특별시 강서구 화곡로61길 100 (등촌동)</t>
  </si>
  <si>
    <t>02-3661-6355</t>
  </si>
  <si>
    <t>아빠이용원</t>
  </si>
  <si>
    <t>서울특별시 송파구 마천로45길 44 (마천동), 1층</t>
  </si>
  <si>
    <t>407-9020</t>
  </si>
  <si>
    <t>일반요금</t>
  </si>
  <si>
    <t>밀가칼국수</t>
  </si>
  <si>
    <t xml:space="preserve">서울특별시 강남구 영동대로106길 33 (삼성동) </t>
  </si>
  <si>
    <t>02-566-5805</t>
  </si>
  <si>
    <t>도곡한우소머리국밥</t>
  </si>
  <si>
    <t>서울특별시 강남구 도곡로 172 (도곡동), 지상 1층</t>
  </si>
  <si>
    <t>02-2057-0252</t>
  </si>
  <si>
    <t>양선지국밥</t>
  </si>
  <si>
    <t>만금성</t>
  </si>
  <si>
    <t>서울특별시 강남구 언주로 117 상가동 지하1층 42호(도곡동, 우성4차아파트)</t>
  </si>
  <si>
    <t>02-572-0015</t>
  </si>
  <si>
    <t>정미용실</t>
  </si>
  <si>
    <t>서울특별시 서울 관악구 호암로 561-1</t>
  </si>
  <si>
    <t>02-867-5676</t>
  </si>
  <si>
    <t>착한우동짜장</t>
  </si>
  <si>
    <t>서울특별시 관악구 신림로 255 (신림동)</t>
  </si>
  <si>
    <t>형제갈비</t>
  </si>
  <si>
    <t>서울특별시 구로구 구로동로18길 20-6 (구로동)</t>
  </si>
  <si>
    <t>02-868-1354</t>
  </si>
  <si>
    <t>돼지갈비(국,200g)</t>
  </si>
  <si>
    <t>삼겹살(국,200g)</t>
  </si>
  <si>
    <t>이모네분식</t>
  </si>
  <si>
    <t>서울특별시 강남구 도곡로21길 15 (역삼동, 역삼동월드메르디앙아파트), 지상1층5호</t>
  </si>
  <si>
    <t>02-567-2005</t>
  </si>
  <si>
    <t>수타손짜장</t>
  </si>
  <si>
    <t>서울특별시 강남구 개포로 615 (개포동),  지하1층 110호</t>
  </si>
  <si>
    <t>02-451-9763</t>
  </si>
  <si>
    <t>짜장+짬뽕set</t>
  </si>
  <si>
    <t>손짜장</t>
  </si>
  <si>
    <t>탕수육+짜장set</t>
  </si>
  <si>
    <t>한우정육점식당</t>
  </si>
  <si>
    <t>서울특별시 강남구 일원로5길 24 (일원동)</t>
  </si>
  <si>
    <t>02-445-6633</t>
  </si>
  <si>
    <t>한돈김치찌개</t>
  </si>
  <si>
    <t>처갓집</t>
  </si>
  <si>
    <t>서울특별시 강남구 양재대로 339 (개포동)</t>
  </si>
  <si>
    <t>02-573-6317</t>
  </si>
  <si>
    <t>윤화돈까스기사식당</t>
  </si>
  <si>
    <t>서울특별시 강남구 도곡로 221 (역삼동)</t>
  </si>
  <si>
    <t>02-3463-0863</t>
  </si>
  <si>
    <t>돼지함박까스</t>
  </si>
  <si>
    <t>양철집</t>
  </si>
  <si>
    <t>서울특별시 강남구 언주로153길 16 (신사동), 1층</t>
  </si>
  <si>
    <t>02-542-6689</t>
  </si>
  <si>
    <t>누룽지정식</t>
  </si>
  <si>
    <t>커피알</t>
  </si>
  <si>
    <t>서울특별시 강남구 테헤란로 322 (역삼동), 한신인터벨 지하 156호</t>
  </si>
  <si>
    <t>02-2183-2259</t>
  </si>
  <si>
    <t>서울특별시 강남구 봉은사로 524 (삼성동), 공항타워 지하1층 14호</t>
  </si>
  <si>
    <t>02-2016-5280</t>
  </si>
  <si>
    <t>미역국</t>
  </si>
  <si>
    <t>가득드림</t>
  </si>
  <si>
    <t>서울특별시 강남구 영동대로 513 지하1층 M113호</t>
  </si>
  <si>
    <t>02-551-8288</t>
  </si>
  <si>
    <t>self포장</t>
  </si>
  <si>
    <t>매장식사</t>
  </si>
  <si>
    <t>주문포장</t>
  </si>
  <si>
    <t>밀밭 손 칼국수</t>
  </si>
  <si>
    <t>서울특별시 성북구 보문로 156-3 (삼선동5가)</t>
  </si>
  <si>
    <t>02-953-8894</t>
  </si>
  <si>
    <t>허브족발</t>
  </si>
  <si>
    <t>서울특별시 성북구 오패산로4길 41 (하월곡동)</t>
  </si>
  <si>
    <t>912-7008</t>
  </si>
  <si>
    <t xml:space="preserve">비빔냉면 </t>
  </si>
  <si>
    <t>놀부만두</t>
  </si>
  <si>
    <t>서울특별시 동대문구 망우로16길 15 (휘경동)</t>
  </si>
  <si>
    <t>02-2241-7550</t>
  </si>
  <si>
    <t>김치만두</t>
  </si>
  <si>
    <t>고기만두</t>
  </si>
  <si>
    <t>안동장</t>
  </si>
  <si>
    <t>서울특별시 동대문구 경동시장로10길 57 (제기동)</t>
  </si>
  <si>
    <t>02-963-7777</t>
  </si>
  <si>
    <t>세종하늘마루</t>
  </si>
  <si>
    <t>서울특별시 광진구 군자로 153 (군자동)</t>
  </si>
  <si>
    <t>497-5540</t>
  </si>
  <si>
    <t>방미헤어컬쳐</t>
  </si>
  <si>
    <t>서울특별시 광진구 군자로 138 (군자동)</t>
  </si>
  <si>
    <t>02-462-3711</t>
  </si>
  <si>
    <t>이삭홍두깨칼국수</t>
  </si>
  <si>
    <t>서울특별시 광진구 동일로72길 51 (중곡동)</t>
  </si>
  <si>
    <t>02-464-8457</t>
  </si>
  <si>
    <t>듬배골</t>
  </si>
  <si>
    <t>서울특별시 금천구 독산로10길 38 (시흥동)</t>
  </si>
  <si>
    <t>02-803-8411</t>
  </si>
  <si>
    <t>서담</t>
  </si>
  <si>
    <t>서울특별시 금천구 시흥대로52길 6 (시흥동)</t>
  </si>
  <si>
    <t>805-3151</t>
  </si>
  <si>
    <t>제주산생고기</t>
  </si>
  <si>
    <t>서울특별시 금천구 시흥대로62길 7 (시흥동)</t>
  </si>
  <si>
    <t>893-1264</t>
  </si>
  <si>
    <t>콩나물해장국</t>
  </si>
  <si>
    <t>동남숯불생구이</t>
  </si>
  <si>
    <t>서울특별시 금천구 독산로 247 (독산동)</t>
  </si>
  <si>
    <t>854-9049</t>
  </si>
  <si>
    <t>착한깡통</t>
  </si>
  <si>
    <t>서울특별시 송파구 마천로41길 33 (마천동)</t>
  </si>
  <si>
    <t>070-7527-8215</t>
  </si>
  <si>
    <t>삼겹살(600g)</t>
  </si>
  <si>
    <t>조은김밥</t>
  </si>
  <si>
    <t>서울특별시 송파구 백제고분로17길 43 (잠실동)</t>
  </si>
  <si>
    <t>02-3431-7522</t>
  </si>
  <si>
    <t>전혜영미용실</t>
  </si>
  <si>
    <t>서울특별시 서울 송파구 토성로 38-6, 상가 301호</t>
  </si>
  <si>
    <t>02-471-2932</t>
  </si>
  <si>
    <t>김자순수제돈까스</t>
  </si>
  <si>
    <t>서울특별시 송파구 석촌호수로12길 16 (잠실동)</t>
  </si>
  <si>
    <t>등심돈까스세트</t>
  </si>
  <si>
    <t>박미용실</t>
  </si>
  <si>
    <t>서울특별시 송파구 백제고분로27길 41 (삼전동)</t>
  </si>
  <si>
    <t>02-420-8242</t>
  </si>
  <si>
    <t>메운불닭</t>
  </si>
  <si>
    <t>서울특별시 송파구 위례성대로18길 28 (방이동)</t>
  </si>
  <si>
    <t xml:space="preserve">421-2223 </t>
  </si>
  <si>
    <t>정하람남도팥칼국수</t>
  </si>
  <si>
    <t>서울특별시 송파구 삼전로 90 (삼전동)</t>
  </si>
  <si>
    <t>415-2334</t>
  </si>
  <si>
    <t>꾸어구어</t>
  </si>
  <si>
    <t>서울특별시 송파구 마천로 293 (마천동)</t>
  </si>
  <si>
    <t>449-9295</t>
  </si>
  <si>
    <t>숙아채콩나물국밥역삼1호점</t>
  </si>
  <si>
    <t>서울특별시 강남구 도곡로7길 25 지상1층 (역삼동)</t>
  </si>
  <si>
    <t>02-554-7490</t>
  </si>
  <si>
    <t>녹두전</t>
  </si>
  <si>
    <t>강남김밥</t>
  </si>
  <si>
    <t>서울특별시 강남구 도곡로 441 (대치동), 1층 4호</t>
  </si>
  <si>
    <t>02-562-9335</t>
  </si>
  <si>
    <t>행복한이발관</t>
  </si>
  <si>
    <t>서울특별시 은평구 통일로69길 33 (대조동)</t>
  </si>
  <si>
    <t>커트+염색</t>
  </si>
  <si>
    <t>이레미용실</t>
  </si>
  <si>
    <t>서울특별시 은평구 통일로69길 29 (대조동)</t>
  </si>
  <si>
    <t>02-355-6567</t>
  </si>
  <si>
    <t>행복한세탁소</t>
  </si>
  <si>
    <t>서울특별시 은평구 진흥로1길 37 (역촌동)</t>
  </si>
  <si>
    <t>02-353-8671</t>
  </si>
  <si>
    <t>수선비</t>
  </si>
  <si>
    <t>토속칼국수</t>
  </si>
  <si>
    <t>서울특별시 강동구 양재대로113길 8 (길동)</t>
  </si>
  <si>
    <t>02-472-2293</t>
  </si>
  <si>
    <t>진부령황태해장국</t>
  </si>
  <si>
    <t>서울특별시 용산구 대사관로24길 15 (한남동)</t>
  </si>
  <si>
    <t>790-9950</t>
  </si>
  <si>
    <t>포토베베스튜디오</t>
  </si>
  <si>
    <t>서울특별시 도림로12길 13 (구로동)</t>
  </si>
  <si>
    <t>02-862-1050</t>
  </si>
  <si>
    <t>아기사진</t>
  </si>
  <si>
    <t>프로필사진</t>
  </si>
  <si>
    <t>용갈비</t>
  </si>
  <si>
    <t>서울특별시 구로동로 96-4 (구로동)</t>
  </si>
  <si>
    <t>02-869-2442</t>
  </si>
  <si>
    <t xml:space="preserve">뚝배기 불고기 </t>
  </si>
  <si>
    <t>매니아당구클럽</t>
  </si>
  <si>
    <t>서울특별시 금천구 독산로 218 (독산동)</t>
  </si>
  <si>
    <t>02-893-1160</t>
  </si>
  <si>
    <t>이용료(10분당)</t>
  </si>
  <si>
    <t>G7크린랜드</t>
  </si>
  <si>
    <t>서울특별시 금천구 금하로29길 14 (시흥동)</t>
  </si>
  <si>
    <t>02-803-7600</t>
  </si>
  <si>
    <t>세탁료(정장)</t>
  </si>
  <si>
    <t>아마자께</t>
  </si>
  <si>
    <t>서울특별시 동대문구 천장산로7길 16 (이문동)</t>
  </si>
  <si>
    <t>경로이발</t>
  </si>
  <si>
    <t>서울특별시 동대문구 왕산로 175-1 , 2층 (제기동)</t>
  </si>
  <si>
    <t>착한메밀</t>
  </si>
  <si>
    <t>서울특별시 노원구 상계로 111 (상계동)</t>
  </si>
  <si>
    <t>02-936-2819</t>
  </si>
  <si>
    <t>옹심이칼국수</t>
  </si>
  <si>
    <t>효성마루(효성식당)</t>
  </si>
  <si>
    <t>서울특별시 마포구 마포대로7길 15 (공덕동)</t>
  </si>
  <si>
    <t>02-716-3683</t>
  </si>
  <si>
    <t xml:space="preserve">청국장 </t>
  </si>
  <si>
    <t>된장찌개백반정식</t>
  </si>
  <si>
    <t>김치찌개백반정식</t>
  </si>
  <si>
    <t>미스미용실</t>
  </si>
  <si>
    <t>서울특별시 마포구 토정로17길 22 (신수동)</t>
  </si>
  <si>
    <t>711-9392</t>
  </si>
  <si>
    <t>새마을</t>
  </si>
  <si>
    <t>서울특별시 마포구 동교로9길 51 (망원동)</t>
  </si>
  <si>
    <t xml:space="preserve">닭계장 </t>
  </si>
  <si>
    <t>막국수</t>
  </si>
  <si>
    <t>고향집</t>
  </si>
  <si>
    <t>서울특별시 마포구 포은로8길 28 (망원동)</t>
  </si>
  <si>
    <t>02-322-8762</t>
  </si>
  <si>
    <t>소야지</t>
  </si>
  <si>
    <t>서울특별시 광진구 능동로36길 24 (능동)</t>
  </si>
  <si>
    <t>446-7645</t>
  </si>
  <si>
    <t>성원식당</t>
  </si>
  <si>
    <t>서울특별시 광진구 천호대로 666 (구의동)</t>
  </si>
  <si>
    <t>453-5939</t>
  </si>
  <si>
    <t>홍천화로숯불갈비</t>
  </si>
  <si>
    <t>서울특별시 광진구 천호대로110길 27 (능동)</t>
  </si>
  <si>
    <t>02-454-9285</t>
  </si>
  <si>
    <t>기덕이네생고기집</t>
  </si>
  <si>
    <t>서울특별시 광진구 뚝섬로58길 26 (자양동)</t>
  </si>
  <si>
    <t>444-8597</t>
  </si>
  <si>
    <t>삽겹살</t>
  </si>
  <si>
    <t>서울특별시 광진구 광나루로56길 63 (구의동)</t>
  </si>
  <si>
    <t>446-8764</t>
  </si>
  <si>
    <t>짱뽕</t>
  </si>
  <si>
    <t>서울특별시 광진구 화양동 3-30 (능동로 135)</t>
  </si>
  <si>
    <t>469-6347</t>
  </si>
  <si>
    <t>짭뽕</t>
  </si>
  <si>
    <t>진아보석사우나</t>
  </si>
  <si>
    <t>서울특별시 광진구 자양로15길 109 (자양동)</t>
  </si>
  <si>
    <t>02-457-3355</t>
  </si>
  <si>
    <t>찜질방이용료</t>
  </si>
  <si>
    <t>옛날칼국수</t>
  </si>
  <si>
    <t>서울특별시 강서구 강서로18길 8-14 (화곡동)</t>
  </si>
  <si>
    <t>머리못하는집</t>
  </si>
  <si>
    <t>서울특별시 강서구 강서로45길 174 (내발산동)</t>
  </si>
  <si>
    <t>02-2667-3693</t>
  </si>
  <si>
    <t>커트(학생)</t>
  </si>
  <si>
    <t>힐링이발</t>
  </si>
  <si>
    <t>서울특별시 영등포구 당산로10길 15 (당산동1가)</t>
  </si>
  <si>
    <t>킴머리방</t>
  </si>
  <si>
    <t>서울특별시 영등포구 도림로113길 8 (도림동)</t>
  </si>
  <si>
    <t>02-845-3313</t>
  </si>
  <si>
    <t>짜우리아</t>
  </si>
  <si>
    <t>서울특별시 영등포구 영신로 34 (영등포동)</t>
  </si>
  <si>
    <t>02-833-8802</t>
  </si>
  <si>
    <t>유미식당</t>
  </si>
  <si>
    <t>서울특별시 영등포구 시흥대로 611 (대림동)</t>
  </si>
  <si>
    <t>02-844-7953</t>
  </si>
  <si>
    <t>두메산골</t>
  </si>
  <si>
    <t>서울특별시 성북구 보문로36길 16 (삼선동4가)</t>
  </si>
  <si>
    <t>02) 921-3455</t>
  </si>
  <si>
    <t>묵은지꽁치찌개</t>
  </si>
  <si>
    <t>감자보리밥</t>
  </si>
  <si>
    <t>감자옹심이칼국수</t>
  </si>
  <si>
    <t>서울초밥</t>
  </si>
  <si>
    <t>서울특별시 영등포구 선유로 250 (양평동4가)</t>
  </si>
  <si>
    <t>02-815-5551</t>
  </si>
  <si>
    <t>삼미식당</t>
  </si>
  <si>
    <t>서울특별시 영등포구 영등포로5길 14-2 (양평동2가)</t>
  </si>
  <si>
    <t>02-2068-8428</t>
  </si>
  <si>
    <t>영헤어</t>
  </si>
  <si>
    <t>서울특별시 은평구 통일로 921-1(갈현동)</t>
  </si>
  <si>
    <t>02-354-1129</t>
  </si>
  <si>
    <t>현대미용실</t>
  </si>
  <si>
    <t>서울특별시 은평구 불광로 95 (불광동)</t>
  </si>
  <si>
    <t>02-359-3834</t>
  </si>
  <si>
    <t>대흥이발관</t>
  </si>
  <si>
    <t>서울특별시 은평구 연서로32길 19 (불광동)</t>
  </si>
  <si>
    <t>0507-1408-5755</t>
  </si>
  <si>
    <t>현대골프</t>
  </si>
  <si>
    <t>서울특별시 관악구 양녕로 66, 3층</t>
  </si>
  <si>
    <t>888-0770</t>
  </si>
  <si>
    <t>골프연습장이용료(1달)</t>
  </si>
  <si>
    <t>김밥분식</t>
  </si>
  <si>
    <t>서울특별시 관악구 관악로24길 47-1 (봉천동)</t>
  </si>
  <si>
    <t>889-5230</t>
  </si>
  <si>
    <t>원조정가네매운갈비찜</t>
  </si>
  <si>
    <t>서울특별시 관악구 남부순환로216길 8 (봉천동)</t>
  </si>
  <si>
    <t>02-883-0250</t>
  </si>
  <si>
    <t>꾸워</t>
  </si>
  <si>
    <t>서울특별시 은평구 은평로 34 (신사동)</t>
  </si>
  <si>
    <t>02-374-3004</t>
  </si>
  <si>
    <t>왕갈비</t>
  </si>
  <si>
    <t>소갈비</t>
  </si>
  <si>
    <t>함흥냉면 명가</t>
  </si>
  <si>
    <t>서울특별시 강서구 화곡로50길 22 (화곡동)</t>
  </si>
  <si>
    <t>02-2691-2230</t>
  </si>
  <si>
    <t>명가손칼국수</t>
  </si>
  <si>
    <t>서울특별시 강동구 풍성로54길 44 (성내동)</t>
  </si>
  <si>
    <t>02-547-4495</t>
  </si>
  <si>
    <t>할범탕수육</t>
  </si>
  <si>
    <t>서울특별시 양천구 목동중앙북로 15 (목동)</t>
  </si>
  <si>
    <t>02-2652-0883</t>
  </si>
  <si>
    <t>국수</t>
  </si>
  <si>
    <t>명동손칼국수</t>
  </si>
  <si>
    <t>서울특별시 양천구 목동중앙북로6길 4 (목동)</t>
  </si>
  <si>
    <t>02-2644-3999</t>
  </si>
  <si>
    <t>칼제비,수제비</t>
  </si>
  <si>
    <t>콩각시</t>
  </si>
  <si>
    <t>서울특별시 서대문구 연세로7안길 5 (창천동)</t>
  </si>
  <si>
    <t>02-325-2775</t>
  </si>
  <si>
    <t>콩나물밥</t>
  </si>
  <si>
    <t>콩나물라면</t>
  </si>
  <si>
    <t>트윈쿡</t>
  </si>
  <si>
    <t>서울특별시 강남구 영동대로 513 지하1층 M112호</t>
  </si>
  <si>
    <t>02-6002-3225</t>
  </si>
  <si>
    <t>백곰집</t>
  </si>
  <si>
    <t>서울특별시 강북구 삼양로 663, 1층(우이동)</t>
  </si>
  <si>
    <t>02-900-5130</t>
  </si>
  <si>
    <t>한우해장국</t>
  </si>
  <si>
    <t>옛날막고기집</t>
  </si>
  <si>
    <t>서울특별시 용산구 한강대로 125-2 (한강로2가)</t>
  </si>
  <si>
    <t>794-1488</t>
  </si>
  <si>
    <t>막고기</t>
  </si>
  <si>
    <t>모아그린세탁소</t>
  </si>
  <si>
    <t>서울특별시 관악구 신림로 275-1 (신림동)</t>
  </si>
  <si>
    <t>02-865-2484</t>
  </si>
  <si>
    <t>세탁료(양복1벌)</t>
  </si>
  <si>
    <t>헤어닷컴</t>
  </si>
  <si>
    <t>서울특별시 관악구 장군봉2길 10 (봉천동)</t>
  </si>
  <si>
    <t>02-885-7277</t>
  </si>
  <si>
    <t>어메칼국수</t>
  </si>
  <si>
    <t>서울특별시 관악구 관악로154-6, 2층</t>
  </si>
  <si>
    <t>874-9878</t>
  </si>
  <si>
    <t>김소선 헤어아트</t>
  </si>
  <si>
    <t>서울특별시 관악구 행운1길 14 (봉천동)</t>
  </si>
  <si>
    <t>02-887-9261</t>
  </si>
  <si>
    <t>서울특별시 관악구 신림로18가길 42 (신림동)</t>
  </si>
  <si>
    <t>돈스우스</t>
  </si>
  <si>
    <t>서울특별시 양천구 월정로 157 (신월동)</t>
  </si>
  <si>
    <t>2608-5015</t>
  </si>
  <si>
    <t>쇠고기 스페셜모듬(450g)</t>
  </si>
  <si>
    <t>삼겹살생고기(200g)</t>
  </si>
  <si>
    <t>제주생오겹살(200g)</t>
  </si>
  <si>
    <t>최진사댁두부마을</t>
  </si>
  <si>
    <t>서울특별시 성북구 인촌로1길 89 (삼선동5가)</t>
  </si>
  <si>
    <t>02-926-7281</t>
  </si>
  <si>
    <t>두부찌개</t>
  </si>
  <si>
    <t>머리못하는집 목동 142호점</t>
  </si>
  <si>
    <t>서울특별시 서울 양천구 목동서로 63(목동)</t>
  </si>
  <si>
    <t>02-2644-3693</t>
  </si>
  <si>
    <t>머리하기 좋은 날</t>
  </si>
  <si>
    <t>서울특별시 양천구 목동중앙로 43 (목동, 목동글로리파크)</t>
  </si>
  <si>
    <t>2648-3693</t>
  </si>
  <si>
    <t>장수촌</t>
  </si>
  <si>
    <t>서울특별시 송파구 바람드리길 13 (풍납동)</t>
  </si>
  <si>
    <t>02-473-0607</t>
  </si>
  <si>
    <t>춘향고을</t>
  </si>
  <si>
    <t>서울특별시 송파구 올림픽로32길 5 (방이동)</t>
  </si>
  <si>
    <t>02-3431-1433</t>
  </si>
  <si>
    <t>신 쿡(cook)</t>
  </si>
  <si>
    <t>서울특별시 서울 중랑구 중랑천로10길 39</t>
  </si>
  <si>
    <t>02-439-2012</t>
  </si>
  <si>
    <t>광양불고기</t>
  </si>
  <si>
    <t>서울특별시 중랑구 망우로71길 31 (망우동)</t>
  </si>
  <si>
    <t>02-492-1934</t>
  </si>
  <si>
    <t>돤장찌개</t>
  </si>
  <si>
    <t>얼레리꼴레리</t>
  </si>
  <si>
    <t>서울특별시 중랑구 양원역로 61 (망우동)</t>
  </si>
  <si>
    <t>493-4612</t>
  </si>
  <si>
    <t>포도나무</t>
  </si>
  <si>
    <t>서울특별시 중랑구 용마산로 338 (면목동)</t>
  </si>
  <si>
    <t>493-3336</t>
  </si>
  <si>
    <t>황금돼지갈비</t>
  </si>
  <si>
    <t>서울특별시 중랑구 면목로 404 (면목동)</t>
  </si>
  <si>
    <t>2207-3722</t>
  </si>
  <si>
    <t>서울특별시 중랑구 면목로37길 13 (면목동)</t>
  </si>
  <si>
    <t>02-437-0845</t>
  </si>
  <si>
    <t>현정미용실</t>
  </si>
  <si>
    <t>서울특별시 서울 중랑구 면목로33길 14</t>
  </si>
  <si>
    <t>02-492-8637</t>
  </si>
  <si>
    <t>고향김밥</t>
  </si>
  <si>
    <t>서울특별시 중랑구 겸재로 226-3 (면목동), 1층</t>
  </si>
  <si>
    <t>02-492-0013</t>
  </si>
  <si>
    <t>깁     밥</t>
  </si>
  <si>
    <t>냉     면</t>
  </si>
  <si>
    <t>5080 실버전용미용실</t>
  </si>
  <si>
    <t>서울특별시 성북구 돌곶이로 141 (장위동)</t>
  </si>
  <si>
    <t>02-942-9234</t>
  </si>
  <si>
    <t>정가네 홍두깨 손칼국수</t>
  </si>
  <si>
    <t>서울특별시 중랑구 망우로62길 61 (망우동)</t>
  </si>
  <si>
    <t>02-491-8457</t>
  </si>
  <si>
    <t>웰빙 콩나물</t>
  </si>
  <si>
    <t>서울특별시 중랑구 망우로62길 33 (망우동)</t>
  </si>
  <si>
    <t>2209-6623</t>
  </si>
  <si>
    <t>모퉁이식당</t>
  </si>
  <si>
    <t>서울특별시 송파구 오금로59길 2 (거여동)</t>
  </si>
  <si>
    <t>443-1326</t>
  </si>
  <si>
    <t>박가네생고기전문점</t>
  </si>
  <si>
    <t>서울특별시 강북구 덕릉로28길 63 (미아동)</t>
  </si>
  <si>
    <t>02-982-2929</t>
  </si>
  <si>
    <t>불고기(200g)</t>
  </si>
  <si>
    <t>지우정</t>
  </si>
  <si>
    <t>서울특별시 강북구 삼각산로 130 (수유동)</t>
  </si>
  <si>
    <t>02-900-9333</t>
  </si>
  <si>
    <t>한우등심(200g)</t>
  </si>
  <si>
    <t>토종집</t>
  </si>
  <si>
    <t>서울특별시 강북구 인수봉로19나길 32 (수유동, 삼안빌라)</t>
  </si>
  <si>
    <t>981-3104</t>
  </si>
  <si>
    <t>옻닭(4인분)</t>
  </si>
  <si>
    <t>황기백숙(4인분)</t>
  </si>
  <si>
    <t>공새미김밥</t>
  </si>
  <si>
    <t>서울특별시 광진구 뚝섬로58길 19 (자양동)</t>
  </si>
  <si>
    <t>455-8178</t>
  </si>
  <si>
    <t>타임플러스신월뉴타운점</t>
  </si>
  <si>
    <t>서울특별시 양천구 신월로 185 (신월동, 로즈그린타운)</t>
  </si>
  <si>
    <t>02-2697-6547</t>
  </si>
  <si>
    <t>컷트(학생)</t>
  </si>
  <si>
    <t>염색(65세이상)</t>
  </si>
  <si>
    <t>마들김밥</t>
  </si>
  <si>
    <t>서울특별시 노원구 한글비석로 474 (상계동) 보람상가</t>
  </si>
  <si>
    <t>02-933-9308</t>
  </si>
  <si>
    <t>마시차이나</t>
  </si>
  <si>
    <t>서울특별시 노원구 동일로217길 58 (상계동)</t>
  </si>
  <si>
    <t>02-3392-1134</t>
  </si>
  <si>
    <t>털보식당</t>
  </si>
  <si>
    <t>서울특별시 도봉구 도당로 148 (방학동)</t>
  </si>
  <si>
    <t>3492-7926</t>
  </si>
  <si>
    <t>함흥식당</t>
  </si>
  <si>
    <t>서울특별시 서초구 마방로10길 54-2 (양재동)</t>
  </si>
  <si>
    <t>02-577-7900</t>
  </si>
  <si>
    <t>된장뚝배기</t>
  </si>
  <si>
    <t>탐라도야지</t>
  </si>
  <si>
    <t>서울특별시 서초구 서초대로50길 82 (서초동)</t>
  </si>
  <si>
    <t>0507-1399-3337</t>
  </si>
  <si>
    <t>냉김치말이국수</t>
  </si>
  <si>
    <t>양지된장찌개</t>
  </si>
  <si>
    <t>돌솥비빔밥+된장찌개</t>
  </si>
  <si>
    <t>양 선지해장국</t>
  </si>
  <si>
    <t>함흥냉면+왕만두1일(물/비빔)</t>
  </si>
  <si>
    <t>제;육쌈밥+된장찌개</t>
  </si>
  <si>
    <t>차돌부대찌개</t>
  </si>
  <si>
    <t>미각</t>
  </si>
  <si>
    <t>서울특별시 서초구 반포대로28길 8 (서초동)</t>
  </si>
  <si>
    <t>02-585-9095</t>
  </si>
  <si>
    <t>고기마을호수</t>
  </si>
  <si>
    <t>서울특별시 금천구 벚꽃로 73 (독산동, 금천현대아파트), 상가 2층</t>
  </si>
  <si>
    <t>02-895-0134</t>
  </si>
  <si>
    <t>학생회관분식</t>
  </si>
  <si>
    <t>서울특별시 강동구 구천면로 404 (천호동), 11호</t>
  </si>
  <si>
    <t>02-486-4062</t>
  </si>
  <si>
    <t>서울특별시 서대문구 통일로 495 (홍은동)</t>
  </si>
  <si>
    <t>02-3216-1903</t>
  </si>
  <si>
    <t>목등심(200g)</t>
  </si>
  <si>
    <t>한솔 민물장어</t>
  </si>
  <si>
    <t>서울특별시 서대문구 증가로23나길 32 (북가좌동)</t>
  </si>
  <si>
    <t>309-8264</t>
  </si>
  <si>
    <t>돼지갈비(300g, 국내산)</t>
  </si>
  <si>
    <t>냉면(물)</t>
  </si>
  <si>
    <t>산골녹차냉면</t>
  </si>
  <si>
    <t>서울특별시 용산구 효창원로 147 (효창동)</t>
  </si>
  <si>
    <t>716-1988</t>
  </si>
  <si>
    <t>남영골</t>
  </si>
  <si>
    <t>서울특별시 용산구 한강대로77길 8 (갈월동)</t>
  </si>
  <si>
    <t>02-704-4745</t>
  </si>
  <si>
    <t>한일각</t>
  </si>
  <si>
    <t>서울특별시 용산구 보광로 21-1 (보광동)</t>
  </si>
  <si>
    <t>02-796-2557</t>
  </si>
  <si>
    <t>짜장</t>
  </si>
  <si>
    <t>청운숯불갈비</t>
  </si>
  <si>
    <t>서울특별시 용산구 청파로 383-8 (서계동)</t>
  </si>
  <si>
    <t>02-711-2625</t>
  </si>
  <si>
    <t>계절비빔밥</t>
  </si>
  <si>
    <t>횡성한우목장</t>
  </si>
  <si>
    <t>서울특별시 용산구 효창원로48길 6 (용문동)</t>
  </si>
  <si>
    <t>716-8592</t>
  </si>
  <si>
    <t>갈비탕(특)</t>
  </si>
  <si>
    <t>서울특별시 용산구 한강대로76길 11-2 (남영동)</t>
  </si>
  <si>
    <t>02-797-8060</t>
  </si>
  <si>
    <t>굴국밥</t>
  </si>
  <si>
    <t>풍년숯불갈비</t>
  </si>
  <si>
    <t>서울특별시 용산구 새창로 130 (원효로2가)</t>
  </si>
  <si>
    <t>02-719-6530</t>
  </si>
  <si>
    <t>모리모리</t>
  </si>
  <si>
    <t>서울특별시 용산구 한강대로 281 (갈월동)</t>
  </si>
  <si>
    <t>702-1441</t>
  </si>
  <si>
    <t>국수회관</t>
  </si>
  <si>
    <t>서울특별시 관악구 신림로 277 (신림동), 우창빌딩</t>
  </si>
  <si>
    <t>0507-1362-5663</t>
  </si>
  <si>
    <t>서울특별시 관악구 신림로36길 15 (신림동)</t>
  </si>
  <si>
    <t>887-2108</t>
  </si>
  <si>
    <t>서울특별시 구로구 구로동로 119-2 (구로동)</t>
  </si>
  <si>
    <t>02-862-6625</t>
  </si>
  <si>
    <t xml:space="preserve">김치찌개 </t>
  </si>
  <si>
    <t>또순이네</t>
  </si>
  <si>
    <t>서울특별시 종로구 사직로 130 (적선동), 적선현대빌딩 지하1층</t>
  </si>
  <si>
    <t>730-6980</t>
  </si>
  <si>
    <t>우성숯불갈비</t>
  </si>
  <si>
    <t>서울특별시 송파구 백제고분로17길 56 (잠실동)</t>
  </si>
  <si>
    <t>02-416-9600</t>
  </si>
  <si>
    <t>전헤어샵</t>
  </si>
  <si>
    <t>서울특별시 영등포구 양산로 138-1 (당산동1가)</t>
  </si>
  <si>
    <t>02-2675-1088</t>
  </si>
  <si>
    <t>셀프미용원</t>
  </si>
  <si>
    <t>서울특별시 영등포구 디지털로 397 (대림1동)</t>
  </si>
  <si>
    <t>02-847-3945</t>
  </si>
  <si>
    <t>이용료(성인커트)</t>
  </si>
  <si>
    <t>역전이용소</t>
  </si>
  <si>
    <t>서울특별시 영등포구 여의대방로59길 36 (신길동)</t>
  </si>
  <si>
    <t>02-843-5172</t>
  </si>
  <si>
    <t>평화이발관</t>
  </si>
  <si>
    <t>서울특별시 영등포구 당산로31길 20(당산동3가)</t>
  </si>
  <si>
    <t>02-2679-5451</t>
  </si>
  <si>
    <t>서울특별시 영등포구 신풍로25가길 11 (신길동)</t>
  </si>
  <si>
    <t>02-832-1357</t>
  </si>
  <si>
    <t>세탁료(신사복 1벌)</t>
  </si>
  <si>
    <t>선유일식</t>
  </si>
  <si>
    <t>서울특별시 영등포구 영신로 17길3 (영등포본동)</t>
  </si>
  <si>
    <t>02-847-5888</t>
  </si>
  <si>
    <t>생선초밥</t>
  </si>
  <si>
    <t>연경궁</t>
  </si>
  <si>
    <t>서울특별시 영등포구 국회대로30길 14 (당산동3가)</t>
  </si>
  <si>
    <t>02-2679-3569</t>
  </si>
  <si>
    <t>서울특별시 영등포구 가마산로89길 3-1 (신길동)</t>
  </si>
  <si>
    <t>02-822-5822</t>
  </si>
  <si>
    <t>순미식당</t>
  </si>
  <si>
    <t>서울특별시 영등포구 대방천로 188 (신길동)</t>
  </si>
  <si>
    <t>02-832-7436</t>
  </si>
  <si>
    <t>정원한방오리</t>
  </si>
  <si>
    <t>서울특별시 영등포구 가마산로 455 (신길동), 2층</t>
  </si>
  <si>
    <t>02-836-8878</t>
  </si>
  <si>
    <t>낭주골</t>
  </si>
  <si>
    <t>서울특별시 영등포구 영등포로190 (영등포동)</t>
  </si>
  <si>
    <t>02-2633-7460</t>
  </si>
  <si>
    <t>서울특별시 송파구 풍성로5길 6 (풍납동)</t>
  </si>
  <si>
    <t>470-2559</t>
  </si>
  <si>
    <t>돼지갈비(캐나다산/320g)</t>
  </si>
  <si>
    <t>리즈헤어</t>
  </si>
  <si>
    <t>서울특별시 송파구 바람드리길 19 (풍납동)</t>
  </si>
  <si>
    <t>485-2919</t>
  </si>
  <si>
    <t>개성시대</t>
  </si>
  <si>
    <t>서울특별시 풍성로 6길 9</t>
  </si>
  <si>
    <t>02-477-2939</t>
  </si>
  <si>
    <t>돌마리유황오리</t>
  </si>
  <si>
    <t>서울특별시 송파구 가락로 66 (석촌동)</t>
  </si>
  <si>
    <t>0507-1316-6231</t>
  </si>
  <si>
    <t>생오리구이</t>
  </si>
  <si>
    <t>삼겹살(국내산/200g)</t>
  </si>
  <si>
    <t>옛날맛짜장</t>
  </si>
  <si>
    <t>서울특별시 송파구 가락로 113 (석촌동)</t>
  </si>
  <si>
    <t>02-425-3533</t>
  </si>
  <si>
    <t>은지헤어</t>
  </si>
  <si>
    <t>서울특별시 송파구 동남로6길 11 (문정동)</t>
  </si>
  <si>
    <t>02-419-5658</t>
  </si>
  <si>
    <t>서울특별시 송파구 성내천로 223 (마천동)</t>
  </si>
  <si>
    <t>02-430-9757</t>
  </si>
  <si>
    <t>돼지갈비(국내산/250g)</t>
  </si>
  <si>
    <t>전영숙헤어샵</t>
  </si>
  <si>
    <t>서울특별시 송파구 거마로20길 23 (마천동)</t>
  </si>
  <si>
    <t>02-431-3689</t>
  </si>
  <si>
    <t>이혜경롤앤컷</t>
  </si>
  <si>
    <t>서울특별시 송파구 성내천로 222 (마천동)</t>
  </si>
  <si>
    <t>02-3012-3824</t>
  </si>
  <si>
    <t>메밀이랑 면이랑</t>
  </si>
  <si>
    <t>서울특별시 강서구 강서로 263-17 (내발산동)</t>
  </si>
  <si>
    <t>02-2691-8585</t>
  </si>
  <si>
    <t>메밀짜장</t>
  </si>
  <si>
    <t>홍합짬뽕</t>
  </si>
  <si>
    <t>송주불냉면</t>
  </si>
  <si>
    <t xml:space="preserve">서울특별시 강서구 방화동로 49  (방화동) </t>
  </si>
  <si>
    <t>02-2662-5509</t>
  </si>
  <si>
    <t>한우식당</t>
  </si>
  <si>
    <t>서울특별시 구로구 경인로33길 61-3 (개봉동)</t>
  </si>
  <si>
    <t>02-2612-5157</t>
  </si>
  <si>
    <t>생삼겹(250g)</t>
  </si>
  <si>
    <t>에덴미용실</t>
  </si>
  <si>
    <t>서울특별시 마포구 망원로3길 13 (망원동)</t>
  </si>
  <si>
    <t>02-333-1346</t>
  </si>
  <si>
    <t>영자씨우동김밥</t>
  </si>
  <si>
    <t>서울특별시 중구 마른내로 15-1 (저동2가)</t>
  </si>
  <si>
    <t>02-2272-9791</t>
  </si>
  <si>
    <t>카레덮밥</t>
  </si>
  <si>
    <t>미스터미용실</t>
  </si>
  <si>
    <t>서울특별시 강동구 천호대로162길 53 (성내동)</t>
  </si>
  <si>
    <t>02-473-9374</t>
  </si>
  <si>
    <t>돈까스리</t>
  </si>
  <si>
    <t>서울특별시 강남구 테헤란로 322 지하층 124호 (역삼동)</t>
  </si>
  <si>
    <t>02-2183-0714</t>
  </si>
  <si>
    <t>가쓰오우동</t>
  </si>
  <si>
    <t>중화요리일품</t>
  </si>
  <si>
    <t>서울특별시 강남구 테헤란로 322 (역삼동)</t>
  </si>
  <si>
    <t>우주미용실</t>
  </si>
  <si>
    <t>서울특별시 동대문구 전농로16길 33 (전농동)</t>
  </si>
  <si>
    <t>02-2244-2180</t>
  </si>
  <si>
    <t>복지이발</t>
  </si>
  <si>
    <t>서울특별시 동대문구 홍릉로5길 7, 2층 (청량리동)</t>
  </si>
  <si>
    <t>02-966-7828</t>
  </si>
  <si>
    <t>서울특별시 동대문구 답십리로51길 24 (답십리동)</t>
  </si>
  <si>
    <t>2213-6336</t>
  </si>
  <si>
    <t>현대이발관</t>
  </si>
  <si>
    <t>서울특별시 동대문구 무학로37길 12 (용두동)</t>
  </si>
  <si>
    <t>은헤어</t>
  </si>
  <si>
    <t>서울특별시 성동구 금호산길 57 (금호동2가)</t>
  </si>
  <si>
    <t>02-2234-7262</t>
  </si>
  <si>
    <t>주노헤어숍</t>
  </si>
  <si>
    <t>서울특별시 성동구 왕십리로24길 13-1 (도선동)</t>
  </si>
  <si>
    <t>02-2298-3546</t>
  </si>
  <si>
    <t>커트(현금)</t>
  </si>
  <si>
    <t>백광컴퓨터크리닝</t>
  </si>
  <si>
    <t>서울특별시 성동구 마조로 59 (마장동)</t>
  </si>
  <si>
    <t>02-2292-8310</t>
  </si>
  <si>
    <t>용짜장</t>
  </si>
  <si>
    <t>서울특별시 성동구 아차산로7길 28 (성수동2가)</t>
  </si>
  <si>
    <t>02-3409-5679</t>
  </si>
  <si>
    <t>씨씨존치킨</t>
  </si>
  <si>
    <t>서울특별시 성동구 무수막길 85 (금호동2가)</t>
  </si>
  <si>
    <t>02-2235-7792</t>
  </si>
  <si>
    <t>벽산세탁</t>
  </si>
  <si>
    <t>서울특별시 성동구 금호로 100 (금호동1가, 벽산아파트), 상가 606-2호</t>
  </si>
  <si>
    <t>02-2298-6675</t>
  </si>
  <si>
    <t>조아루</t>
  </si>
  <si>
    <t>서울특별시 중구 퇴계로 114-2 (회현동3가)</t>
  </si>
  <si>
    <t>02-779-7897</t>
  </si>
  <si>
    <t>북경반점</t>
  </si>
  <si>
    <t>서울특별시 양천구 지양로13길 2 (신월동)</t>
  </si>
  <si>
    <t>02-2699-7788</t>
  </si>
  <si>
    <t>신화미용실</t>
  </si>
  <si>
    <t>서울특별시 양천구 지양로16길 36 (신월동)</t>
  </si>
  <si>
    <t>홍콩반점</t>
  </si>
  <si>
    <t>서울특별시 양천구 곰달래로 9-1 (신월동)</t>
  </si>
  <si>
    <t>02-2605-1471</t>
  </si>
  <si>
    <t>찰스프로헤어</t>
  </si>
  <si>
    <t>서울특별시 양천구 곰달래로5길 26-1 (신월동)</t>
  </si>
  <si>
    <t>02-2061-8067</t>
  </si>
  <si>
    <t>염색(남)</t>
  </si>
  <si>
    <t>맛고을갈비찜</t>
  </si>
  <si>
    <t>960-1717</t>
  </si>
  <si>
    <t>매운갈비찜</t>
  </si>
  <si>
    <t>콩아리(전주콩나물국밥)</t>
  </si>
  <si>
    <t>서울특별시 강북구 월계로 43-1 (미아동)</t>
  </si>
  <si>
    <t>0507-1383-5596</t>
  </si>
  <si>
    <t>만미정 식당</t>
  </si>
  <si>
    <t>서울특별시 강북구 솔매로43길 96 (미아동)</t>
  </si>
  <si>
    <t>02-983-8884</t>
  </si>
  <si>
    <t>소내장탕</t>
  </si>
  <si>
    <t>조기백반</t>
  </si>
  <si>
    <t>소문장</t>
  </si>
  <si>
    <t>서울특별시 양천구 목동중앙북로4길 20 (목동)</t>
  </si>
  <si>
    <t>02-2644-3067</t>
  </si>
  <si>
    <t>대박집</t>
  </si>
  <si>
    <t>서울특별시 양천구 등촌로 46 (목동)</t>
  </si>
  <si>
    <t>02-2653-9285</t>
  </si>
  <si>
    <t>조은식당</t>
  </si>
  <si>
    <t>서울특별시 양천구 목동동로 339 (목동, 목동트윈빌)</t>
  </si>
  <si>
    <t>02-2655-2527</t>
  </si>
  <si>
    <t>고등어조림</t>
  </si>
  <si>
    <t>밥도둑구이전문</t>
  </si>
  <si>
    <t>서울특별시 양천구 목동중앙북로7가길 53 (목동)</t>
  </si>
  <si>
    <t>02-2646-2131</t>
  </si>
  <si>
    <t>찌개와</t>
  </si>
  <si>
    <t>서울특별시 강남구 광평로 280 (수서동)</t>
  </si>
  <si>
    <t>02-3413-0709</t>
  </si>
  <si>
    <t>다복콩비지</t>
  </si>
  <si>
    <t>서울특별시 강남구 개포로22길 31 (개포동)</t>
  </si>
  <si>
    <t>02-573-2057</t>
  </si>
  <si>
    <t>오리육개장</t>
  </si>
  <si>
    <t>노숙자아구샤브샤브</t>
  </si>
  <si>
    <t>서울특별시 강남구 개포로22길 13 (개포동)</t>
  </si>
  <si>
    <t>02-577-5017</t>
  </si>
  <si>
    <t>아구탕,지리</t>
  </si>
  <si>
    <t>해물된장비빔밥</t>
  </si>
  <si>
    <t>대구탕,지리</t>
  </si>
  <si>
    <t>동대문곱창전문</t>
  </si>
  <si>
    <t>서울특별시 강남구 논현로8길 11 (개포동)</t>
  </si>
  <si>
    <t>02-571-1250</t>
  </si>
  <si>
    <t>목심김치찌개</t>
  </si>
  <si>
    <t>누이야식당</t>
  </si>
  <si>
    <t>서울특별시 강남구 논현로4길 14 (개포동)</t>
  </si>
  <si>
    <t>02-575-4984</t>
  </si>
  <si>
    <t>영심이네</t>
  </si>
  <si>
    <t>서울특별시 강남구 개포로17길 3-10 (개포동)</t>
  </si>
  <si>
    <t>02-529-5317</t>
  </si>
  <si>
    <t>숙아채 콩나물국밥(개포)</t>
  </si>
  <si>
    <t>서울특별시 강남구 개포로20길 17 (개포동)</t>
  </si>
  <si>
    <t>02-571-4441</t>
  </si>
  <si>
    <t>장독묵은지</t>
  </si>
  <si>
    <t>서울특별시 강남구 삼성로 38 (개포동)</t>
  </si>
  <si>
    <t>02-445-1444</t>
  </si>
  <si>
    <t>묵은지돼지찜</t>
  </si>
  <si>
    <t>묵은지삼겹살(200g)</t>
  </si>
  <si>
    <t>우리생고기</t>
  </si>
  <si>
    <t>서울특별시 강남구 개포로82길 13-17 2층 2호(개포2동)</t>
  </si>
  <si>
    <t>0507-1377-7740</t>
  </si>
  <si>
    <t>생목살(200g)</t>
  </si>
  <si>
    <t>바우골화로구이</t>
  </si>
  <si>
    <t>서울특별시 강남구 강남대로92길 29 (역삼동)</t>
  </si>
  <si>
    <t>02-568-6721</t>
  </si>
  <si>
    <t>양념돼지갈비찜</t>
  </si>
  <si>
    <t>양념돼지왕갈비(250g)</t>
  </si>
  <si>
    <t>고등어식당</t>
  </si>
  <si>
    <t>서울특별시 강남구 강남대로84길 33 (역삼동)</t>
  </si>
  <si>
    <t>02-2050-0095</t>
  </si>
  <si>
    <t>묵은지고등어조림</t>
  </si>
  <si>
    <t>수미정</t>
  </si>
  <si>
    <t>서울특별시 강남구 강남대로84길 33 대우디오빌플러스 지하1층 114호 (역삼동)</t>
  </si>
  <si>
    <t>02-556-5080</t>
  </si>
  <si>
    <t>육판장</t>
  </si>
  <si>
    <t>서울특별시 강남구 삼성로 155 지상1층 122호(대치동)</t>
  </si>
  <si>
    <t>02-564-6254</t>
  </si>
  <si>
    <t>맛있는비빔밥</t>
  </si>
  <si>
    <t>사천옥</t>
  </si>
  <si>
    <t>서울특별시 강남구 선릉로86길 16 (대치동)</t>
  </si>
  <si>
    <t>02-539-1075</t>
  </si>
  <si>
    <t>미러칼국수</t>
  </si>
  <si>
    <t>서울특별시 강남구 삼성로 212 지하층 32호(대치동, 은마아파트)</t>
  </si>
  <si>
    <t>02-501-8748</t>
  </si>
  <si>
    <t>대치동영지</t>
  </si>
  <si>
    <t>서울특별시 강남구 삼성로 212 지상1층(대치동, 은마아파트)</t>
  </si>
  <si>
    <t>02-565-1114</t>
  </si>
  <si>
    <t>해피타임</t>
  </si>
  <si>
    <t>서울특별시 강남구 삼성로71길 34 (대치동)</t>
  </si>
  <si>
    <t>02-567-5714</t>
  </si>
  <si>
    <t>왕가네왕만두</t>
  </si>
  <si>
    <t>서울특별시 강남구 역삼로 420 지상1층(대치동)</t>
  </si>
  <si>
    <t>02-555-0208</t>
  </si>
  <si>
    <t>고기왕만두</t>
  </si>
  <si>
    <t>두꺼비</t>
  </si>
  <si>
    <t>서울특별시 강남구 역삼로 421 (대치동)</t>
  </si>
  <si>
    <t>02-445-8742</t>
  </si>
  <si>
    <t>소고기김치찌개</t>
  </si>
  <si>
    <t>선짓국</t>
  </si>
  <si>
    <t>오복냉면</t>
  </si>
  <si>
    <t>서울특별시 강남구 선릉로76길 21 (대치동)</t>
  </si>
  <si>
    <t>02-501-6288</t>
  </si>
  <si>
    <t>보리수</t>
  </si>
  <si>
    <t>서울특별시 강남구 삼성로82길 25 (대치동)</t>
  </si>
  <si>
    <t>02-564-7419</t>
  </si>
  <si>
    <t>된장지개</t>
  </si>
  <si>
    <t>요일백반</t>
  </si>
  <si>
    <t>여신김밥</t>
  </si>
  <si>
    <t>서울특별시 강남구 선릉로90길 70 인텔빌딩 지상1층(대치동)</t>
  </si>
  <si>
    <t>02-501-0925</t>
  </si>
  <si>
    <t>김치돌솥밥</t>
  </si>
  <si>
    <t>오뎅정식</t>
  </si>
  <si>
    <t>우동정식</t>
  </si>
  <si>
    <t>제일식당</t>
  </si>
  <si>
    <t>서울특별시 강남구 남부순환로 2921 (대치동)</t>
  </si>
  <si>
    <t>02-568-9367</t>
  </si>
  <si>
    <t>한보식당</t>
  </si>
  <si>
    <t>서울특별시 강남구 남부순환로 2921 남서울상가지하 11호(대치동)</t>
  </si>
  <si>
    <t>02-562-0276</t>
  </si>
  <si>
    <t>청실식당</t>
  </si>
  <si>
    <t>서울특별시 강남구 남부순환로 2917 (대치동)</t>
  </si>
  <si>
    <t>02-568-3692</t>
  </si>
  <si>
    <t>향나무집</t>
  </si>
  <si>
    <t>서울특별시 강남구 봉은사로111길 7 지상1층 (삼성동)</t>
  </si>
  <si>
    <t>02-511-3061</t>
  </si>
  <si>
    <t>동태탕</t>
  </si>
  <si>
    <t>시골청국장</t>
  </si>
  <si>
    <t>서울특별시 강남구 학동로 504 (삼성동), 서울빌딩 101호</t>
  </si>
  <si>
    <t>02-548-0171</t>
  </si>
  <si>
    <t>삼성돈구이</t>
  </si>
  <si>
    <t>서울특별시 강남구 봉은사로108길 3-6 (삼성동)</t>
  </si>
  <si>
    <t>02-508-6994</t>
  </si>
  <si>
    <t>낙지돌솥밥</t>
  </si>
  <si>
    <t>생오겹살(180g)</t>
  </si>
  <si>
    <t>청숫골보리밥쌈밥</t>
  </si>
  <si>
    <t>서울특별시 강남구 삼성로 706 지하1층(청담동)</t>
  </si>
  <si>
    <t>02-3443-4402</t>
  </si>
  <si>
    <t>해남식당</t>
  </si>
  <si>
    <t>서울특별시 강남구 학동로101길 26 청담삼익상가 지하1층 4호(청담동)</t>
  </si>
  <si>
    <t>02-543-9660</t>
  </si>
  <si>
    <t>청계산갈비살</t>
  </si>
  <si>
    <t>서울특별시 강남구 학동로45길 7 지하1층 (논현동)</t>
  </si>
  <si>
    <t>02-543-2198</t>
  </si>
  <si>
    <t>갈비살 (150g)</t>
  </si>
  <si>
    <t>지리산</t>
  </si>
  <si>
    <t>서울특별시 강남구 학동로43길 7 지상1층 (논현동)</t>
  </si>
  <si>
    <t>02-546-3127</t>
  </si>
  <si>
    <t>돌솥오징어</t>
  </si>
  <si>
    <t>돌솥제육</t>
  </si>
  <si>
    <t>항아리 숯불갈비</t>
  </si>
  <si>
    <t>서울특별시 강남구 언주로134길 11-1 (논현동)</t>
  </si>
  <si>
    <t>02-517-2260</t>
  </si>
  <si>
    <t>왕돼지갈비(300g)</t>
  </si>
  <si>
    <t>영동원삼겹살</t>
  </si>
  <si>
    <t>서울특별시 강남구 강남대로 520 (논현동)</t>
  </si>
  <si>
    <t>02-541-5090</t>
  </si>
  <si>
    <t>생오겹살(150g)</t>
  </si>
  <si>
    <t>청송숯불화로구이</t>
  </si>
  <si>
    <t>서울특별시 강남구 언주로114길 17 (논현동)</t>
  </si>
  <si>
    <t>02-549-3739</t>
  </si>
  <si>
    <t>바보네집</t>
  </si>
  <si>
    <t>서울특별시 강남구 논현로120길 14 (논현동)</t>
  </si>
  <si>
    <t>02-544-8870</t>
  </si>
  <si>
    <t>모아분식</t>
  </si>
  <si>
    <t>서울특별시 강동구 천호대로191길 6 (길동)</t>
  </si>
  <si>
    <t>02-484-7785</t>
  </si>
  <si>
    <t>꼬마김밥</t>
  </si>
  <si>
    <t>모아김밥</t>
  </si>
  <si>
    <t>금복식당</t>
  </si>
  <si>
    <t>서울특별시 동대문구 안암로20길 16 (제기동)</t>
  </si>
  <si>
    <t>02-923-7844</t>
  </si>
  <si>
    <t>오케이밥집</t>
  </si>
  <si>
    <t>서울특별시 동대문구 장한로18길 36 (장안동)</t>
  </si>
  <si>
    <t>02-2213-3671</t>
  </si>
  <si>
    <t>황소마을</t>
  </si>
  <si>
    <t>서울특별시 용산구 이태원로26길 8 (이태원동)</t>
  </si>
  <si>
    <t>794-6373</t>
  </si>
  <si>
    <t>다동분식</t>
  </si>
  <si>
    <t>서울특별시 중구 남대문로9길 16 (다동)</t>
  </si>
  <si>
    <t>02-755-7414</t>
  </si>
  <si>
    <t>소달구지</t>
  </si>
  <si>
    <t>서울특별시 중구 퇴계로4길 28 (회현동1가)</t>
  </si>
  <si>
    <t>02-755-1585</t>
  </si>
  <si>
    <t>코너집</t>
  </si>
  <si>
    <t>서울특별시 중구 퇴계로 336, 101호 (광희동1가)</t>
  </si>
  <si>
    <t>02-2279-6266</t>
  </si>
  <si>
    <t xml:space="preserve">순두부찌개 </t>
  </si>
  <si>
    <t>송백식당</t>
  </si>
  <si>
    <t>서울특별시 영등포구 당산로38길 15 (당산동4가)</t>
  </si>
  <si>
    <t>02-2632-5080</t>
  </si>
  <si>
    <t>은하미용실</t>
  </si>
  <si>
    <t>서울특별시 구로구 우마길 11 (가리봉동)</t>
  </si>
  <si>
    <t>02-862-7897</t>
  </si>
  <si>
    <t>김연화헤어숍</t>
  </si>
  <si>
    <t>서울특별시 구로구 구로동로 12 (가리봉동)</t>
  </si>
  <si>
    <t>02-858-9940</t>
  </si>
  <si>
    <t>미진분식</t>
  </si>
  <si>
    <t>서울특별시 구로구 구로중앙로8길 27 (구로동)</t>
  </si>
  <si>
    <t>02-3281-9409</t>
  </si>
  <si>
    <t>일억조분식</t>
  </si>
  <si>
    <t>서울특별시 구로구 가마산로26길 11 (구로동)</t>
  </si>
  <si>
    <t>02-869-8454</t>
  </si>
  <si>
    <t>우동.짜장</t>
  </si>
  <si>
    <t>서울특별시 구로구 구로동로 126-16 (구로동)</t>
  </si>
  <si>
    <t>02-837-9705</t>
  </si>
  <si>
    <t>자매분식</t>
  </si>
  <si>
    <t>서울특별시 구로구 구로중앙로8길 41 (구로동)</t>
  </si>
  <si>
    <t>02-851-5293</t>
  </si>
  <si>
    <t>건영헤어포맨</t>
  </si>
  <si>
    <t>서울특별시 구로구 구로동로12길 32 (구로동)</t>
  </si>
  <si>
    <t>0507-1378-0554</t>
  </si>
  <si>
    <t>24시헤어샵</t>
  </si>
  <si>
    <t>서울특별시 구로구 도림로10길 31-1 (구로동)</t>
  </si>
  <si>
    <t>김밥짱</t>
  </si>
  <si>
    <t>서울특별시 구로구 구로동로 125-1 (구로동)</t>
  </si>
  <si>
    <t>02-861-2644</t>
  </si>
  <si>
    <t>칭니</t>
  </si>
  <si>
    <t>서울특별시 구로구 구로중앙로 198 (구로동)</t>
  </si>
  <si>
    <t>02-2634-1480</t>
  </si>
  <si>
    <t>대성이용원</t>
  </si>
  <si>
    <t>서울특별시 구로구 구로동로17길 5-3 (구로동)</t>
  </si>
  <si>
    <t>02-869-4533</t>
  </si>
  <si>
    <t>국제세탁소</t>
  </si>
  <si>
    <t>서울특별시 송파구 문정로11길 12 (가락동)</t>
  </si>
  <si>
    <t>02-409-1914</t>
  </si>
  <si>
    <t xml:space="preserve">양복 세탁료 </t>
  </si>
  <si>
    <t>명품삼겹살점문점</t>
  </si>
  <si>
    <t>서울특별시 송파구 백제고분로32길 3 (삼전동)</t>
  </si>
  <si>
    <t>419-2550</t>
  </si>
  <si>
    <t>소백산</t>
  </si>
  <si>
    <t>서울특별시 송파구 백제고분로39길 28 (석촌동)</t>
  </si>
  <si>
    <t>422-9929</t>
  </si>
  <si>
    <t>삼겹살(180g/국내)</t>
  </si>
  <si>
    <t>삼겹살(200g/국내)</t>
  </si>
  <si>
    <t>초원이발</t>
  </si>
  <si>
    <t>서울특별시 구로구 부일로17길 12-1 (궁동)</t>
  </si>
  <si>
    <t>매직세탁편의점</t>
  </si>
  <si>
    <t>서울특별시 구로구 오류로8길 99 (오류동)</t>
  </si>
  <si>
    <t>02-2611-5911</t>
  </si>
  <si>
    <t>와이셔츠 세탁료</t>
  </si>
  <si>
    <t>원피스 세탁료</t>
  </si>
  <si>
    <t>하의 세탁료</t>
  </si>
  <si>
    <t>티셔츠세탁료</t>
  </si>
  <si>
    <t>본향</t>
  </si>
  <si>
    <t>서울특별시 송파구 마천로26길 6 (오금동)</t>
  </si>
  <si>
    <t>02-409-8480</t>
  </si>
  <si>
    <t xml:space="preserve">짜장면 </t>
  </si>
  <si>
    <t>명가식당</t>
  </si>
  <si>
    <t>서울특별시 구로구 오류로8길 85 (오류동)</t>
  </si>
  <si>
    <t>02-2682-0384</t>
  </si>
  <si>
    <t>(김밥만두)새벽분식</t>
  </si>
  <si>
    <t>서울특별시 구로구 오류로8나길 8 (오류동, 미성아트빌라)</t>
  </si>
  <si>
    <t>02-2617-8550</t>
  </si>
  <si>
    <t>강원도청국장</t>
  </si>
  <si>
    <t>서울특별시 송파구 오금로19길 14 (방이동)</t>
  </si>
  <si>
    <t>02-423-1714</t>
  </si>
  <si>
    <t>화신이발관</t>
  </si>
  <si>
    <t>서울특별시 서울 구로구 고척로3길 20</t>
  </si>
  <si>
    <t>02-2681-0977</t>
  </si>
  <si>
    <t>방이맛집</t>
  </si>
  <si>
    <t>서울특별시 송파구 오금로11길 63-9 (방이동)</t>
  </si>
  <si>
    <t>416-5567</t>
  </si>
  <si>
    <t>서울분식</t>
  </si>
  <si>
    <t>서울특별시 송파구 가락로42길 13 (방이동)</t>
  </si>
  <si>
    <t>02-415-1576</t>
  </si>
  <si>
    <t>김치백반</t>
  </si>
  <si>
    <t>소망미용실</t>
  </si>
  <si>
    <t>서울특별시 구로구 개봉로1나길 16 (개봉동)</t>
  </si>
  <si>
    <t>02-2613-5428</t>
  </si>
  <si>
    <t>꽃님미용실</t>
  </si>
  <si>
    <t>서울특별시 구로구 개봉로3길 50 (개봉동)</t>
  </si>
  <si>
    <t>02-2685-3465</t>
  </si>
  <si>
    <t>삼환미용실</t>
  </si>
  <si>
    <t>서울특별시 구로구 고척로21나길 91 (개봉동)</t>
  </si>
  <si>
    <t>02-2689-4635</t>
  </si>
  <si>
    <t>닷컴분식</t>
  </si>
  <si>
    <t>서울특별시 구로구 남부순환로97길 20-6 (개봉동)</t>
  </si>
  <si>
    <t>02-2616-4048</t>
  </si>
  <si>
    <t>옛날짜장(중화각)</t>
  </si>
  <si>
    <t>서울특별시 구로구 고척로22길 58 (개봉동)</t>
  </si>
  <si>
    <t>02-2618-3039</t>
  </si>
  <si>
    <t>해성반점</t>
  </si>
  <si>
    <t>서울특별시 구로구 고척로 123-2 (개봉동)</t>
  </si>
  <si>
    <t>02-2684-8991</t>
  </si>
  <si>
    <t>복지이발관</t>
  </si>
  <si>
    <t>서울특별시 구로구 고척로27길 115 (개봉동)</t>
  </si>
  <si>
    <t>효성이발관</t>
  </si>
  <si>
    <t>서울특별시 구로구 고척로27길 62 (개봉동)</t>
  </si>
  <si>
    <t>02-2615-2371</t>
  </si>
  <si>
    <t>화승원</t>
  </si>
  <si>
    <t>서울특별시 구로구 경인로35길 40 (개봉동)</t>
  </si>
  <si>
    <t>02-2685-1397</t>
  </si>
  <si>
    <t>완산정</t>
  </si>
  <si>
    <t>서울특별시 구로구 개봉로23가길 37 (개봉동)</t>
  </si>
  <si>
    <t>02-2688-4655</t>
  </si>
  <si>
    <t>개봉분식</t>
  </si>
  <si>
    <t>서울특별시 구로구 고척로21나길 65 (개봉동)</t>
  </si>
  <si>
    <t>02-2625-9465</t>
  </si>
  <si>
    <t>가마솥설렁탕</t>
  </si>
  <si>
    <t>서울특별시 구로구 고척로40길 33-4 (고척동)</t>
  </si>
  <si>
    <t>02-2615-5292</t>
  </si>
  <si>
    <t>백반(청국장)</t>
  </si>
  <si>
    <t>미미헤어</t>
  </si>
  <si>
    <t>서울특별시 구로구 고척로31길 4 (고척동)</t>
  </si>
  <si>
    <t>02-2615-5346</t>
  </si>
  <si>
    <t>커트(어린이)</t>
  </si>
  <si>
    <t>서울특별시 구로구 고척로 179 (고척동)</t>
  </si>
  <si>
    <t>까망머리방</t>
  </si>
  <si>
    <t>서울특별시 구로구 고척로33라길 19 (고척동)</t>
  </si>
  <si>
    <t>02-2615-3895</t>
  </si>
  <si>
    <t>서울특별시 구로구 중앙로3길 50, 지하 (고척동)</t>
  </si>
  <si>
    <t>02-2612-5559</t>
  </si>
  <si>
    <t>서울특별시 구로구 경인로47길 49 (고척동)</t>
  </si>
  <si>
    <t>02-2625-5476</t>
  </si>
  <si>
    <t>해피분식</t>
  </si>
  <si>
    <t>서울특별시 구로구 중앙로1길 18-19 (고척동, 우성현대아파트)</t>
  </si>
  <si>
    <t>02-2688-1242</t>
  </si>
  <si>
    <t>삼삼치킨</t>
  </si>
  <si>
    <t>서울특별시 구로구 경인로47길 42 (고척동)</t>
  </si>
  <si>
    <t>02-2692-9510</t>
  </si>
  <si>
    <t>파닭치킨</t>
  </si>
  <si>
    <t>깍구뽁구미용실</t>
  </si>
  <si>
    <t>서울특별시 구로구 우마1길 54 (가리봉동)</t>
  </si>
  <si>
    <t>02-838-4910</t>
  </si>
  <si>
    <t>성원이용원</t>
  </si>
  <si>
    <t>서울특별시 구로구 구로동로7길 7 (가리봉동)</t>
  </si>
  <si>
    <t>02-861-0663</t>
  </si>
  <si>
    <t>이용원(커트)</t>
  </si>
  <si>
    <t>수정이발관</t>
  </si>
  <si>
    <t>서울특별시 구로구 구로동로 13 (가리봉동)</t>
  </si>
  <si>
    <t>02-857-1804</t>
  </si>
  <si>
    <t>진식당</t>
  </si>
  <si>
    <t>서울특별시 노원구 노원로 564 (상계동, 상계주공10단지아파트)</t>
  </si>
  <si>
    <t>02-952-1026</t>
  </si>
  <si>
    <t>엠스타일</t>
  </si>
  <si>
    <t>서울특별시 노원구 동일로 1551 (상계동, 삼전빌딩)</t>
  </si>
  <si>
    <t>02-952-0539</t>
  </si>
  <si>
    <t>이용료</t>
  </si>
  <si>
    <t>세탁편의점</t>
  </si>
  <si>
    <t>서울특별시 노원구 한글비석로444(교림노원프라자 1층) (상계동)</t>
  </si>
  <si>
    <t>02-3391-4459</t>
  </si>
  <si>
    <t>브랜드특수크리닝 가죽전문점</t>
  </si>
  <si>
    <t>서울특별시 노원구 섬밭로 263 1층 4호 (중계동) 롯데상가</t>
  </si>
  <si>
    <t>02-979-5474</t>
  </si>
  <si>
    <t>의복수선</t>
  </si>
  <si>
    <t>초밥아저씨</t>
  </si>
  <si>
    <t>서울특별시 관악구 신원로 23 (신림동), 관악종합시장 108 호</t>
  </si>
  <si>
    <t>02-3281-2820</t>
  </si>
  <si>
    <t>모듬초밥(10p)</t>
  </si>
  <si>
    <t>특모듬초밥(15p)</t>
  </si>
  <si>
    <t>빨리셀프크리닝</t>
  </si>
  <si>
    <t>서울특별시 관악구 신림로 224 (신림동)</t>
  </si>
  <si>
    <t>02-872-8253</t>
  </si>
  <si>
    <t>다리목</t>
  </si>
  <si>
    <t>서울특별시 관악구 신림로58가길 7 (신림동)</t>
  </si>
  <si>
    <t>02-877-4369</t>
  </si>
  <si>
    <t>다사랑분식</t>
  </si>
  <si>
    <t>서울특별시 관악구 난우길 18 (신림동)</t>
  </si>
  <si>
    <t>852-5010</t>
  </si>
  <si>
    <t>다정이모네</t>
  </si>
  <si>
    <t>서울특별시 관악구 신원로 3 (신림동)</t>
  </si>
  <si>
    <t>865-0218</t>
  </si>
  <si>
    <t>제육볶음(국산)</t>
  </si>
  <si>
    <t>순대국(국산)</t>
  </si>
  <si>
    <t>금천골 오리명가</t>
  </si>
  <si>
    <t>서울특별시 금천구 시흥대로78길 59 (독산동)</t>
  </si>
  <si>
    <t>02-808-1246</t>
  </si>
  <si>
    <t>한방토종닭백숙</t>
  </si>
  <si>
    <t>짱아헤어샵</t>
  </si>
  <si>
    <t>서울특별시 금천구 시흥대로126길 22-7 (독산동)</t>
  </si>
  <si>
    <t>02-868-6262</t>
  </si>
  <si>
    <t>제주토종흑돼지</t>
  </si>
  <si>
    <t>서울특별시 관악구 남현1길 68-14 (남현동)</t>
  </si>
  <si>
    <t>583-9250</t>
  </si>
  <si>
    <t>제주흑돼지(180g) 오겹살</t>
  </si>
  <si>
    <t>제주흑돼지(180g) 전지</t>
  </si>
  <si>
    <t>수제비손칼국수</t>
  </si>
  <si>
    <t>서울특별시 관악구 남부순환로248길 78 1층 105호</t>
  </si>
  <si>
    <t>02-876-2517</t>
  </si>
  <si>
    <t>중앙삼겹시대</t>
  </si>
  <si>
    <t>서울특별시 관악구 중앙길 12 (봉천동)</t>
  </si>
  <si>
    <t>875-9998</t>
  </si>
  <si>
    <t>유창숯불갈비</t>
  </si>
  <si>
    <t>서울특별시 관악구 은천로23길 14 (봉천동, 유창빌)</t>
  </si>
  <si>
    <t>02-883-5759</t>
  </si>
  <si>
    <t>만리향</t>
  </si>
  <si>
    <t>서울특별시 관악구 은천로41길 20 (봉천동)</t>
  </si>
  <si>
    <t>02-885-5077</t>
  </si>
  <si>
    <t>유성짬뽕</t>
  </si>
  <si>
    <t>서울특별시 송파구 거마로22길 35 (마천동)</t>
  </si>
  <si>
    <t>443-6692</t>
  </si>
  <si>
    <t>서울특별시 송파구 거마로22길 1 (마천동)</t>
  </si>
  <si>
    <t>3402-0885</t>
  </si>
  <si>
    <t>국일반점</t>
  </si>
  <si>
    <t>서울특별시 송파구 마천로 345-1 (마천동)</t>
  </si>
  <si>
    <t>02-406-0451</t>
  </si>
  <si>
    <t>벧엘손칼국수</t>
  </si>
  <si>
    <t>서울특별시 송파구 마천로41길 22 (마천동)</t>
  </si>
  <si>
    <t>02-408-5151</t>
  </si>
  <si>
    <t>돈구워돈</t>
  </si>
  <si>
    <t>서울특별시 송파구 오금로 532 (거여동)</t>
  </si>
  <si>
    <t>02-401-6363</t>
  </si>
  <si>
    <t>차밍미용실</t>
  </si>
  <si>
    <t>서울특별시 송파구 성내천로20길 18 (거여동)</t>
  </si>
  <si>
    <t>02-400-6512</t>
  </si>
  <si>
    <t xml:space="preserve">파마 </t>
  </si>
  <si>
    <t>시골마당</t>
  </si>
  <si>
    <t>서울특별시 서초구 강남대로23길 30 (양재동)</t>
  </si>
  <si>
    <t>02-577-9453</t>
  </si>
  <si>
    <t>더구어</t>
  </si>
  <si>
    <t>서울특별시 서초구 효령로31길 58 (방배동)</t>
  </si>
  <si>
    <t>3474-9293</t>
  </si>
  <si>
    <t>송림정</t>
  </si>
  <si>
    <t>서울특별시 관악구 은천로 36 (봉천동)</t>
  </si>
  <si>
    <t>02-878-7777</t>
  </si>
  <si>
    <t>미미치킨</t>
  </si>
  <si>
    <t>서울특별시 서초구 서초대로 108 (방배동)</t>
  </si>
  <si>
    <t>02-586-7130</t>
  </si>
  <si>
    <t>후라이드반/양념반</t>
  </si>
  <si>
    <t>훈제치킨</t>
  </si>
  <si>
    <t>후라이드치킨</t>
  </si>
  <si>
    <t>고추치킨</t>
  </si>
  <si>
    <t>만나칼국수</t>
  </si>
  <si>
    <t>서울특별시 관악구 봉천로7길 23 (봉천동), 지하</t>
  </si>
  <si>
    <t>02-888-8564</t>
  </si>
  <si>
    <t>영화반점</t>
  </si>
  <si>
    <t>서울특별시 서대문구 북아현로2길 5 (북아현동)</t>
  </si>
  <si>
    <t>02-362-0567</t>
  </si>
  <si>
    <t>진사골왕갈비</t>
  </si>
  <si>
    <t>서울특별시 서울 서대문구 이화여대3길 23</t>
  </si>
  <si>
    <t>02-363-3959</t>
  </si>
  <si>
    <t>옛고향</t>
  </si>
  <si>
    <t>서울특별시 서대문구 모래내로 350 (홍은동)</t>
  </si>
  <si>
    <t>02-394-7681</t>
  </si>
  <si>
    <t>쇠고기(200g, 국내산)</t>
  </si>
  <si>
    <t>이리이발관</t>
  </si>
  <si>
    <t>서울특별시 서대문구 거북골로 208 (북가좌동)</t>
  </si>
  <si>
    <t>02-374-3875</t>
  </si>
  <si>
    <t>커트+면도</t>
  </si>
  <si>
    <t>미성식당</t>
  </si>
  <si>
    <t>서울특별시 서대문구 통일로40안길 13-5 (홍제동)</t>
  </si>
  <si>
    <t>02-379-8562</t>
  </si>
  <si>
    <t>참참치킨</t>
  </si>
  <si>
    <t>서울특별시 서대문구 세검정로 49-1 (홍제동)</t>
  </si>
  <si>
    <t>396-9285</t>
  </si>
  <si>
    <t>새로본미용실</t>
  </si>
  <si>
    <t>서울특별시 강서구 개화동로27길 33 (방화동)</t>
  </si>
  <si>
    <t>02-2661-9496</t>
  </si>
  <si>
    <t>서울특별시 강서구 곰달래로19길 45 (화곡동)</t>
  </si>
  <si>
    <t>진흥이발</t>
  </si>
  <si>
    <t>서울특별시 강서구 강서로7길 20 (화곡동)</t>
  </si>
  <si>
    <t>02-2698-5757</t>
  </si>
  <si>
    <t>시골칼국수</t>
  </si>
  <si>
    <t>서울특별시 강서구 방화대로7나길 45 (공항동)</t>
  </si>
  <si>
    <t>02-2666-5477</t>
  </si>
  <si>
    <t>대승식당</t>
  </si>
  <si>
    <t>서울특별시 강서구 강서로74길 40 (가양동)</t>
  </si>
  <si>
    <t>02-2658-5646</t>
  </si>
  <si>
    <t>21세기남성헤어</t>
  </si>
  <si>
    <t>서울특별시 강서구 강서로17나길 2 (화곡동)</t>
  </si>
  <si>
    <t>02-2601-7745</t>
  </si>
  <si>
    <t>미성각</t>
  </si>
  <si>
    <t>서울특별시 도봉구 노해로 389 (창동)</t>
  </si>
  <si>
    <t>02-996-7766</t>
  </si>
  <si>
    <t xml:space="preserve">자장면 </t>
  </si>
  <si>
    <t>향토이발관</t>
  </si>
  <si>
    <t>서울특별시 도봉구 도봉로164길 44 (도봉동)</t>
  </si>
  <si>
    <t>02-954-8053</t>
  </si>
  <si>
    <t>이발(컷)</t>
  </si>
  <si>
    <t>축복미용실</t>
  </si>
  <si>
    <t>서울특별시 서울 도봉구 해등로 144</t>
  </si>
  <si>
    <t>02-906-9692</t>
  </si>
  <si>
    <t>일심해장국</t>
  </si>
  <si>
    <t>서울특별시 도봉구 방학로 204 (방학동)</t>
  </si>
  <si>
    <t>02-956-7027</t>
  </si>
  <si>
    <t>돌솥비빕밥</t>
  </si>
  <si>
    <t>알뜰정육식당</t>
  </si>
  <si>
    <t>서울특별시 도봉구 도봉로169나길 71 (도봉동)</t>
  </si>
  <si>
    <t>02-3491-6898</t>
  </si>
  <si>
    <t>삼겹살(국내산,200g)</t>
  </si>
  <si>
    <t>신짜장</t>
  </si>
  <si>
    <t>서울특별시 서울 도봉구 도봉로145길 56</t>
  </si>
  <si>
    <t>02-3492-9209</t>
  </si>
  <si>
    <t>시골짚</t>
  </si>
  <si>
    <t>서울특별시 서울 도봉구 도봉로152길 35</t>
  </si>
  <si>
    <t>02-954-5243</t>
  </si>
  <si>
    <t>생삼겹살(국내산,200g)</t>
  </si>
  <si>
    <t>미락칼국수</t>
  </si>
  <si>
    <t>서울특별시 서울 도봉구 도봉로110길 68</t>
  </si>
  <si>
    <t>02-908-7017</t>
  </si>
  <si>
    <t>마르떼헤어</t>
  </si>
  <si>
    <t>서울특별시 서울 도봉구 도봉로113길 38</t>
  </si>
  <si>
    <t>02-990-6965</t>
  </si>
  <si>
    <t>염색(경로우대)</t>
  </si>
  <si>
    <t>돈애우</t>
  </si>
  <si>
    <t>서울특별시 도봉구 도당로 81 (방학동)</t>
  </si>
  <si>
    <t>02-3491-9279</t>
  </si>
  <si>
    <t>볏짚칼삼겹(캐나다산,180g)</t>
  </si>
  <si>
    <t>숯불생삼겹(캐나다산,180g)</t>
  </si>
  <si>
    <t>도봉산콩나물국밥</t>
  </si>
  <si>
    <t>서울특별시 도봉구 도봉로181길 53 (도봉동)</t>
  </si>
  <si>
    <t>02-955-9335</t>
  </si>
  <si>
    <t>김밥타운</t>
  </si>
  <si>
    <t>서울특별시 서울 도봉구 도당로15길 3</t>
  </si>
  <si>
    <t>02-956-2001</t>
  </si>
  <si>
    <t>난짜장 넌짬뽕</t>
  </si>
  <si>
    <t>서울특별시 도봉구 도봉로 153길 26 (도봉동)</t>
  </si>
  <si>
    <t>02-956-0073</t>
  </si>
  <si>
    <t>솔잎식당</t>
  </si>
  <si>
    <t>서울특별시 마포구 마포대로4길 46 (도화동)</t>
  </si>
  <si>
    <t>02-717-2044</t>
  </si>
  <si>
    <t>한아름분식</t>
  </si>
  <si>
    <t>서울특별시 광진구 군자로 159 (군자동)</t>
  </si>
  <si>
    <t>02-469-2535</t>
  </si>
  <si>
    <t>분식나라</t>
  </si>
  <si>
    <t>서울특별시 중랑구 동일로140길 25 (중화동)</t>
  </si>
  <si>
    <t>02-2209-2833</t>
  </si>
  <si>
    <t>겨울나그네</t>
  </si>
  <si>
    <t>서울특별시 서울 광진구 능동로 147-1</t>
  </si>
  <si>
    <t>02-498-3650</t>
  </si>
  <si>
    <t>이도희머리방</t>
  </si>
  <si>
    <t>서울특별시 광진구 아차산로36길 39, 2층 (자양동, 자양7차우성아파트 상가)</t>
  </si>
  <si>
    <t>02-446-9924</t>
  </si>
  <si>
    <t>금천이발관</t>
  </si>
  <si>
    <t>서울특별시 중랑구 면목로29길 21 (면목동)</t>
  </si>
  <si>
    <t>02-492-5613</t>
  </si>
  <si>
    <t>동현세탁</t>
  </si>
  <si>
    <t>서울특별시 광진구 뚝섬로52라길 65 (자양동)</t>
  </si>
  <si>
    <t>02-458-6268</t>
  </si>
  <si>
    <t>한분식</t>
  </si>
  <si>
    <t>서울특별시 서대문구 홍연2길 2 (연희동)</t>
  </si>
  <si>
    <t>335-6712</t>
  </si>
  <si>
    <t>먹고갈래지고갈래</t>
  </si>
  <si>
    <t>서울특별시 종로구 수표로 117 (낙원동)</t>
  </si>
  <si>
    <t>02-3673-1239</t>
  </si>
  <si>
    <t>산채비빔밥</t>
  </si>
  <si>
    <t>수원성갈비</t>
  </si>
  <si>
    <t>서울특별시 종로구 창신3길 9 (창신동)</t>
  </si>
  <si>
    <t>02-745-3576</t>
  </si>
  <si>
    <t>광나루찌개</t>
  </si>
  <si>
    <t>서울특별시 종로구 대학로5가길 1 (연건동)</t>
  </si>
  <si>
    <t>744-9260</t>
  </si>
  <si>
    <t>서울특별시 광진구 자양로36길 11-1 (구의동)</t>
  </si>
  <si>
    <t>3436-1525</t>
  </si>
  <si>
    <t>제이필헤어</t>
  </si>
  <si>
    <t>서울특별시 광진구 자양로 183 (구의동)</t>
  </si>
  <si>
    <t>영화속의 김밥이야기</t>
  </si>
  <si>
    <t>서울특별시 광진구 자양로 173 (구의동)</t>
  </si>
  <si>
    <t>02-444-5005</t>
  </si>
  <si>
    <t>모범이발</t>
  </si>
  <si>
    <t>서울특별시 광진구 면목로11길 5 (중곡동)</t>
  </si>
  <si>
    <t>499-4897</t>
  </si>
  <si>
    <t>장미헤어짱</t>
  </si>
  <si>
    <t>서울특별시 광진구 면목로 167 (중곡동)</t>
  </si>
  <si>
    <t>갤러리헤어</t>
  </si>
  <si>
    <t>서울특별시 광진구 동일로72길 46 (중곡동)</t>
  </si>
  <si>
    <t>02-465-3861</t>
  </si>
  <si>
    <t>할매김밥</t>
  </si>
  <si>
    <t>서울특별시 중랑구 동일로163길 17 (묵동)</t>
  </si>
  <si>
    <t>02-979-6227</t>
  </si>
  <si>
    <t>화성각</t>
  </si>
  <si>
    <t>서울특별시 중랑구 면목로48길 37 (면목동)</t>
  </si>
  <si>
    <t>02-432-8301</t>
  </si>
  <si>
    <t>서울특별시 성북구 보문로40길 5 (동소문동5가)</t>
  </si>
  <si>
    <t>02-953-5595</t>
  </si>
  <si>
    <t>지앤미미용실</t>
  </si>
  <si>
    <t xml:space="preserve">서울특별시 화랑로19길 81 </t>
  </si>
  <si>
    <t>02-941-0980</t>
  </si>
  <si>
    <t>파마(일반)</t>
  </si>
  <si>
    <t>정릉갈비</t>
  </si>
  <si>
    <t>서울특별시 성북구 정릉로38길 8 (정릉동)</t>
  </si>
  <si>
    <t>02-916-9466</t>
  </si>
  <si>
    <t>돼지갈비찜</t>
  </si>
  <si>
    <t>묵은지찜</t>
  </si>
  <si>
    <t>서울숯불갈비</t>
  </si>
  <si>
    <t>서울특별시 성북구 정릉로29길 8 (정릉동)</t>
  </si>
  <si>
    <t>02-912-1902</t>
  </si>
  <si>
    <t>서울갈비(250g)</t>
  </si>
  <si>
    <t>보성각</t>
  </si>
  <si>
    <t>서울특별시 성북구 정릉로9길 56 (정릉동)</t>
  </si>
  <si>
    <t>913-4050</t>
  </si>
  <si>
    <t>미락 우성</t>
  </si>
  <si>
    <t>서울특별시 성북구 화랑로25길 13 (상월곡동)</t>
  </si>
  <si>
    <t>02-915-3334</t>
  </si>
  <si>
    <t>서울특별시 은평구 진흥로 119 (대조동)</t>
  </si>
  <si>
    <t>은혜분식</t>
  </si>
  <si>
    <t>서울특별시 은평구 역말로9길 41 (대조동)</t>
  </si>
  <si>
    <t>02-359-0262</t>
  </si>
  <si>
    <t>서울특별시 종로구 자하문로 3 (내자동)</t>
  </si>
  <si>
    <t>738-8223</t>
  </si>
  <si>
    <t>참치김치찌개</t>
  </si>
  <si>
    <t>연백냉면</t>
  </si>
  <si>
    <t>서울특별시 송파구 새말로12길 7 (문정동)</t>
  </si>
  <si>
    <t>02-409-5054</t>
  </si>
  <si>
    <t>화로가</t>
  </si>
  <si>
    <t>서울특별시 용산구 한강대로39길 5 (한강로2가)</t>
  </si>
  <si>
    <t>02-798-8480</t>
  </si>
  <si>
    <t>영화미용실</t>
  </si>
  <si>
    <t>서울특별시 금천구 독산로44길 15 (시흥동)</t>
  </si>
  <si>
    <t>02-805-2864</t>
  </si>
  <si>
    <t>소백산영주한우</t>
  </si>
  <si>
    <t>서울특별시 은평구 은평로 187-3 (녹번동)</t>
  </si>
  <si>
    <t>02-358-1199</t>
  </si>
  <si>
    <t>한우갈비탕</t>
  </si>
  <si>
    <t>털보고된이</t>
  </si>
  <si>
    <t>서울특별시 은평구 통일로83길 9-1 (갈현동)</t>
  </si>
  <si>
    <t>02-383-9289</t>
  </si>
  <si>
    <t>SK명품세탁</t>
  </si>
  <si>
    <t>서울특별시 구로구 구일로10길 27 (구로동)</t>
  </si>
  <si>
    <t>02-6097-7170</t>
  </si>
  <si>
    <t xml:space="preserve">와이셔츠 세탁 </t>
  </si>
  <si>
    <t>셔츠 세탁</t>
  </si>
  <si>
    <t>스커트</t>
  </si>
  <si>
    <t>남성정장세탁</t>
  </si>
  <si>
    <t>황궁</t>
  </si>
  <si>
    <t>서울특별시 구로구 경인로47길 10 (고척동)</t>
  </si>
  <si>
    <t>02-2681-4554</t>
  </si>
  <si>
    <t>짜장면(홀기준)</t>
  </si>
  <si>
    <t>짬뽕(홀기준)</t>
  </si>
  <si>
    <t>화인크리닝세탁소</t>
  </si>
  <si>
    <t>서울특별시 구로구 경인로35길 131-15 (고척동)</t>
  </si>
  <si>
    <t>02-2617-7453</t>
  </si>
  <si>
    <t>한복드라이</t>
  </si>
  <si>
    <t>점퍼드라이</t>
  </si>
  <si>
    <t>토탈헤어샵</t>
  </si>
  <si>
    <t>서울특별시 구로구 오류로8길 83 (오류동)</t>
  </si>
  <si>
    <t>02-2688-1717</t>
  </si>
  <si>
    <t>설가네부대찌개</t>
  </si>
  <si>
    <t>서울특별시 구로구 경인로 318-9 (개봉동)</t>
  </si>
  <si>
    <t>02-2613-2246</t>
  </si>
  <si>
    <t>새미나미용실</t>
  </si>
  <si>
    <t>서울특별시 구로구 부일로9길 87 (온수동)</t>
  </si>
  <si>
    <t>02-2682-2190</t>
  </si>
  <si>
    <t>보리밥, 솥뚜껑 삼겹살</t>
  </si>
  <si>
    <t>서울특별시 구로구 개봉로15길 12 (개봉동)</t>
  </si>
  <si>
    <t>02-2682-4662</t>
  </si>
  <si>
    <t>명가영양돌솥밥</t>
  </si>
  <si>
    <t>서울특별시 구로구 구로동로18길 12 (구로동)</t>
  </si>
  <si>
    <t>02-858-5977</t>
  </si>
  <si>
    <t>영양돌솥밥</t>
  </si>
  <si>
    <t>대형숯불갈비</t>
  </si>
  <si>
    <t>서울특별시 구로구 구로동로 100 (구로동)</t>
  </si>
  <si>
    <t>02-864-0719</t>
  </si>
  <si>
    <t>돼지갈비(국내산,200g)</t>
  </si>
  <si>
    <t>길손한정식</t>
  </si>
  <si>
    <t>서울특별시 구로구 고척로40길 33-5 (고척동)</t>
  </si>
  <si>
    <t>02-2625-0277</t>
  </si>
  <si>
    <t>구로사진관</t>
  </si>
  <si>
    <t>서울특별시 서울 구로구 가마산로 244</t>
  </si>
  <si>
    <t>02-862-4940</t>
  </si>
  <si>
    <t>증명사진 촬영료</t>
  </si>
  <si>
    <t>여권사진 촬영료</t>
  </si>
  <si>
    <t>조희미용실</t>
  </si>
  <si>
    <t>서울특별시 광진구 뚝섬로52나길 25 (자양동)</t>
  </si>
  <si>
    <t>02-447-0658</t>
  </si>
  <si>
    <t>기성미용실</t>
  </si>
  <si>
    <t>서울특별시 중구 다산로28길 28 (신당동)</t>
  </si>
  <si>
    <t>02-2231-0053</t>
  </si>
  <si>
    <t>테마모텔</t>
  </si>
  <si>
    <t>서울특별시 영등포구 영중로6길 23-5 (영등포동3가)</t>
  </si>
  <si>
    <t>02-2675-7500</t>
  </si>
  <si>
    <t>평일</t>
  </si>
  <si>
    <t>가이드당구장</t>
  </si>
  <si>
    <t>서울특별시 송파구 오금로 493 (거여동)</t>
  </si>
  <si>
    <t>404-4215</t>
  </si>
  <si>
    <t>당구장이용료</t>
  </si>
  <si>
    <t>서울특별시 송파구 양산로 12 (거여동)</t>
  </si>
  <si>
    <t>0507-1404-6718</t>
  </si>
  <si>
    <t>신성김밥</t>
  </si>
  <si>
    <t>서울특별시 송파구 백제고분로22길 28 (삼전동, 칸스빌)</t>
  </si>
  <si>
    <t>02-420-9563</t>
  </si>
  <si>
    <t>조리라면</t>
  </si>
  <si>
    <t>오백냥분식</t>
  </si>
  <si>
    <t>서울특별시 송파구 가락로 112 (석촌동)</t>
  </si>
  <si>
    <t>02-414-2261</t>
  </si>
  <si>
    <t>청해루</t>
  </si>
  <si>
    <t>서울특별시 송파구 거마로20길 17 (마천동)</t>
  </si>
  <si>
    <t>404-5586</t>
  </si>
  <si>
    <t>탕수육(中)</t>
  </si>
  <si>
    <t>홍보성</t>
  </si>
  <si>
    <t>서울특별시 송파구 문정로4길 24-20 (문정동)</t>
  </si>
  <si>
    <t>02-400-4532</t>
  </si>
  <si>
    <t>서울중국집</t>
  </si>
  <si>
    <t>서울특별시 송파구 백제고분로41길 43-15 (송파동)</t>
  </si>
  <si>
    <t>02-3432-5582</t>
  </si>
  <si>
    <t>선경헤어샵</t>
  </si>
  <si>
    <t>서울특별시 강남구 삼성로 151 선경상가 지하1층 13호(대치동, 선경아파트)</t>
  </si>
  <si>
    <t>02-566-3019</t>
  </si>
  <si>
    <t>파마일반</t>
  </si>
  <si>
    <t>별미 바지락칼국수</t>
  </si>
  <si>
    <t>서울특별시 강동구 풍성로 160 (성내동)</t>
  </si>
  <si>
    <t>02-470-7393</t>
  </si>
  <si>
    <t>열무국수</t>
  </si>
  <si>
    <t>뚝배기해장국</t>
  </si>
  <si>
    <t>서울특별시 강동구 양재대로 1389 (성내동)</t>
  </si>
  <si>
    <t>02-476-6005</t>
  </si>
  <si>
    <t>종묘이용원</t>
  </si>
  <si>
    <t>서울특별시 서울 종로구 종로 146-1(종로3가)</t>
  </si>
  <si>
    <t>파고다이용원</t>
  </si>
  <si>
    <t>서울특별시 종로구 종로17길 12 (종로2가)</t>
  </si>
  <si>
    <t>이레이발관</t>
  </si>
  <si>
    <t>서울특별시 종로구 수표로 115 (낙원동)</t>
  </si>
  <si>
    <t>이소빈 머리나라</t>
  </si>
  <si>
    <t>서울특별시 종로구 명륜길 9 (명륜3가)</t>
  </si>
  <si>
    <t>02-766-0545</t>
  </si>
  <si>
    <t>독립문 모텔</t>
  </si>
  <si>
    <t>서울특별시 종로구 통일로 220 (교북동)</t>
  </si>
  <si>
    <t>737-3555</t>
  </si>
  <si>
    <t>삼삼뚝배기</t>
  </si>
  <si>
    <t>서울특별시 종로구 동숭길 51 (동숭동)</t>
  </si>
  <si>
    <t>02-765-4683</t>
  </si>
  <si>
    <t>돈까스 보라</t>
  </si>
  <si>
    <t>서울특별시 종로구 대학로5길 5 (연건동)</t>
  </si>
  <si>
    <t>02-741-3455</t>
  </si>
  <si>
    <t>돈까스 정식</t>
  </si>
  <si>
    <t>수제 돈까스</t>
  </si>
  <si>
    <t>왕관커피숍</t>
  </si>
  <si>
    <t>서울특별시 종로구 종로 222 (종로5가)</t>
  </si>
  <si>
    <t>02-2266-8365</t>
  </si>
  <si>
    <t>서울특별시 중랑구 공릉로2길 22 (묵동)</t>
  </si>
  <si>
    <t>02-949-7101</t>
  </si>
  <si>
    <t>꽃샘미용실</t>
  </si>
  <si>
    <t>서울특별시 중랑구 중랑역로 272-10 (묵동)</t>
  </si>
  <si>
    <t>02-971-2322</t>
  </si>
  <si>
    <t>태양이용원</t>
  </si>
  <si>
    <t>서울특별시 강서구 화곡로 194 (화곡동)</t>
  </si>
  <si>
    <t>02-2604-4220</t>
  </si>
  <si>
    <t>아산남성컷트</t>
  </si>
  <si>
    <t>서울특별시 강서구 강서로 207 (화곡동)</t>
  </si>
  <si>
    <t>이용료(학생)</t>
  </si>
  <si>
    <t>이용료(성인)</t>
  </si>
  <si>
    <t>까끌래깍자</t>
  </si>
  <si>
    <t>서울특별시 양천구 남부순환로70길 20-2 (신월동, 우정주택)</t>
  </si>
  <si>
    <t>02-2603-7289</t>
  </si>
  <si>
    <t>한우마당</t>
  </si>
  <si>
    <t>서울특별시 중구 남대문로5길 7 (북창동)</t>
  </si>
  <si>
    <t>02-3789-7792</t>
  </si>
  <si>
    <t>생육회(200g)</t>
  </si>
  <si>
    <t>한성축산식당</t>
  </si>
  <si>
    <t>서울특별시 마포구 연남로 33 (연남동)</t>
  </si>
  <si>
    <t>02-375-8447</t>
  </si>
  <si>
    <t>돼지갈비250g</t>
  </si>
  <si>
    <t>태능숯불갈비</t>
  </si>
  <si>
    <t>서울특별시 서울 동대문구 무학로 134 (용두동)</t>
  </si>
  <si>
    <t>02-966-5687</t>
  </si>
  <si>
    <t>다솜생고기전문</t>
  </si>
  <si>
    <t>서울특별시 영등포구 가마산로 338 (대림동)</t>
  </si>
  <si>
    <t>02-845-3212</t>
  </si>
  <si>
    <t>그린헤어샵</t>
  </si>
  <si>
    <t>서울특별시 영등포구 영등포로9길 22-1 (양평동1가)</t>
  </si>
  <si>
    <t>02-2631-7250</t>
  </si>
  <si>
    <t>산고을</t>
  </si>
  <si>
    <t>서울특별시 영등포구 선유서로25길 5-1 (양평동2가)</t>
  </si>
  <si>
    <t>02-2632-0677</t>
  </si>
  <si>
    <t>소소한날</t>
  </si>
  <si>
    <t>서울특별시 영등포구 도림로 462 (문래동3가)</t>
  </si>
  <si>
    <t>02-2068-2220</t>
  </si>
  <si>
    <t>소고기</t>
  </si>
  <si>
    <t>진국설렁탕</t>
  </si>
  <si>
    <t>서울특별시 영등포구 당산로46길 1 (당산동6가)</t>
  </si>
  <si>
    <t>02-2672-1666</t>
  </si>
  <si>
    <t>서울특별시 영등포구 여의나루로 67 (여의도동)</t>
  </si>
  <si>
    <t>02-761-1493</t>
  </si>
  <si>
    <t>삼다수흑돼지</t>
  </si>
  <si>
    <t>서울특별시 영등포구 영중로4길 5 (영등포동3가)</t>
  </si>
  <si>
    <t>02-2678-0610</t>
  </si>
  <si>
    <t>세림가든</t>
  </si>
  <si>
    <t>서울특별시 영등포구 경인로 874 (영등포동1가)</t>
  </si>
  <si>
    <t>02-2671-5678</t>
  </si>
  <si>
    <t>예가원</t>
  </si>
  <si>
    <t>서울특별시 영등포구 영신로32길 32 (영등포동4가)</t>
  </si>
  <si>
    <t>02-2675-6963</t>
  </si>
  <si>
    <t>한마음미용실</t>
  </si>
  <si>
    <t>서울특별시 강동구 진황도로 47-1 (천호동)</t>
  </si>
  <si>
    <t>02-482-9649</t>
  </si>
  <si>
    <t>가나미용실</t>
  </si>
  <si>
    <t>서울특별시 강동구 양재대로113길 14 (길동)</t>
  </si>
  <si>
    <t>02-488-0476</t>
  </si>
  <si>
    <t>황금성</t>
  </si>
  <si>
    <t>서울특별시 서대문구 홍연길 91 (연희동)</t>
  </si>
  <si>
    <t>322-6005</t>
  </si>
  <si>
    <t>탕수육 소</t>
  </si>
  <si>
    <t>탕수육 중</t>
  </si>
  <si>
    <t>대풍족</t>
  </si>
  <si>
    <t>서울특별시 성북구 보문로 129 (보문동2가)</t>
  </si>
  <si>
    <t>02-953-3060</t>
  </si>
  <si>
    <t>평일 점심 보쌈정식</t>
  </si>
  <si>
    <t>다운이</t>
  </si>
  <si>
    <t>서울특별시 노원구 한글비석로 444 (상계동) 교림노원프라자 지하1층</t>
  </si>
  <si>
    <t>02-937-1160</t>
  </si>
  <si>
    <t>대림각</t>
  </si>
  <si>
    <t>서울특별시 노원구 섬밭로 263 (중계동)</t>
  </si>
  <si>
    <t>02-949-2748</t>
  </si>
  <si>
    <t>은영이발관</t>
  </si>
  <si>
    <t>서울특별시 노원구 석계로15길 25 (월계동, 월계1차한일아파트)</t>
  </si>
  <si>
    <t>02-918-5307</t>
  </si>
  <si>
    <t>경노이발관</t>
  </si>
  <si>
    <t>02-917-7050</t>
  </si>
  <si>
    <t>삼성회관</t>
  </si>
  <si>
    <t>서울특별시 중구 청구로3길 16 (신당동)</t>
  </si>
  <si>
    <t>02-2231-8520</t>
  </si>
  <si>
    <t>중앙한분식</t>
  </si>
  <si>
    <t>서울특별시 구로구 구로동로 126-20 (구로동)</t>
  </si>
  <si>
    <t>02-851-1064</t>
  </si>
  <si>
    <t>서울특별시 종로구 지봉로 62 (숭인동)</t>
  </si>
  <si>
    <t>02-743-6052</t>
  </si>
  <si>
    <t>한연수짜장</t>
  </si>
  <si>
    <t>서울특별시 송파구 송이로31길 4-11 (문정동)</t>
  </si>
  <si>
    <t>402-3414</t>
  </si>
  <si>
    <t>명동세탁소</t>
  </si>
  <si>
    <t>서울특별시 강북구 인수봉로79길 57 (수유동)</t>
  </si>
  <si>
    <t>02-997-2861</t>
  </si>
  <si>
    <t>의복수선료(바지)</t>
  </si>
  <si>
    <t>보원헤어</t>
  </si>
  <si>
    <t>서울특별시 중랑구 동일로130길 71 (중화동)</t>
  </si>
  <si>
    <t>금메달미용실</t>
  </si>
  <si>
    <t>서울특별시 송파구 오금로32길 10 (송파동, 미성맨션)</t>
  </si>
  <si>
    <t>418-4157</t>
  </si>
  <si>
    <t>훼밀리김밥</t>
  </si>
  <si>
    <t>서울특별시 송파구 성내천로21길 12 (마천동, 신동아아파트)</t>
  </si>
  <si>
    <t>02-406-5415</t>
  </si>
  <si>
    <t>신왕짜장</t>
  </si>
  <si>
    <t>서울특별시 관악구 난곡로 105 (신림동)</t>
  </si>
  <si>
    <t>839-9989</t>
  </si>
  <si>
    <t>서울특별시 중랑구 면목로40길 16 (면목동)</t>
  </si>
  <si>
    <t>사진 촬영료</t>
  </si>
  <si>
    <t>더 이등병</t>
  </si>
  <si>
    <t>서울특별시 중랑구 면목로33길 33 (면목동)</t>
  </si>
  <si>
    <t>02-2208-5513</t>
  </si>
  <si>
    <t>커커헤어아트</t>
  </si>
  <si>
    <t>서울특별시 서대문구 세검정로1길 48 (홍은동)</t>
  </si>
  <si>
    <t>02-396-1462</t>
  </si>
  <si>
    <t>춘천식당</t>
  </si>
  <si>
    <t>서울특별시 서대문구 수색로 42</t>
  </si>
  <si>
    <t>02-309-2208</t>
  </si>
  <si>
    <t>와우돈까스</t>
  </si>
  <si>
    <t>서울특별시 서울 중랑구 공릉로12가길 6</t>
  </si>
  <si>
    <t>02-2209-3607</t>
  </si>
  <si>
    <t>LG쌍용세탁소</t>
  </si>
  <si>
    <t>서울특별시 중랑구 봉화산로 144 (상봉동)</t>
  </si>
  <si>
    <t>02-3421-8181</t>
  </si>
  <si>
    <t>양복수선료</t>
  </si>
  <si>
    <t>동춘원</t>
  </si>
  <si>
    <t>서울특별시 서울 중랑구 망우로66길 57</t>
  </si>
  <si>
    <t>02-434-9454</t>
  </si>
  <si>
    <t>우돈골</t>
  </si>
  <si>
    <t>서울특별시 송파구 위례성대로20길 24 (오금동)</t>
  </si>
  <si>
    <t>3401-4585</t>
  </si>
  <si>
    <t>등심(수입산.600g)</t>
  </si>
  <si>
    <t>등심(한우, 600g)</t>
  </si>
  <si>
    <t>삼겹살(국내산, 600g)</t>
  </si>
  <si>
    <t>김치찌개,된장찌개백반(점심특선)</t>
  </si>
  <si>
    <t>신애사진관</t>
  </si>
  <si>
    <t>서울특별시 송파구 백제고분로19길 27 (잠실동)</t>
  </si>
  <si>
    <t>415-1869</t>
  </si>
  <si>
    <t>사진촬영료(증명,8매)</t>
  </si>
  <si>
    <t>사진인화료</t>
  </si>
  <si>
    <t>아주세탁</t>
  </si>
  <si>
    <t>서울특별시 서울 송파구 오금로24길 13</t>
  </si>
  <si>
    <t>02-420-0235</t>
  </si>
  <si>
    <t>헤어뱅크</t>
  </si>
  <si>
    <t>서울특별시 강서구 곰달래로49길 11 (화곡동)</t>
  </si>
  <si>
    <t>02-2604-7080</t>
  </si>
  <si>
    <t>백미식당</t>
  </si>
  <si>
    <t>서울특별시 강서구 공항대로59가길 25 (등촌동)</t>
  </si>
  <si>
    <t>02-3662-9288</t>
  </si>
  <si>
    <t>썬스튜디오</t>
  </si>
  <si>
    <t>서울특별시 강서구 공항대로36길 129 (내발산동)</t>
  </si>
  <si>
    <t>02-2666-5828</t>
  </si>
  <si>
    <t>사진촬영(반명함8장)</t>
  </si>
  <si>
    <t>보아스 헤어아트</t>
  </si>
  <si>
    <t>서울특별시 강서구 등촌로39길 7 (등촌동)</t>
  </si>
  <si>
    <t>02-2647-2080</t>
  </si>
  <si>
    <t>으뜸크리닝</t>
  </si>
  <si>
    <t>서울특별시 광진구 아차산로51길 74 (구의동)</t>
  </si>
  <si>
    <t>02-446-1756</t>
  </si>
  <si>
    <t>의복 수선료</t>
  </si>
  <si>
    <t>양복 세탁료</t>
  </si>
  <si>
    <t>원이발소</t>
  </si>
  <si>
    <t>서울특별시 관악구 청룡8길 77 (봉천동)</t>
  </si>
  <si>
    <t>882-6191</t>
  </si>
  <si>
    <t>주헤어필</t>
  </si>
  <si>
    <t>서울특별시 강북구 한천로144길 53(수유동)</t>
  </si>
  <si>
    <t>02-905-1588</t>
  </si>
  <si>
    <t>제주토방탕수육</t>
  </si>
  <si>
    <t>서울특별시 송파구 성내천로 212 (마천동)</t>
  </si>
  <si>
    <t>431-0049</t>
  </si>
  <si>
    <t>오징어탕수육 중</t>
  </si>
  <si>
    <t>오징어탕수육 소</t>
  </si>
  <si>
    <t>탕수육(돼지고기)대</t>
  </si>
  <si>
    <t>탕수육(돼지고기)소</t>
  </si>
  <si>
    <t>탕수육(돼지고기)중</t>
  </si>
  <si>
    <t>정수 대중목욕탕</t>
  </si>
  <si>
    <t>서울특별시 강서구 화곡로44나길 65 (화곡동)</t>
  </si>
  <si>
    <t>02-2699-4330</t>
  </si>
  <si>
    <t>SBS사진실</t>
  </si>
  <si>
    <t>서울특별시 중랑구 망우로32길 49 (면목동)</t>
  </si>
  <si>
    <t xml:space="preserve">495-1440        </t>
  </si>
  <si>
    <t>사진찰영료</t>
  </si>
  <si>
    <t>연희골굼터</t>
  </si>
  <si>
    <t>서울특별시 서대문구 홍제천로 156-6 (연희동)</t>
  </si>
  <si>
    <t xml:space="preserve">3143-6883       </t>
  </si>
  <si>
    <t>삼겹살(180g, 오스트리아산)</t>
  </si>
  <si>
    <t>서울특별시 서대문구 응암로1길 28 (북가좌동), 한양상가 1층</t>
  </si>
  <si>
    <t>02-373-3672</t>
  </si>
  <si>
    <t>중고생 커트</t>
  </si>
  <si>
    <t>미미세탁소</t>
  </si>
  <si>
    <t>서울특별시 양천구 목동동로 100 (신정동, 목동신시가지아파트13단지)</t>
  </si>
  <si>
    <t>02-2645-5526</t>
  </si>
  <si>
    <t>티셔츠</t>
  </si>
  <si>
    <t>양복1벌</t>
  </si>
  <si>
    <t>김복남헤어장</t>
  </si>
  <si>
    <t>서울특별시 송파구 백제고분로32길 6-1 (삼전동, 대성빌딩)</t>
  </si>
  <si>
    <t>02-422-4325</t>
  </si>
  <si>
    <t>궁원 중화요리</t>
  </si>
  <si>
    <t>서울특별시 동대문구 사가정로 229 (장안동)</t>
  </si>
  <si>
    <t xml:space="preserve">2212-7749       </t>
  </si>
  <si>
    <t>자매식당</t>
  </si>
  <si>
    <t>서울특별시 동대문구 이문로28길 16 (이문동)</t>
  </si>
  <si>
    <t xml:space="preserve">967-9358        </t>
  </si>
  <si>
    <t>정훈세탁</t>
  </si>
  <si>
    <t>서울특별시 금천구 독산로73길 9 (독산동)</t>
  </si>
  <si>
    <t>02-839-8389</t>
  </si>
  <si>
    <t>그린세탁</t>
  </si>
  <si>
    <t>서울특별시 광진구 뚝섬로54길 57 (자양동)</t>
  </si>
  <si>
    <t>02-456-8301</t>
  </si>
  <si>
    <t>흥부농장</t>
  </si>
  <si>
    <t>서울특별시 광진구 뚝섬로59길 81-2 (자양동)</t>
  </si>
  <si>
    <t>02-3437-3611</t>
  </si>
  <si>
    <t>토방 닭 한마리</t>
  </si>
  <si>
    <t>서울특별시 관악구 신림로22길 5 (신림동)</t>
  </si>
  <si>
    <t>닭한마리(1인분)</t>
  </si>
  <si>
    <t>부부칼국수</t>
  </si>
  <si>
    <t>서울특별시 강서구 강서로56가길 47 (등촌동), 101호 동진빌딩</t>
  </si>
  <si>
    <t>02-3662-4594</t>
  </si>
  <si>
    <t>신가네김밥타운</t>
  </si>
  <si>
    <t>서울특별시 서대문구 증가로25길 4 (북가좌동)</t>
  </si>
  <si>
    <t xml:space="preserve">373-1187        </t>
  </si>
  <si>
    <t>해주냉면</t>
  </si>
  <si>
    <t>서울특별시 서대문구 연세로12길 37-3 (창천동)</t>
  </si>
  <si>
    <t xml:space="preserve">393-2990        </t>
  </si>
  <si>
    <t>미성이발관</t>
  </si>
  <si>
    <t>서울특별시 서대문구 홍제천로 200-4 (연희동)</t>
  </si>
  <si>
    <t xml:space="preserve">3142-3396       </t>
  </si>
  <si>
    <t>꽃미용실</t>
  </si>
  <si>
    <t>서울특별시 마포구 임정로 73 (신공덕동)</t>
  </si>
  <si>
    <t xml:space="preserve">717-3078        </t>
  </si>
  <si>
    <t>연백이발관</t>
  </si>
  <si>
    <t>서울특별시 마포구 만리재옛길 5 (공덕동)</t>
  </si>
  <si>
    <t>02-711-9782</t>
  </si>
  <si>
    <t>이용료(소아)</t>
  </si>
  <si>
    <t>염색(이발포함)</t>
  </si>
  <si>
    <t xml:space="preserve">2208-7385       </t>
  </si>
  <si>
    <t>백양세탁소</t>
  </si>
  <si>
    <t>서울특별시 강북구 인수봉로 251-1 (수유동)</t>
  </si>
  <si>
    <t>02-997-9390</t>
  </si>
  <si>
    <t>짱구세탁소</t>
  </si>
  <si>
    <t>서울특별시 강서구 강서로45라길 70 (내발산동)</t>
  </si>
  <si>
    <t>02-2661-5994</t>
  </si>
  <si>
    <t>산정</t>
  </si>
  <si>
    <t>서울특별시 중구 동호로 288 (장충동2가)</t>
  </si>
  <si>
    <t xml:space="preserve">2277-0913       </t>
  </si>
  <si>
    <t>김치전골(2인이상 주문 시 1인가격)</t>
  </si>
  <si>
    <t>약속다방</t>
  </si>
  <si>
    <t>서울특별시 종로구 종로 302 (창신동)</t>
  </si>
  <si>
    <t>02-764-1100</t>
  </si>
  <si>
    <t>원두커피</t>
  </si>
  <si>
    <t>은미용실</t>
  </si>
  <si>
    <t>서울특별시 종로구 사직로 108-6 (내자동)</t>
  </si>
  <si>
    <t>02-738-1882</t>
  </si>
  <si>
    <t>차순옥미용실</t>
  </si>
  <si>
    <t>서울특별시 강서구 허준로 176 (가양동, 가양도시개발공사아파트(가양8단지아파트)) 107호</t>
  </si>
  <si>
    <t>02-2658-6478</t>
  </si>
  <si>
    <t>컷트(성인)</t>
  </si>
  <si>
    <t>호계대중사우나</t>
  </si>
  <si>
    <t>서울특별시 서울 중랑구 봉화산로56길 153, 지하2층</t>
  </si>
  <si>
    <t>02-433-5490</t>
  </si>
  <si>
    <t>한독세탁</t>
  </si>
  <si>
    <t>서울특별시 중랑구 동일로 752 (중화동, 중화한신아파트)  1층</t>
  </si>
  <si>
    <t xml:space="preserve">433-2058        </t>
  </si>
  <si>
    <t>서울특별시 광진구 구의로 16 (구의동)</t>
  </si>
  <si>
    <t xml:space="preserve">3437-8760       </t>
  </si>
  <si>
    <t>서울특별시 광진구 동일로 444 (중곡동)</t>
  </si>
  <si>
    <t xml:space="preserve">466-1074        </t>
  </si>
  <si>
    <t>선머리방</t>
  </si>
  <si>
    <t>02-379-2696</t>
  </si>
  <si>
    <t>연안식당</t>
  </si>
  <si>
    <t>서울특별시 서대문구 증가로 258 (북가좌동)</t>
  </si>
  <si>
    <t>02-302-3773</t>
  </si>
  <si>
    <t>소모둠3인분 (900g)</t>
  </si>
  <si>
    <t>소금구이(300g)</t>
  </si>
  <si>
    <t>생삼겹주물럭(300g)</t>
  </si>
  <si>
    <t>왕세숫대야냉면</t>
  </si>
  <si>
    <t>서울특별시 서대문구 수색로2길 7 (남가좌동)</t>
  </si>
  <si>
    <t>02-376-0877</t>
  </si>
  <si>
    <t>행복한미용실</t>
  </si>
  <si>
    <t>서울특별시 관악구 양지2길 24 (신림동)</t>
  </si>
  <si>
    <t>02-889-1882</t>
  </si>
  <si>
    <t>동경헤어월드</t>
  </si>
  <si>
    <t>서울특별시 마포구 월드컵북로16길 44 (성산동)</t>
  </si>
  <si>
    <t xml:space="preserve">325-6559        </t>
  </si>
  <si>
    <t>럭키미용실</t>
  </si>
  <si>
    <t>서울특별시 강북구 오패산로 273 (미아동)</t>
  </si>
  <si>
    <t>02-986-2530</t>
  </si>
  <si>
    <t>소문난맛함흥냉면</t>
  </si>
  <si>
    <t>서울특별시 무학봉16길 1 (하왕십리동)</t>
  </si>
  <si>
    <t>02-2299-5537</t>
  </si>
  <si>
    <t xml:space="preserve">495-7337        </t>
  </si>
  <si>
    <t>상록수미용실</t>
  </si>
  <si>
    <t>서울특별시 중랑구 동일로99길 22 (면목동)</t>
  </si>
  <si>
    <t>금강숯불생고기</t>
  </si>
  <si>
    <t>서울특별시 광진구 용마산로7길 9 (중곡동)</t>
  </si>
  <si>
    <t>02-3437-9599</t>
  </si>
  <si>
    <t>헤어디자인하우스</t>
  </si>
  <si>
    <t>서울특별시 서울 관악구 은천로 95, 벽산블루밍상가 4층</t>
  </si>
  <si>
    <t>02-3285-8002</t>
  </si>
  <si>
    <t>새론헤어라인</t>
  </si>
  <si>
    <t>서울특별시 마포구 와우산로3길 13 (상수동)</t>
  </si>
  <si>
    <t>02-336-2431</t>
  </si>
  <si>
    <t>머리잘하는집</t>
  </si>
  <si>
    <t>서울특별시 양천구 남부순환로57길 24-1 (신월동)</t>
  </si>
  <si>
    <t>02-2692-3758</t>
  </si>
  <si>
    <t>김밥나라</t>
  </si>
  <si>
    <t>서울특별시 강서구 양천로59길 46 (가양동)</t>
  </si>
  <si>
    <t>02-3664-8327</t>
  </si>
  <si>
    <t>채미용실</t>
  </si>
  <si>
    <t>서울특별시 성동구 용답중앙13길 14 (용답동)</t>
  </si>
  <si>
    <t>02-2247-0471</t>
  </si>
  <si>
    <t>목화미용실</t>
  </si>
  <si>
    <t>서울특별시 송파구 거마로17길 11 (거여동)</t>
  </si>
  <si>
    <t>02-406-7273</t>
  </si>
  <si>
    <t>머리하는집</t>
  </si>
  <si>
    <t>서울특별시 강북구 오현로9길 132 (미아동, 동성주택)</t>
  </si>
  <si>
    <t>02-985-0234</t>
  </si>
  <si>
    <t>아씨머리방</t>
  </si>
  <si>
    <t>서울특별시 성동구 고산자로8길 23-1 (행당동)</t>
  </si>
  <si>
    <t>02-2291-2874</t>
  </si>
  <si>
    <t>미용료(컷트)</t>
  </si>
  <si>
    <t>서울특별시 강서구 가로공원로76길 61 (화곡동)</t>
  </si>
  <si>
    <t>02-2692-5955</t>
  </si>
  <si>
    <t>서울특별시 광진구 용마산로 52 (중곡동)</t>
  </si>
  <si>
    <t xml:space="preserve">446-2442        </t>
  </si>
  <si>
    <t>유나미용실</t>
  </si>
  <si>
    <t>서울특별시 광진구 동일로4길 44 (자양동)</t>
  </si>
  <si>
    <t>02-463-7832</t>
  </si>
  <si>
    <t>광장스튜디오</t>
  </si>
  <si>
    <t>서울특별시 광진구 광장로 79 (광장동)</t>
  </si>
  <si>
    <t xml:space="preserve">444-6190        </t>
  </si>
  <si>
    <t>원삼집</t>
  </si>
  <si>
    <t>서울특별시 성북구 보문로30라길 15 (동선동2가)</t>
  </si>
  <si>
    <t xml:space="preserve"> 02-928-3343</t>
  </si>
  <si>
    <t>미나리한돈목살(180g)</t>
  </si>
  <si>
    <t>미나리한돈삼겹살(180g)</t>
  </si>
  <si>
    <t>열린미용실</t>
  </si>
  <si>
    <t>서울특별시 관악구 난곡로40길 16 (신림동)</t>
  </si>
  <si>
    <t>커트(어르신 포함)</t>
  </si>
  <si>
    <t>헤어포인트</t>
  </si>
  <si>
    <t>서울특별시 광진구 능동로3길 44 (자양동)</t>
  </si>
  <si>
    <t>02-498-1746</t>
  </si>
  <si>
    <t>한일세탁</t>
  </si>
  <si>
    <t>서울특별시 광진구 자양번영로5길 7 (자양동)</t>
  </si>
  <si>
    <t>02-447-2856</t>
  </si>
  <si>
    <t>청진동해장국</t>
  </si>
  <si>
    <t>서울특별시 관악구 관악로 105 (봉천동) 동산빌딩1층</t>
  </si>
  <si>
    <t>02-875-9882</t>
  </si>
  <si>
    <t>덕성이발관</t>
  </si>
  <si>
    <t>서울특별시 관악구 장군봉2길 11 (봉천동)</t>
  </si>
  <si>
    <t>02-882-5875</t>
  </si>
  <si>
    <t>별미용실</t>
  </si>
  <si>
    <t>서울특별시 강북구 삼양로41길 17 (미아동)</t>
  </si>
  <si>
    <t>02-983-0650</t>
  </si>
  <si>
    <t>늘하얀 세탁</t>
  </si>
  <si>
    <t>서울특별시 성동구 마조로 71 (마장동)</t>
  </si>
  <si>
    <t>02-2297-8272</t>
  </si>
  <si>
    <t>세탁료(정장한벌)</t>
  </si>
  <si>
    <t>운동화</t>
  </si>
  <si>
    <t>인터미용실</t>
  </si>
  <si>
    <t>서울특별시 종로구 숭인동길 46 (숭인동), 1086</t>
  </si>
  <si>
    <t>02-922-6363</t>
  </si>
  <si>
    <t>백리향</t>
  </si>
  <si>
    <t>서울특별시 성동구 상원6길 10-1 (성수동1가)</t>
  </si>
  <si>
    <t xml:space="preserve">498-1013     </t>
  </si>
  <si>
    <t>왕세숫대야냉면(행복을파는집)</t>
  </si>
  <si>
    <t>서울특별시 강서구 공항대로 423(등촌동)</t>
  </si>
  <si>
    <t>02-2668-3608</t>
  </si>
  <si>
    <t>보라매25시해장국</t>
  </si>
  <si>
    <t>서울특별시 양천구 신월로17길 21 (신월동, 우창아파트)</t>
  </si>
  <si>
    <t>02-2604-6952</t>
  </si>
  <si>
    <t>우렁된장</t>
  </si>
  <si>
    <t>부남돌구이</t>
  </si>
  <si>
    <t>서울특별시 종로구 대학로2길 65-5 (효제동)</t>
  </si>
  <si>
    <t xml:space="preserve">742-2451        </t>
  </si>
  <si>
    <t>윤희미용실</t>
  </si>
  <si>
    <t>서울특별시 양천구 목동중앙남로5길 22 (목동)</t>
  </si>
  <si>
    <t>02-2653-1671</t>
  </si>
  <si>
    <t>황진우미용실</t>
  </si>
  <si>
    <t>서울특별시 강북구 솔샘로 167 (미아동), 311호</t>
  </si>
  <si>
    <t xml:space="preserve">982-3950        </t>
  </si>
  <si>
    <t>재경헤어라인</t>
  </si>
  <si>
    <t>서울특별시 관악구 봉천로13길 7 (봉천동)</t>
  </si>
  <si>
    <t>02-889-8241</t>
  </si>
  <si>
    <t>모짜르트헤어샵</t>
  </si>
  <si>
    <t>서울특별시 광진구 자양번영로1길 12 (자양동)</t>
  </si>
  <si>
    <t>02-447-1623</t>
  </si>
  <si>
    <t>스타머리방</t>
  </si>
  <si>
    <t>서울특별시 양천구 신월로9길 22 (신월동)</t>
  </si>
  <si>
    <t>02-2601-7843</t>
  </si>
  <si>
    <t>모아모아세탁</t>
  </si>
  <si>
    <t>서울특별시 송파구 송이로 19 (송파동)</t>
  </si>
  <si>
    <t>02-419-1242</t>
  </si>
  <si>
    <t>예성미용실</t>
  </si>
  <si>
    <t>서울특별시 양천구 곰달래로5길 16 (신월동)</t>
  </si>
  <si>
    <t>02-2693-5274</t>
  </si>
  <si>
    <t>미림17분칼라</t>
  </si>
  <si>
    <t>서울특별시 관악구 호암로26길 1 (신림동)</t>
  </si>
  <si>
    <t>02-871-7070</t>
  </si>
  <si>
    <t>사진촬영료(반명함)</t>
  </si>
  <si>
    <t>사진인화료(3X5)</t>
  </si>
  <si>
    <t>이계임미용실</t>
  </si>
  <si>
    <t>서울특별시 광진구 자양로15길 101 (자양동)</t>
  </si>
  <si>
    <t>머리천국미용실</t>
  </si>
  <si>
    <t>서울특별시 광진구 뚝섬로49길 31 (자양동)</t>
  </si>
  <si>
    <t>지영미용실</t>
  </si>
  <si>
    <t>서울특별시 강북구 도봉로18길 41 (미아동)</t>
  </si>
  <si>
    <t>02-988-1954</t>
  </si>
  <si>
    <t>투가리올림픽</t>
  </si>
  <si>
    <t>서울특별시 송파구 백제고분로 465 (방이동)</t>
  </si>
  <si>
    <t>386-7004</t>
  </si>
  <si>
    <t>제주똥돼지촌</t>
  </si>
  <si>
    <t>서울특별시 구로구 구로동로28길 98 (구로동)</t>
  </si>
  <si>
    <t>02-837-3077</t>
  </si>
  <si>
    <t>삼겹살(국내산,200그램)</t>
  </si>
  <si>
    <t>극동칼라</t>
  </si>
  <si>
    <t>서울특별시 구로구 구로동로26길 98 (구로동)</t>
  </si>
  <si>
    <t>02-855-1484</t>
  </si>
  <si>
    <t>액자제작</t>
  </si>
  <si>
    <t>샬롬미용실</t>
  </si>
  <si>
    <t>서울특별시 송파구 백제고분로15길 14-1</t>
  </si>
  <si>
    <t>02-419-6540</t>
  </si>
  <si>
    <t>서울특별시 성동구 고산자로8길26(행당동)</t>
  </si>
  <si>
    <t>02-2292-5342</t>
  </si>
  <si>
    <t>일봉</t>
  </si>
  <si>
    <t>서울특별시 종로구 종로 192-1 (종로4가)</t>
  </si>
  <si>
    <t xml:space="preserve">2266-2540       </t>
  </si>
  <si>
    <t>봉주르</t>
  </si>
  <si>
    <t>서울특별시 마포구 와우산로 155-1 (서교동)</t>
  </si>
  <si>
    <t>02-332-8373</t>
  </si>
  <si>
    <t>백반정식</t>
  </si>
  <si>
    <t>선희미용실</t>
  </si>
  <si>
    <t>서울특별시 강북구 한천로139가길 21 (수유동)</t>
  </si>
  <si>
    <t>02-992-1300</t>
  </si>
  <si>
    <t>목우촌부추삼겹살</t>
  </si>
  <si>
    <t>서울특별시 관악구 남현1길 68-10 (남현동)</t>
  </si>
  <si>
    <t>02-588-7399</t>
  </si>
  <si>
    <t>냉동삼겹살</t>
  </si>
  <si>
    <t>라푸스코 마포점</t>
  </si>
  <si>
    <t>서울특별시 마포구 만리재옛길 18 (신공덕동)</t>
  </si>
  <si>
    <t>02-702-4333</t>
  </si>
  <si>
    <t>피자(불고기)</t>
  </si>
  <si>
    <t>피자(스페셜)</t>
  </si>
  <si>
    <t>남영해물탕</t>
  </si>
  <si>
    <t>서울특별시 용산구 한강대로80길 12 (남영동)</t>
  </si>
  <si>
    <t xml:space="preserve">798-2545        </t>
  </si>
  <si>
    <t>불고기백반</t>
  </si>
  <si>
    <t>서울특별시 송파구 마천로61나길 10 (마천동)</t>
  </si>
  <si>
    <t>02-400-2829</t>
  </si>
  <si>
    <t>명신미용실</t>
  </si>
  <si>
    <t>서울특별시 광진구 자양로37길 8 (구의동)</t>
  </si>
  <si>
    <t xml:space="preserve">453-2774        </t>
  </si>
  <si>
    <t>코닥스튜디오</t>
  </si>
  <si>
    <t>서울특별시 광진구 영화사로 4 (중곡동)</t>
  </si>
  <si>
    <t xml:space="preserve">457-6542        </t>
  </si>
  <si>
    <t>제일크리닝</t>
  </si>
  <si>
    <t>서울특별시 강북구 삼양로117길 18 (수유동)</t>
  </si>
  <si>
    <t>02-906-5161</t>
  </si>
  <si>
    <t>원조막국수</t>
  </si>
  <si>
    <t>서울특별시 강북구 노해로33길 42 (수유동)</t>
  </si>
  <si>
    <t>02-991-5215</t>
  </si>
  <si>
    <t>물막국수</t>
  </si>
  <si>
    <t>서울특별시 송파구 올림픽로12길 5-22 (잠실동)</t>
  </si>
  <si>
    <t xml:space="preserve">424-7192        </t>
  </si>
  <si>
    <t>감베로니</t>
  </si>
  <si>
    <t>서울특별시 용산구 한강대로81길 5 (갈월동)</t>
  </si>
  <si>
    <t>02-3273-1791</t>
  </si>
  <si>
    <t>파스타</t>
  </si>
  <si>
    <t>강헤어컬렉션</t>
  </si>
  <si>
    <t>서울특별시 중랑구 겸재로49길 22</t>
  </si>
  <si>
    <t>02-2208-4790</t>
  </si>
  <si>
    <t>장수설렁탕</t>
  </si>
  <si>
    <t>서울특별시 송파구 백제고분로 148 (잠실동)</t>
  </si>
  <si>
    <t>02-415-1472</t>
  </si>
  <si>
    <t>불고기(200g호주산)</t>
  </si>
  <si>
    <t>무진장</t>
  </si>
  <si>
    <t>서울특별시 용산구 원효로 212 (원효로2가)</t>
  </si>
  <si>
    <t>02-712-8814</t>
  </si>
  <si>
    <t>생선구이정식</t>
  </si>
  <si>
    <t>홍노래방</t>
  </si>
  <si>
    <t>서울특별시 마포구 홍익로 1 (서교동)</t>
  </si>
  <si>
    <t xml:space="preserve">3142-1551       </t>
  </si>
  <si>
    <t>노래방이용료(3인)</t>
  </si>
  <si>
    <t>노래방이용료</t>
  </si>
  <si>
    <t>노래방이용료(2인)</t>
  </si>
  <si>
    <t>장미미용실</t>
  </si>
  <si>
    <t>서울특별시 서울 중랑구 용마산로129길 61-4</t>
  </si>
  <si>
    <t>기본펌</t>
  </si>
  <si>
    <t>뚝배기닭볶음</t>
  </si>
  <si>
    <t>잠봉프로마쥬샌드위치</t>
  </si>
  <si>
    <t>갈매기살(200g)</t>
  </si>
  <si>
    <t>깁 밥</t>
  </si>
  <si>
    <t>냉 면</t>
  </si>
  <si>
    <t>뚝배기 불고기</t>
  </si>
  <si>
    <t>멸치칼국수</t>
  </si>
  <si>
    <t>비빔면</t>
  </si>
  <si>
    <t>생야채비빔밥</t>
  </si>
  <si>
    <t>생오겹살 (180g)</t>
  </si>
  <si>
    <t>소갈비살(180g)</t>
  </si>
  <si>
    <t>순두부 부대찌개</t>
  </si>
  <si>
    <t>와이셔츠 세탁</t>
  </si>
  <si>
    <t>지리산흑돼지 삼겹살(200g)'</t>
  </si>
  <si>
    <t>초코링, 딸기쉘, 꽈배기</t>
  </si>
  <si>
    <t>치즈 카레</t>
  </si>
  <si>
    <t>카레라이스</t>
  </si>
  <si>
    <t>평양만두국</t>
  </si>
  <si>
    <t>항정살(170g)</t>
  </si>
  <si>
    <t>헤이즐넛아메리카노 S</t>
  </si>
  <si>
    <t>년도</t>
    <phoneticPr fontId="2" type="noConversion"/>
  </si>
  <si>
    <t>월</t>
    <phoneticPr fontId="2" type="noConversion"/>
  </si>
  <si>
    <t>감가상각비(R&amp;D)</t>
  </si>
  <si>
    <t>외주경비, 보험료 등</t>
  </si>
  <si>
    <t>구분</t>
  </si>
  <si>
    <t>비고</t>
  </si>
  <si>
    <t xml:space="preserve"> = ② + ③ + ④</t>
  </si>
  <si>
    <t>경비(④)</t>
  </si>
  <si>
    <t>일반관리비(⑤)</t>
  </si>
  <si>
    <t>기업이윤(⑥)</t>
  </si>
  <si>
    <t>원가(①)</t>
  </si>
  <si>
    <t>Fee(⑦)</t>
  </si>
  <si>
    <t>매출(⑧)</t>
  </si>
  <si>
    <t>단위 손익 금액</t>
    <phoneticPr fontId="2" type="noConversion"/>
  </si>
  <si>
    <t>직접노무비(②)</t>
    <phoneticPr fontId="2" type="noConversion"/>
  </si>
  <si>
    <t>직접재료비(③)</t>
    <phoneticPr fontId="2" type="noConversion"/>
  </si>
  <si>
    <t xml:space="preserve"> =  ⑤ + ⑥</t>
    <phoneticPr fontId="2" type="noConversion"/>
  </si>
  <si>
    <t xml:space="preserve"> = ① + ⑦</t>
    <phoneticPr fontId="2" type="noConversion"/>
  </si>
  <si>
    <t xml:space="preserve"> = ⑧ - ①</t>
    <phoneticPr fontId="2" type="noConversion"/>
  </si>
  <si>
    <t xml:space="preserve"> = ① × 5%</t>
    <phoneticPr fontId="2" type="noConversion"/>
  </si>
  <si>
    <t xml:space="preserve"> = (① + ⑤) × 2.5%</t>
    <phoneticPr fontId="2" type="noConversion"/>
  </si>
  <si>
    <t xml:space="preserve"> = (⑨ ÷ ⑧) × 100</t>
    <phoneticPr fontId="2" type="noConversion"/>
  </si>
  <si>
    <t>매출총이익1(⑨)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</si>
  <si>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</si>
  <si>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</si>
  <si>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</si>
  <si>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4. 단위 손익 점검표</t>
    <phoneticPr fontId="2" type="noConversion"/>
  </si>
  <si>
    <t xml:space="preserve">     : 판매 기본 단위(set)에 대한 원가 내역을 입력해 주세요</t>
    <phoneticPr fontId="2" type="noConversion"/>
  </si>
  <si>
    <t>(단위 : 천원, VAT별도, 판매 1Set 기준)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</si>
  <si>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</si>
  <si>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</si>
  <si>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</si>
  <si>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</si>
  <si>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</si>
  <si>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</si>
  <si>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</si>
  <si>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</si>
  <si>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할인</t>
    <phoneticPr fontId="2" type="noConversion"/>
  </si>
  <si>
    <t>6. 할증할인 요율표</t>
    <phoneticPr fontId="2" type="noConversion"/>
  </si>
  <si>
    <t>요율합계</t>
    <phoneticPr fontId="2" type="noConversion"/>
  </si>
  <si>
    <t>투자비의 조기 회수가 필요한 경우</t>
  </si>
  <si>
    <t>신규 상품 또는 서비스의 편익이 현저히 우수한 경우</t>
  </si>
  <si>
    <t>7. 전문가(CM, PO) Insight</t>
    <phoneticPr fontId="2" type="noConversion"/>
  </si>
  <si>
    <t>추천가격</t>
    <phoneticPr fontId="2" type="noConversion"/>
  </si>
  <si>
    <t>전문가 insight</t>
    <phoneticPr fontId="2" type="noConversion"/>
  </si>
  <si>
    <t>출시예가</t>
    <phoneticPr fontId="2" type="noConversion"/>
  </si>
  <si>
    <t>&lt;=상하한 추천가격 점검</t>
    <phoneticPr fontId="2" type="noConversion"/>
  </si>
  <si>
    <t>일시불</t>
    <phoneticPr fontId="2" type="noConversion"/>
  </si>
  <si>
    <t>1년</t>
    <phoneticPr fontId="2" type="noConversion"/>
  </si>
  <si>
    <t>12개월납</t>
    <phoneticPr fontId="2" type="noConversion"/>
  </si>
  <si>
    <t>총액</t>
    <phoneticPr fontId="2" type="noConversion"/>
  </si>
  <si>
    <t>월납입액</t>
    <phoneticPr fontId="2" type="noConversion"/>
  </si>
  <si>
    <t>2년</t>
    <phoneticPr fontId="2" type="noConversion"/>
  </si>
  <si>
    <t>3년</t>
    <phoneticPr fontId="2" type="noConversion"/>
  </si>
  <si>
    <t>4년</t>
    <phoneticPr fontId="2" type="noConversion"/>
  </si>
  <si>
    <t>5년</t>
    <phoneticPr fontId="2" type="noConversion"/>
  </si>
  <si>
    <t>금액</t>
    <phoneticPr fontId="2" type="noConversion"/>
  </si>
  <si>
    <t>개월수</t>
    <phoneticPr fontId="2" type="noConversion"/>
  </si>
  <si>
    <t>차입이자율</t>
    <phoneticPr fontId="2" type="noConversion"/>
  </si>
  <si>
    <t>원리금균등상환</t>
    <phoneticPr fontId="2" type="noConversion"/>
  </si>
  <si>
    <t>판촉비</t>
    <phoneticPr fontId="2" type="noConversion"/>
  </si>
  <si>
    <t>일시납</t>
    <phoneticPr fontId="2" type="noConversion"/>
  </si>
  <si>
    <t>24개월납</t>
    <phoneticPr fontId="2" type="noConversion"/>
  </si>
  <si>
    <t>차입이자</t>
    <phoneticPr fontId="2" type="noConversion"/>
  </si>
  <si>
    <t>감가상각대상자산가액</t>
    <phoneticPr fontId="2" type="noConversion"/>
  </si>
  <si>
    <t>고객월부담금</t>
    <phoneticPr fontId="2" type="noConversion"/>
  </si>
  <si>
    <t>36개월납</t>
    <phoneticPr fontId="2" type="noConversion"/>
  </si>
  <si>
    <t>48개월납</t>
    <phoneticPr fontId="2" type="noConversion"/>
  </si>
  <si>
    <t>60개월납</t>
    <phoneticPr fontId="2" type="noConversion"/>
  </si>
  <si>
    <t>고객부담이자</t>
    <phoneticPr fontId="2" type="noConversion"/>
  </si>
  <si>
    <t>감가상각비</t>
    <phoneticPr fontId="2" type="noConversion"/>
  </si>
  <si>
    <t>감가상각비차입이자</t>
    <phoneticPr fontId="2" type="noConversion"/>
  </si>
  <si>
    <t>외주비,안전관리비,보험료 등</t>
    <phoneticPr fontId="2" type="noConversion"/>
  </si>
  <si>
    <t>투자비,회수(계약)기간,차입이자율</t>
    <phoneticPr fontId="2" type="noConversion"/>
  </si>
  <si>
    <t>&lt;== 투자(감가)차입이자계산기</t>
    <phoneticPr fontId="2" type="noConversion"/>
  </si>
  <si>
    <t>&lt;== -점검</t>
    <phoneticPr fontId="2" type="noConversion"/>
  </si>
  <si>
    <t>&lt;==매총1 = 15%(12% 하한선) 미만인 경우 장기계약할인 x</t>
    <phoneticPr fontId="2" type="noConversion"/>
  </si>
  <si>
    <t>Asset</t>
    <phoneticPr fontId="2" type="noConversion"/>
  </si>
  <si>
    <t>Interior</t>
    <phoneticPr fontId="2" type="noConversion"/>
  </si>
  <si>
    <t>Clean</t>
    <phoneticPr fontId="2" type="noConversion"/>
  </si>
  <si>
    <t>Safe</t>
    <phoneticPr fontId="2" type="noConversion"/>
  </si>
  <si>
    <t>Life</t>
    <phoneticPr fontId="2" type="noConversion"/>
  </si>
  <si>
    <t>Parking</t>
    <phoneticPr fontId="2" type="noConversion"/>
  </si>
  <si>
    <t>Untitled</t>
    <phoneticPr fontId="2" type="noConversion"/>
  </si>
  <si>
    <t>SANDI_Category</t>
    <phoneticPr fontId="2" type="noConversion"/>
  </si>
  <si>
    <t>■ 단위 손익 점검표</t>
    <phoneticPr fontId="2" type="noConversion"/>
  </si>
  <si>
    <t>단위당 손익 금액</t>
    <phoneticPr fontId="2" type="noConversion"/>
  </si>
  <si>
    <t>직접 인건비</t>
    <phoneticPr fontId="2" type="noConversion"/>
  </si>
  <si>
    <t>직접 경비</t>
    <phoneticPr fontId="2" type="noConversion"/>
  </si>
  <si>
    <t>안전관리비, 이행보증보험료 등 당사 판매부대비</t>
    <phoneticPr fontId="2" type="noConversion"/>
  </si>
  <si>
    <t>외주 조달비(투자자산 제외)</t>
    <phoneticPr fontId="2" type="noConversion"/>
  </si>
  <si>
    <t>외주구입, 외주공사, 시스템사용료 등 사외이전비</t>
    <phoneticPr fontId="2" type="noConversion"/>
  </si>
  <si>
    <t>CM, PO, 공사관리 등 당사 인건비</t>
    <phoneticPr fontId="2" type="noConversion"/>
  </si>
  <si>
    <t>투자자산 구입비</t>
    <phoneticPr fontId="2" type="noConversion"/>
  </si>
  <si>
    <t>적요</t>
    <phoneticPr fontId="2" type="noConversion"/>
  </si>
  <si>
    <t>EAMS 에서 관리될 당사 투자자산금액 중 1set 귀속분</t>
    <phoneticPr fontId="2" type="noConversion"/>
  </si>
  <si>
    <t>※ 다수의 상품을 담당하는 CM, PO 인건비 또는 IT 투자비 등은 판매 1set 귀속 분을 산출 후 입력해 주세요</t>
    <phoneticPr fontId="2" type="noConversion"/>
  </si>
  <si>
    <t>■ 단위 손익 점검표</t>
    <phoneticPr fontId="2" type="noConversion"/>
  </si>
  <si>
    <t>■ 할증할인 요율표</t>
    <phoneticPr fontId="2" type="noConversion"/>
  </si>
  <si>
    <t>신규 상품 또는 서비스의 편익이 현저히 우수한 경우</t>
    <phoneticPr fontId="2" type="noConversion"/>
  </si>
  <si>
    <t>투자비의 조기 회수가 필요한 경우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</si>
</sst>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76" formatCode="[Red]\ 0%\ &quot;▲&quot;;[Blue]\ 0%\ &quot;▼&quot;"/>
  </numFmts>
  <fonts count="9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sz val="8"/>
      <color rgb="FF000000"/>
      <name val="나눔스퀘어"/>
      <family val="3"/>
      <charset val="129"/>
    </font>
    <font>
      <sz val="11"/>
      <color rgb="FFC00000"/>
      <name val="나눔스퀘어 Bold"/>
      <family val="3"/>
      <charset val="129"/>
    </font>
    <font>
      <b/>
      <sz val="11"/>
      <color theme="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41" fontId="0" fillId="0" borderId="0" xfId="1" applyFo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41" fontId="3" fillId="0" borderId="0" xfId="1" applyFont="1">
      <alignment vertical="center"/>
    </xf>
    <xf numFmtId="0" fontId="3" fillId="0" borderId="0" xfId="0" applyFont="1" applyAlignment="1">
      <alignment horizontal="right" vertical="center"/>
    </xf>
    <xf numFmtId="0" fontId="4" fillId="4" borderId="2" xfId="0" applyFont="1" applyFill="1" applyBorder="1" applyAlignment="1">
      <alignment horizontal="left" vertical="center" wrapText="1" readingOrder="1"/>
    </xf>
    <xf numFmtId="0" fontId="4" fillId="4" borderId="9" xfId="0" applyFont="1" applyFill="1" applyBorder="1" applyAlignment="1">
      <alignment horizontal="center" vertical="center" wrapText="1" readingOrder="1"/>
    </xf>
    <xf numFmtId="0" fontId="4" fillId="4" borderId="8" xfId="0" applyFont="1" applyFill="1" applyBorder="1" applyAlignment="1">
      <alignment horizontal="left" vertical="center" wrapText="1" readingOrder="1"/>
    </xf>
    <xf numFmtId="0" fontId="4" fillId="4" borderId="9" xfId="0" applyFont="1" applyFill="1" applyBorder="1" applyAlignment="1">
      <alignment horizontal="center" vertical="center" wrapText="1" readingOrder="1"/>
    </xf>
    <xf numFmtId="0" fontId="4" fillId="4" borderId="8" xfId="0" applyFont="1" applyFill="1" applyBorder="1" applyAlignment="1">
      <alignment horizontal="center" vertical="center" wrapText="1" readingOrder="1"/>
    </xf>
    <xf numFmtId="0" fontId="4" fillId="3" borderId="7" xfId="0" applyFont="1" applyFill="1" applyBorder="1" applyAlignment="1">
      <alignment horizontal="center" vertical="center" wrapText="1" readingOrder="1"/>
    </xf>
    <xf numFmtId="0" fontId="5" fillId="4" borderId="2" xfId="0" applyFont="1" applyFill="1" applyBorder="1" applyAlignment="1">
      <alignment vertical="center" wrapText="1"/>
    </xf>
    <xf numFmtId="0" fontId="4" fillId="3" borderId="5" xfId="0" applyFont="1" applyFill="1" applyBorder="1" applyAlignment="1">
      <alignment horizontal="center" vertical="center" wrapText="1" readingOrder="1"/>
    </xf>
    <xf numFmtId="0" fontId="5" fillId="4" borderId="9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right" vertical="center" wrapText="1" indent="1"/>
    </xf>
    <xf numFmtId="0" fontId="5" fillId="4" borderId="10" xfId="0" applyFont="1" applyFill="1" applyBorder="1" applyAlignment="1">
      <alignment horizontal="right" vertical="center" wrapText="1" indent="1"/>
    </xf>
    <xf numFmtId="0" fontId="4" fillId="4" borderId="3" xfId="0" applyFont="1" applyFill="1" applyBorder="1" applyAlignment="1">
      <alignment vertical="center" wrapText="1" readingOrder="1"/>
    </xf>
    <xf numFmtId="0" fontId="4" fillId="4" borderId="11" xfId="0" applyFont="1" applyFill="1" applyBorder="1" applyAlignment="1">
      <alignment vertical="center" wrapText="1" readingOrder="1"/>
    </xf>
    <xf numFmtId="0" fontId="4" fillId="4" borderId="5" xfId="0" applyFont="1" applyFill="1" applyBorder="1" applyAlignment="1">
      <alignment vertical="center" wrapText="1" readingOrder="1"/>
    </xf>
    <xf numFmtId="0" fontId="4" fillId="4" borderId="10" xfId="0" applyFont="1" applyFill="1" applyBorder="1" applyAlignment="1">
      <alignment vertical="center" wrapText="1" readingOrder="1"/>
    </xf>
    <xf numFmtId="0" fontId="5" fillId="4" borderId="10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vertical="center" wrapText="1" readingOrder="1"/>
    </xf>
    <xf numFmtId="0" fontId="4" fillId="4" borderId="3" xfId="0" applyFont="1" applyFill="1" applyBorder="1" applyAlignment="1">
      <alignment vertical="center" readingOrder="1"/>
    </xf>
    <xf numFmtId="41" fontId="5" fillId="4" borderId="2" xfId="1" applyFont="1" applyFill="1" applyBorder="1" applyAlignment="1">
      <alignment horizontal="right" vertical="center" wrapText="1" indent="1"/>
    </xf>
    <xf numFmtId="41" fontId="5" fillId="5" borderId="2" xfId="1" applyFont="1" applyFill="1" applyBorder="1" applyAlignment="1">
      <alignment horizontal="right" vertical="center" wrapText="1" indent="1"/>
    </xf>
    <xf numFmtId="10" fontId="5" fillId="4" borderId="2" xfId="2" applyNumberFormat="1" applyFont="1" applyFill="1" applyBorder="1" applyAlignment="1">
      <alignment horizontal="right" vertical="center" wrapText="1" indent="1"/>
    </xf>
    <xf numFmtId="43" fontId="3" fillId="0" borderId="0" xfId="0" applyNumberFormat="1" applyFont="1">
      <alignment vertical="center"/>
    </xf>
    <xf numFmtId="0" fontId="6" fillId="4" borderId="2" xfId="0" applyFont="1" applyFill="1" applyBorder="1" applyAlignment="1">
      <alignment horizontal="left" vertical="center" wrapText="1" readingOrder="1"/>
    </xf>
    <xf numFmtId="0" fontId="4" fillId="3" borderId="3" xfId="0" applyFont="1" applyFill="1" applyBorder="1" applyAlignment="1">
      <alignment horizontal="center" vertical="center" readingOrder="1"/>
    </xf>
    <xf numFmtId="0" fontId="4" fillId="3" borderId="12" xfId="0" applyFont="1" applyFill="1" applyBorder="1" applyAlignment="1">
      <alignment horizontal="center" vertical="center" readingOrder="1"/>
    </xf>
    <xf numFmtId="0" fontId="3" fillId="0" borderId="1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41" fontId="5" fillId="0" borderId="6" xfId="1" applyFont="1" applyFill="1" applyBorder="1" applyAlignment="1">
      <alignment horizontal="right" vertical="center" wrapText="1" indent="1"/>
    </xf>
    <xf numFmtId="0" fontId="4" fillId="3" borderId="3" xfId="0" applyFont="1" applyFill="1" applyBorder="1" applyAlignment="1">
      <alignment horizontal="center" vertical="center" wrapText="1" readingOrder="1"/>
    </xf>
    <xf numFmtId="0" fontId="0" fillId="0" borderId="1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41" fontId="4" fillId="0" borderId="2" xfId="1" applyFont="1" applyFill="1" applyBorder="1" applyAlignment="1">
      <alignment horizontal="left" vertical="center" wrapText="1" readingOrder="1"/>
    </xf>
    <xf numFmtId="41" fontId="5" fillId="0" borderId="2" xfId="1" applyFont="1" applyFill="1" applyBorder="1" applyAlignment="1">
      <alignment vertical="center" wrapText="1"/>
    </xf>
    <xf numFmtId="41" fontId="6" fillId="0" borderId="2" xfId="1" applyFont="1" applyFill="1" applyBorder="1" applyAlignment="1">
      <alignment horizontal="left" vertical="center" wrapText="1" readingOrder="1"/>
    </xf>
    <xf numFmtId="41" fontId="0" fillId="0" borderId="0" xfId="0" applyNumberFormat="1">
      <alignment vertical="center"/>
    </xf>
    <xf numFmtId="9" fontId="0" fillId="0" borderId="0" xfId="0" applyNumberFormat="1">
      <alignment vertical="center"/>
    </xf>
    <xf numFmtId="43" fontId="0" fillId="0" borderId="0" xfId="0" applyNumberFormat="1">
      <alignment vertical="center"/>
    </xf>
    <xf numFmtId="41" fontId="5" fillId="6" borderId="2" xfId="1" applyFont="1" applyFill="1" applyBorder="1" applyAlignment="1">
      <alignment horizontal="right" vertical="center" wrapText="1" indent="1"/>
    </xf>
    <xf numFmtId="41" fontId="5" fillId="7" borderId="2" xfId="1" applyFont="1" applyFill="1" applyBorder="1" applyAlignment="1">
      <alignment horizontal="right" vertical="center" wrapText="1" indent="1"/>
    </xf>
    <xf numFmtId="9" fontId="0" fillId="0" borderId="0" xfId="0" applyNumberFormat="1" applyFill="1">
      <alignment vertical="center"/>
    </xf>
    <xf numFmtId="41" fontId="0" fillId="0" borderId="0" xfId="0" applyNumberFormat="1" applyFill="1">
      <alignment vertical="center"/>
    </xf>
    <xf numFmtId="0" fontId="3" fillId="8" borderId="0" xfId="0" applyFont="1" applyFill="1">
      <alignment vertical="center"/>
    </xf>
    <xf numFmtId="41" fontId="3" fillId="8" borderId="0" xfId="0" applyNumberFormat="1" applyFont="1" applyFill="1">
      <alignment vertical="center"/>
    </xf>
    <xf numFmtId="0" fontId="0" fillId="8" borderId="0" xfId="0" applyFill="1">
      <alignment vertical="center"/>
    </xf>
    <xf numFmtId="0" fontId="4" fillId="4" borderId="5" xfId="0" applyFont="1" applyFill="1" applyBorder="1" applyAlignment="1">
      <alignment vertical="center" wrapText="1" readingOrder="1"/>
    </xf>
    <xf numFmtId="0" fontId="4" fillId="4" borderId="9" xfId="0" applyFont="1" applyFill="1" applyBorder="1" applyAlignment="1">
      <alignment horizontal="center" vertical="center" wrapText="1" readingOrder="1"/>
    </xf>
    <xf numFmtId="0" fontId="4" fillId="4" borderId="8" xfId="0" applyFont="1" applyFill="1" applyBorder="1" applyAlignment="1">
      <alignment horizontal="center" vertical="center" wrapText="1" readingOrder="1"/>
    </xf>
    <xf numFmtId="0" fontId="4" fillId="3" borderId="5" xfId="0" applyFont="1" applyFill="1" applyBorder="1" applyAlignment="1">
      <alignment horizontal="center" vertical="center" wrapText="1" readingOrder="1"/>
    </xf>
    <xf numFmtId="0" fontId="4" fillId="4" borderId="3" xfId="0" applyFont="1" applyFill="1" applyBorder="1" applyAlignment="1">
      <alignment vertical="center" wrapText="1" readingOrder="1"/>
    </xf>
    <xf numFmtId="0" fontId="4" fillId="4" borderId="4" xfId="0" applyFont="1" applyFill="1" applyBorder="1" applyAlignment="1">
      <alignment vertical="center" wrapText="1" readingOrder="1"/>
    </xf>
    <xf numFmtId="0" fontId="5" fillId="4" borderId="9" xfId="0" applyFont="1" applyFill="1" applyBorder="1" applyAlignment="1">
      <alignment horizontal="center" vertical="center" wrapText="1"/>
    </xf>
    <xf numFmtId="0" fontId="0" fillId="0" borderId="0" xfId="0" applyFill="1">
      <alignment vertical="center"/>
    </xf>
    <xf numFmtId="0" fontId="0" fillId="9" borderId="18" xfId="0" applyFill="1" applyBorder="1" applyAlignment="1">
      <alignment horizontal="center" vertical="center"/>
    </xf>
    <xf numFmtId="0" fontId="5" fillId="0" borderId="18" xfId="0" applyFont="1" applyFill="1" applyBorder="1" applyAlignment="1">
      <alignment vertical="center" wrapText="1"/>
    </xf>
    <xf numFmtId="0" fontId="0" fillId="0" borderId="18" xfId="0" applyBorder="1">
      <alignment vertical="center"/>
    </xf>
    <xf numFmtId="0" fontId="0" fillId="0" borderId="18" xfId="0" applyFill="1" applyBorder="1">
      <alignment vertical="center"/>
    </xf>
    <xf numFmtId="0" fontId="5" fillId="0" borderId="18" xfId="0" applyFont="1" applyFill="1" applyBorder="1" applyAlignment="1">
      <alignment vertical="center"/>
    </xf>
    <xf numFmtId="0" fontId="4" fillId="4" borderId="5" xfId="0" applyFont="1" applyFill="1" applyBorder="1" applyAlignment="1">
      <alignment vertical="center" wrapText="1" readingOrder="1"/>
    </xf>
    <xf numFmtId="0" fontId="4" fillId="4" borderId="6" xfId="0" applyFont="1" applyFill="1" applyBorder="1" applyAlignment="1">
      <alignment vertical="center" wrapText="1" readingOrder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 wrapText="1" readingOrder="1"/>
    </xf>
    <xf numFmtId="0" fontId="4" fillId="4" borderId="8" xfId="0" applyFont="1" applyFill="1" applyBorder="1" applyAlignment="1">
      <alignment horizontal="center" vertical="center" wrapText="1" readingOrder="1"/>
    </xf>
    <xf numFmtId="0" fontId="4" fillId="3" borderId="5" xfId="0" applyFont="1" applyFill="1" applyBorder="1" applyAlignment="1">
      <alignment horizontal="center" vertical="center" wrapText="1" readingOrder="1"/>
    </xf>
    <xf numFmtId="0" fontId="4" fillId="3" borderId="10" xfId="0" applyFont="1" applyFill="1" applyBorder="1" applyAlignment="1">
      <alignment horizontal="center" vertical="center" wrapText="1" readingOrder="1"/>
    </xf>
    <xf numFmtId="0" fontId="4" fillId="3" borderId="6" xfId="0" applyFont="1" applyFill="1" applyBorder="1" applyAlignment="1">
      <alignment horizontal="center" vertical="center" wrapText="1" readingOrder="1"/>
    </xf>
    <xf numFmtId="0" fontId="4" fillId="4" borderId="3" xfId="0" applyFont="1" applyFill="1" applyBorder="1" applyAlignment="1">
      <alignment vertical="center" wrapText="1" readingOrder="1"/>
    </xf>
    <xf numFmtId="0" fontId="4" fillId="4" borderId="4" xfId="0" applyFont="1" applyFill="1" applyBorder="1" applyAlignment="1">
      <alignment vertical="center" wrapText="1" readingOrder="1"/>
    </xf>
    <xf numFmtId="0" fontId="5" fillId="4" borderId="9" xfId="0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0" fontId="3" fillId="0" borderId="0" xfId="0" applyFont="1" applyAlignment="1">
      <alignment horizontal="left" vertical="center"/>
    </xf>
    <xf numFmtId="0" fontId="8" fillId="0" borderId="0" xfId="0" applyFont="1">
      <alignment vertical="center"/>
    </xf>
    <xf numFmtId="176" fontId="0" fillId="0" borderId="18" xfId="0" applyNumberFormat="1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Sheet5!$M$4</c:f>
              <c:numCache>
                <c:formatCode>_(* #,##0_);_(* \(#,##0\);_(* "-"_);_(@_)</c:formatCode>
                <c:ptCount val="1"/>
                <c:pt idx="0">
                  <c:v>113345.26874999999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1-47DE-8F25-10416C6C923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Sheet5!$M$5</c:f>
              <c:numCache>
                <c:formatCode>_(* #,##0_);_(* \(#,##0\);_(* "-"_);_(@_)</c:formatCode>
                <c:ptCount val="1"/>
                <c:pt idx="0">
                  <c:v>181352.43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1-47DE-8F25-10416C6C923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Sheet5!$M$6</c:f>
              <c:numCache>
                <c:formatCode>_(* #,##0_);_(* \(#,##0\);_(* "-"_);_(@_)</c:formatCode>
                <c:ptCount val="1"/>
                <c:pt idx="0">
                  <c:v>210630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61-47DE-8F25-10416C6C92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4218784"/>
        <c:axId val="1042716112"/>
      </c:barChart>
      <c:catAx>
        <c:axId val="87421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2716112"/>
        <c:crosses val="autoZero"/>
        <c:auto val="1"/>
        <c:lblAlgn val="ctr"/>
        <c:lblOffset val="100"/>
        <c:noMultiLvlLbl val="0"/>
      </c:catAx>
      <c:valAx>
        <c:axId val="104271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421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waterfall" uniqueId="{0118D0B4-ADFC-44E7-B7EF-561B83C0BFAF}"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8.emf"/><Relationship Id="rId10" Type="http://schemas.openxmlformats.org/officeDocument/2006/relationships/image" Target="../media/image16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123825</xdr:rowOff>
        </xdr:from>
        <xdr:to>
          <xdr:col>11</xdr:col>
          <xdr:colOff>104775</xdr:colOff>
          <xdr:row>22</xdr:row>
          <xdr:rowOff>28575</xdr:rowOff>
        </xdr:to>
        <xdr:pic>
          <xdr:nvPicPr>
            <xdr:cNvPr id="21" name="그림 20">
              <a:extLst>
                <a:ext uri="{FF2B5EF4-FFF2-40B4-BE49-F238E27FC236}">
                  <a16:creationId xmlns:a16="http://schemas.microsoft.com/office/drawing/2014/main" id="{6E2C6CB2-C05B-458B-94E7-C118E10F70A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1!$B$2:$D$8" spid="_x0000_s2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95350" y="2638425"/>
              <a:ext cx="6753225" cy="2000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16</xdr:col>
      <xdr:colOff>371475</xdr:colOff>
      <xdr:row>1</xdr:row>
      <xdr:rowOff>190500</xdr:rowOff>
    </xdr:from>
    <xdr:to>
      <xdr:col>23</xdr:col>
      <xdr:colOff>485161</xdr:colOff>
      <xdr:row>15</xdr:row>
      <xdr:rowOff>75848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4275" y="400050"/>
          <a:ext cx="4914286" cy="2819048"/>
        </a:xfrm>
        <a:prstGeom prst="rect">
          <a:avLst/>
        </a:prstGeom>
      </xdr:spPr>
    </xdr:pic>
    <xdr:clientData/>
  </xdr:twoCellAnchor>
  <xdr:twoCellAnchor editAs="oneCell">
    <xdr:from>
      <xdr:col>12</xdr:col>
      <xdr:colOff>321450</xdr:colOff>
      <xdr:row>2</xdr:row>
      <xdr:rowOff>38100</xdr:rowOff>
    </xdr:from>
    <xdr:to>
      <xdr:col>16</xdr:col>
      <xdr:colOff>359202</xdr:colOff>
      <xdr:row>21</xdr:row>
      <xdr:rowOff>151888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1050" y="457200"/>
          <a:ext cx="2780952" cy="4095238"/>
        </a:xfrm>
        <a:prstGeom prst="rect">
          <a:avLst/>
        </a:prstGeom>
      </xdr:spPr>
    </xdr:pic>
    <xdr:clientData/>
  </xdr:twoCellAnchor>
  <xdr:twoCellAnchor editAs="oneCell">
    <xdr:from>
      <xdr:col>12</xdr:col>
      <xdr:colOff>333374</xdr:colOff>
      <xdr:row>0</xdr:row>
      <xdr:rowOff>0</xdr:rowOff>
    </xdr:from>
    <xdr:to>
      <xdr:col>16</xdr:col>
      <xdr:colOff>342899</xdr:colOff>
      <xdr:row>1</xdr:row>
      <xdr:rowOff>199974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62974" y="0"/>
          <a:ext cx="2752725" cy="4095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142875</xdr:rowOff>
    </xdr:from>
    <xdr:to>
      <xdr:col>2</xdr:col>
      <xdr:colOff>342900</xdr:colOff>
      <xdr:row>2</xdr:row>
      <xdr:rowOff>14612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428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4</xdr:row>
          <xdr:rowOff>180975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2072" name="ComboBox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8</xdr:row>
          <xdr:rowOff>190500</xdr:rowOff>
        </xdr:from>
        <xdr:to>
          <xdr:col>4</xdr:col>
          <xdr:colOff>666750</xdr:colOff>
          <xdr:row>10</xdr:row>
          <xdr:rowOff>66675</xdr:rowOff>
        </xdr:to>
        <xdr:sp macro="" textlink="">
          <xdr:nvSpPr>
            <xdr:cNvPr id="2073" name="TextBox1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3</xdr:row>
          <xdr:rowOff>66675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2077" name="Label1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7</xdr:row>
          <xdr:rowOff>114300</xdr:rowOff>
        </xdr:from>
        <xdr:to>
          <xdr:col>6</xdr:col>
          <xdr:colOff>361950</xdr:colOff>
          <xdr:row>8</xdr:row>
          <xdr:rowOff>161925</xdr:rowOff>
        </xdr:to>
        <xdr:sp macro="" textlink="">
          <xdr:nvSpPr>
            <xdr:cNvPr id="2078" name="Label2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5</xdr:row>
          <xdr:rowOff>9525</xdr:rowOff>
        </xdr:from>
        <xdr:to>
          <xdr:col>3</xdr:col>
          <xdr:colOff>428625</xdr:colOff>
          <xdr:row>5</xdr:row>
          <xdr:rowOff>190500</xdr:rowOff>
        </xdr:to>
        <xdr:sp macro="" textlink="">
          <xdr:nvSpPr>
            <xdr:cNvPr id="2079" name="Label3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66675</xdr:rowOff>
        </xdr:from>
        <xdr:to>
          <xdr:col>7</xdr:col>
          <xdr:colOff>561975</xdr:colOff>
          <xdr:row>12</xdr:row>
          <xdr:rowOff>114300</xdr:rowOff>
        </xdr:to>
        <xdr:sp macro="" textlink="">
          <xdr:nvSpPr>
            <xdr:cNvPr id="2080" name="Label4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19051</xdr:rowOff>
        </xdr:from>
        <xdr:to>
          <xdr:col>6</xdr:col>
          <xdr:colOff>0</xdr:colOff>
          <xdr:row>16</xdr:row>
          <xdr:rowOff>85725</xdr:rowOff>
        </xdr:to>
        <xdr:sp macro="" textlink="">
          <xdr:nvSpPr>
            <xdr:cNvPr id="2099" name="TextBox2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F32711A-FFBF-472F-85BC-E370F34E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133351</xdr:rowOff>
        </xdr:from>
        <xdr:to>
          <xdr:col>6</xdr:col>
          <xdr:colOff>0</xdr:colOff>
          <xdr:row>17</xdr:row>
          <xdr:rowOff>200025</xdr:rowOff>
        </xdr:to>
        <xdr:sp macro="" textlink="">
          <xdr:nvSpPr>
            <xdr:cNvPr id="2105" name="TextBox3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F32711A-FFBF-472F-85BC-E370F34E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18</xdr:row>
          <xdr:rowOff>28576</xdr:rowOff>
        </xdr:from>
        <xdr:to>
          <xdr:col>6</xdr:col>
          <xdr:colOff>0</xdr:colOff>
          <xdr:row>19</xdr:row>
          <xdr:rowOff>95250</xdr:rowOff>
        </xdr:to>
        <xdr:sp macro="" textlink="">
          <xdr:nvSpPr>
            <xdr:cNvPr id="2106" name="TextBox4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F32711A-FFBF-472F-85BC-E370F34E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19</xdr:row>
          <xdr:rowOff>123826</xdr:rowOff>
        </xdr:from>
        <xdr:to>
          <xdr:col>6</xdr:col>
          <xdr:colOff>0</xdr:colOff>
          <xdr:row>20</xdr:row>
          <xdr:rowOff>190500</xdr:rowOff>
        </xdr:to>
        <xdr:sp macro="" textlink="">
          <xdr:nvSpPr>
            <xdr:cNvPr id="2107" name="TextBox5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F32711A-FFBF-472F-85BC-E370F34E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23</xdr:row>
          <xdr:rowOff>47625</xdr:rowOff>
        </xdr:from>
        <xdr:to>
          <xdr:col>7</xdr:col>
          <xdr:colOff>571500</xdr:colOff>
          <xdr:row>24</xdr:row>
          <xdr:rowOff>95250</xdr:rowOff>
        </xdr:to>
        <xdr:sp macro="" textlink="">
          <xdr:nvSpPr>
            <xdr:cNvPr id="2167" name="Label5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24</xdr:row>
          <xdr:rowOff>180975</xdr:rowOff>
        </xdr:from>
        <xdr:to>
          <xdr:col>11</xdr:col>
          <xdr:colOff>57150</xdr:colOff>
          <xdr:row>35</xdr:row>
          <xdr:rowOff>104775</xdr:rowOff>
        </xdr:to>
        <xdr:pic>
          <xdr:nvPicPr>
            <xdr:cNvPr id="23" name="그림 22">
              <a:extLst>
                <a:ext uri="{FF2B5EF4-FFF2-40B4-BE49-F238E27FC236}">
                  <a16:creationId xmlns:a16="http://schemas.microsoft.com/office/drawing/2014/main" id="{08BE3309-4C4F-4CB9-8862-425F7FE0B19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orm1!$F$12:$I$18" spid="_x0000_s218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33450" y="5210175"/>
              <a:ext cx="6667500" cy="2228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26</xdr:row>
          <xdr:rowOff>123825</xdr:rowOff>
        </xdr:from>
        <xdr:to>
          <xdr:col>10</xdr:col>
          <xdr:colOff>514350</xdr:colOff>
          <xdr:row>27</xdr:row>
          <xdr:rowOff>104775</xdr:rowOff>
        </xdr:to>
        <xdr:sp macro="" textlink="">
          <xdr:nvSpPr>
            <xdr:cNvPr id="2177" name="CheckBox1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D898F927-49E8-4CC2-B705-E43058BD5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4</xdr:row>
          <xdr:rowOff>38100</xdr:rowOff>
        </xdr:from>
        <xdr:to>
          <xdr:col>10</xdr:col>
          <xdr:colOff>419100</xdr:colOff>
          <xdr:row>4</xdr:row>
          <xdr:rowOff>209550</xdr:rowOff>
        </xdr:to>
        <xdr:sp macro="" textlink="">
          <xdr:nvSpPr>
            <xdr:cNvPr id="5144" name="CheckBox7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5</xdr:row>
          <xdr:rowOff>38100</xdr:rowOff>
        </xdr:from>
        <xdr:to>
          <xdr:col>10</xdr:col>
          <xdr:colOff>419100</xdr:colOff>
          <xdr:row>5</xdr:row>
          <xdr:rowOff>209550</xdr:rowOff>
        </xdr:to>
        <xdr:sp macro="" textlink="">
          <xdr:nvSpPr>
            <xdr:cNvPr id="5145" name="CheckBox8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6</xdr:row>
          <xdr:rowOff>38100</xdr:rowOff>
        </xdr:from>
        <xdr:to>
          <xdr:col>10</xdr:col>
          <xdr:colOff>419100</xdr:colOff>
          <xdr:row>6</xdr:row>
          <xdr:rowOff>209550</xdr:rowOff>
        </xdr:to>
        <xdr:sp macro="" textlink="">
          <xdr:nvSpPr>
            <xdr:cNvPr id="5146" name="CheckBox9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7</xdr:row>
          <xdr:rowOff>38100</xdr:rowOff>
        </xdr:from>
        <xdr:to>
          <xdr:col>10</xdr:col>
          <xdr:colOff>419100</xdr:colOff>
          <xdr:row>7</xdr:row>
          <xdr:rowOff>209550</xdr:rowOff>
        </xdr:to>
        <xdr:sp macro="" textlink="">
          <xdr:nvSpPr>
            <xdr:cNvPr id="5147" name="CheckBox10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8</xdr:row>
          <xdr:rowOff>38100</xdr:rowOff>
        </xdr:from>
        <xdr:to>
          <xdr:col>10</xdr:col>
          <xdr:colOff>419100</xdr:colOff>
          <xdr:row>8</xdr:row>
          <xdr:rowOff>209550</xdr:rowOff>
        </xdr:to>
        <xdr:sp macro="" textlink="">
          <xdr:nvSpPr>
            <xdr:cNvPr id="5148" name="CheckBox11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9525</xdr:colOff>
      <xdr:row>10</xdr:row>
      <xdr:rowOff>104775</xdr:rowOff>
    </xdr:from>
    <xdr:to>
      <xdr:col>8</xdr:col>
      <xdr:colOff>2438400</xdr:colOff>
      <xdr:row>19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차트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5" y="2581275"/>
              <a:ext cx="3114675" cy="2143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  <xdr:twoCellAnchor>
    <xdr:from>
      <xdr:col>8</xdr:col>
      <xdr:colOff>2486025</xdr:colOff>
      <xdr:row>10</xdr:row>
      <xdr:rowOff>95249</xdr:rowOff>
    </xdr:from>
    <xdr:to>
      <xdr:col>11</xdr:col>
      <xdr:colOff>371475</xdr:colOff>
      <xdr:row>19</xdr:row>
      <xdr:rowOff>28574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280565</xdr:colOff>
      <xdr:row>4</xdr:row>
      <xdr:rowOff>0</xdr:rowOff>
    </xdr:from>
    <xdr:to>
      <xdr:col>17</xdr:col>
      <xdr:colOff>148692</xdr:colOff>
      <xdr:row>5</xdr:row>
      <xdr:rowOff>98227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767590" y="838200"/>
          <a:ext cx="1925527" cy="3077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400"/>
            <a:t>출시 가격 책정</a:t>
          </a:r>
          <a:r>
            <a:rPr lang="en-US" altLang="ko-KR" sz="1400"/>
            <a:t>(Pricing)</a:t>
          </a:r>
        </a:p>
      </xdr:txBody>
    </xdr:sp>
    <xdr:clientData/>
  </xdr:twoCellAnchor>
  <xdr:twoCellAnchor>
    <xdr:from>
      <xdr:col>10</xdr:col>
      <xdr:colOff>0</xdr:colOff>
      <xdr:row>6</xdr:row>
      <xdr:rowOff>129897</xdr:rowOff>
    </xdr:from>
    <xdr:to>
      <xdr:col>22</xdr:col>
      <xdr:colOff>504825</xdr:colOff>
      <xdr:row>12</xdr:row>
      <xdr:rowOff>129159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743825" y="1387197"/>
          <a:ext cx="8734425" cy="125656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관습 가격이 형성되기 이전의 신규 상품 또는 서비스의 출시 가격은 원가를 기준으로 책정합니다</a:t>
          </a:r>
          <a:r>
            <a:rPr lang="en-US" altLang="ko-KR" sz="1200"/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출시 가격은 원가의 </a:t>
          </a:r>
          <a:r>
            <a:rPr lang="en-US" altLang="ko-KR" sz="1200"/>
            <a:t>1.07625</a:t>
          </a:r>
          <a:r>
            <a:rPr lang="ko-KR" altLang="en-US" sz="1200"/>
            <a:t>배수</a:t>
          </a:r>
          <a:r>
            <a:rPr lang="en-US" altLang="ko-KR" sz="1200"/>
            <a:t>(Min)</a:t>
          </a:r>
          <a:r>
            <a:rPr lang="ko-KR" altLang="en-US" sz="1200"/>
            <a:t> 부터 원가의 </a:t>
          </a:r>
          <a:r>
            <a:rPr lang="en-US" altLang="ko-KR" sz="1200"/>
            <a:t>2</a:t>
          </a:r>
          <a:r>
            <a:rPr lang="ko-KR" altLang="en-US" sz="1200"/>
            <a:t>배수</a:t>
          </a:r>
          <a:r>
            <a:rPr lang="en-US" altLang="ko-KR" sz="1200"/>
            <a:t>(Max)</a:t>
          </a:r>
          <a:r>
            <a:rPr lang="ko-KR" altLang="en-US" sz="1200"/>
            <a:t> 사이에서 책정합니다</a:t>
          </a:r>
          <a:r>
            <a:rPr lang="en-US" altLang="ko-KR" sz="1200"/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/>
            <a:t>출시 이후</a:t>
          </a:r>
          <a:r>
            <a:rPr lang="en-US" altLang="ko-KR" sz="1200"/>
            <a:t>,</a:t>
          </a:r>
          <a:r>
            <a:rPr lang="ko-KR" altLang="en-US" sz="1200"/>
            <a:t> 가격의 조정이 필요한 경우는 </a:t>
          </a:r>
          <a:r>
            <a:rPr lang="ko-KR" altLang="en-US" sz="1200">
              <a:latin typeface="+mn-ea"/>
            </a:rPr>
            <a:t>「</a:t>
          </a:r>
          <a:r>
            <a:rPr lang="ko-KR" altLang="en-US" sz="1200"/>
            <a:t>상품 지불 가격 수용도 및 상품 만족도 테스트</a:t>
          </a:r>
          <a:r>
            <a:rPr lang="ko-KR" altLang="en-US" sz="1200">
              <a:latin typeface="+mn-ea"/>
            </a:rPr>
            <a:t>」 </a:t>
          </a:r>
          <a:r>
            <a:rPr lang="ko-KR" altLang="en-US" sz="1200"/>
            <a:t>를 시행하여 조정합니다</a:t>
          </a:r>
          <a:r>
            <a:rPr lang="en-US" altLang="ko-KR" sz="1200"/>
            <a:t>.</a:t>
          </a:r>
          <a:endParaRPr lang="ko-KR" altLang="en-US" sz="1200"/>
        </a:p>
      </xdr:txBody>
    </xdr:sp>
    <xdr:clientData/>
  </xdr:twoCellAnchor>
  <xdr:twoCellAnchor>
    <xdr:from>
      <xdr:col>14</xdr:col>
      <xdr:colOff>34193</xdr:colOff>
      <xdr:row>5</xdr:row>
      <xdr:rowOff>98227</xdr:rowOff>
    </xdr:from>
    <xdr:to>
      <xdr:col>17</xdr:col>
      <xdr:colOff>398023</xdr:colOff>
      <xdr:row>5</xdr:row>
      <xdr:rowOff>98227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0521218" y="1145977"/>
          <a:ext cx="242123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9.emf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2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4.emf"/><Relationship Id="rId22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2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9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1.emf"/><Relationship Id="rId4" Type="http://schemas.openxmlformats.org/officeDocument/2006/relationships/image" Target="../media/image18.emf"/><Relationship Id="rId9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/>
  <dimension ref="G1:J1"/>
  <sheetViews>
    <sheetView showGridLines="0" tabSelected="1" topLeftCell="A4" workbookViewId="0">
      <selection activeCell="N29" sqref="N29"/>
    </sheetView>
  </sheetViews>
  <sheetFormatPr defaultRowHeight="16.5" x14ac:dyDescent="0.3"/>
  <cols>
    <col min="7" max="7" width="9" customWidth="1"/>
  </cols>
  <sheetData>
    <row r="1" spans="7:10" x14ac:dyDescent="0.3">
      <c r="G1" s="83"/>
      <c r="H1" s="83"/>
      <c r="J1" s="8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77" r:id="rId4" name="CheckBox1">
          <controlPr defaultSize="0" autoLine="0" r:id="rId5">
            <anchor moveWithCells="1">
              <from>
                <xdr:col>10</xdr:col>
                <xdr:colOff>323850</xdr:colOff>
                <xdr:row>26</xdr:row>
                <xdr:rowOff>123825</xdr:rowOff>
              </from>
              <to>
                <xdr:col>10</xdr:col>
                <xdr:colOff>514350</xdr:colOff>
                <xdr:row>27</xdr:row>
                <xdr:rowOff>104775</xdr:rowOff>
              </to>
            </anchor>
          </controlPr>
        </control>
      </mc:Choice>
      <mc:Fallback>
        <control shapeId="2177" r:id="rId4" name="CheckBox1"/>
      </mc:Fallback>
    </mc:AlternateContent>
    <mc:AlternateContent xmlns:mc="http://schemas.openxmlformats.org/markup-compatibility/2006">
      <mc:Choice Requires="x14">
        <control shapeId="2167" r:id="rId6" name="Label5">
          <controlPr defaultSize="0" autoLine="0" r:id="rId7">
            <anchor moveWithCells="1">
              <from>
                <xdr:col>1</xdr:col>
                <xdr:colOff>161925</xdr:colOff>
                <xdr:row>23</xdr:row>
                <xdr:rowOff>47625</xdr:rowOff>
              </from>
              <to>
                <xdr:col>7</xdr:col>
                <xdr:colOff>571500</xdr:colOff>
                <xdr:row>24</xdr:row>
                <xdr:rowOff>95250</xdr:rowOff>
              </to>
            </anchor>
          </controlPr>
        </control>
      </mc:Choice>
      <mc:Fallback>
        <control shapeId="2167" r:id="rId6" name="Label5"/>
      </mc:Fallback>
    </mc:AlternateContent>
    <mc:AlternateContent xmlns:mc="http://schemas.openxmlformats.org/markup-compatibility/2006">
      <mc:Choice Requires="x14">
        <control shapeId="2107" r:id="rId8" name="TextBox5">
          <controlPr defaultSize="0" autoLine="0" r:id="rId9">
            <anchor moveWithCells="1">
              <from>
                <xdr:col>4</xdr:col>
                <xdr:colOff>38100</xdr:colOff>
                <xdr:row>19</xdr:row>
                <xdr:rowOff>123825</xdr:rowOff>
              </from>
              <to>
                <xdr:col>6</xdr:col>
                <xdr:colOff>0</xdr:colOff>
                <xdr:row>20</xdr:row>
                <xdr:rowOff>190500</xdr:rowOff>
              </to>
            </anchor>
          </controlPr>
        </control>
      </mc:Choice>
      <mc:Fallback>
        <control shapeId="2107" r:id="rId8" name="TextBox5"/>
      </mc:Fallback>
    </mc:AlternateContent>
    <mc:AlternateContent xmlns:mc="http://schemas.openxmlformats.org/markup-compatibility/2006">
      <mc:Choice Requires="x14">
        <control shapeId="2106" r:id="rId10" name="TextBox4">
          <controlPr defaultSize="0" autoLine="0" r:id="rId9">
            <anchor moveWithCells="1">
              <from>
                <xdr:col>4</xdr:col>
                <xdr:colOff>38100</xdr:colOff>
                <xdr:row>18</xdr:row>
                <xdr:rowOff>28575</xdr:rowOff>
              </from>
              <to>
                <xdr:col>6</xdr:col>
                <xdr:colOff>0</xdr:colOff>
                <xdr:row>19</xdr:row>
                <xdr:rowOff>95250</xdr:rowOff>
              </to>
            </anchor>
          </controlPr>
        </control>
      </mc:Choice>
      <mc:Fallback>
        <control shapeId="2106" r:id="rId10" name="TextBox4"/>
      </mc:Fallback>
    </mc:AlternateContent>
    <mc:AlternateContent xmlns:mc="http://schemas.openxmlformats.org/markup-compatibility/2006">
      <mc:Choice Requires="x14">
        <control shapeId="2105" r:id="rId11" name="TextBox3">
          <controlPr defaultSize="0" autoLine="0" r:id="rId9">
            <anchor moveWithCells="1">
              <from>
                <xdr:col>4</xdr:col>
                <xdr:colOff>38100</xdr:colOff>
                <xdr:row>16</xdr:row>
                <xdr:rowOff>133350</xdr:rowOff>
              </from>
              <to>
                <xdr:col>6</xdr:col>
                <xdr:colOff>0</xdr:colOff>
                <xdr:row>17</xdr:row>
                <xdr:rowOff>200025</xdr:rowOff>
              </to>
            </anchor>
          </controlPr>
        </control>
      </mc:Choice>
      <mc:Fallback>
        <control shapeId="2105" r:id="rId11" name="TextBox3"/>
      </mc:Fallback>
    </mc:AlternateContent>
    <mc:AlternateContent xmlns:mc="http://schemas.openxmlformats.org/markup-compatibility/2006">
      <mc:Choice Requires="x14">
        <control shapeId="2099" r:id="rId12" name="TextBox2">
          <controlPr defaultSize="0" autoLine="0" r:id="rId9">
            <anchor moveWithCells="1">
              <from>
                <xdr:col>4</xdr:col>
                <xdr:colOff>38100</xdr:colOff>
                <xdr:row>15</xdr:row>
                <xdr:rowOff>19050</xdr:rowOff>
              </from>
              <to>
                <xdr:col>6</xdr:col>
                <xdr:colOff>0</xdr:colOff>
                <xdr:row>16</xdr:row>
                <xdr:rowOff>85725</xdr:rowOff>
              </to>
            </anchor>
          </controlPr>
        </control>
      </mc:Choice>
      <mc:Fallback>
        <control shapeId="2099" r:id="rId12" name="TextBox2"/>
      </mc:Fallback>
    </mc:AlternateContent>
    <mc:AlternateContent xmlns:mc="http://schemas.openxmlformats.org/markup-compatibility/2006">
      <mc:Choice Requires="x14">
        <control shapeId="2073" r:id="rId13" name="TextBox1">
          <controlPr defaultSize="0" autoLine="0" autoPict="0" r:id="rId14">
            <anchor moveWithCells="1">
              <from>
                <xdr:col>1</xdr:col>
                <xdr:colOff>247650</xdr:colOff>
                <xdr:row>8</xdr:row>
                <xdr:rowOff>190500</xdr:rowOff>
              </from>
              <to>
                <xdr:col>4</xdr:col>
                <xdr:colOff>666750</xdr:colOff>
                <xdr:row>10</xdr:row>
                <xdr:rowOff>66675</xdr:rowOff>
              </to>
            </anchor>
          </controlPr>
        </control>
      </mc:Choice>
      <mc:Fallback>
        <control shapeId="2073" r:id="rId13" name="TextBox1"/>
      </mc:Fallback>
    </mc:AlternateContent>
    <mc:AlternateContent xmlns:mc="http://schemas.openxmlformats.org/markup-compatibility/2006">
      <mc:Choice Requires="x14">
        <control shapeId="2072" r:id="rId15" name="ComboBox1">
          <controlPr defaultSize="0" autoLine="0" autoPict="0" r:id="rId16">
            <anchor moveWithCells="1">
              <from>
                <xdr:col>1</xdr:col>
                <xdr:colOff>247650</xdr:colOff>
                <xdr:row>4</xdr:row>
                <xdr:rowOff>180975</xdr:rowOff>
              </from>
              <to>
                <xdr:col>4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072" r:id="rId15" name="ComboBox1"/>
      </mc:Fallback>
    </mc:AlternateContent>
    <mc:AlternateContent xmlns:mc="http://schemas.openxmlformats.org/markup-compatibility/2006">
      <mc:Choice Requires="x14">
        <control shapeId="2077" r:id="rId17" name="Label1">
          <controlPr defaultSize="0" autoLine="0" autoPict="0" r:id="rId18">
            <anchor moveWithCells="1">
              <from>
                <xdr:col>1</xdr:col>
                <xdr:colOff>161925</xdr:colOff>
                <xdr:row>3</xdr:row>
                <xdr:rowOff>66675</xdr:rowOff>
              </from>
              <to>
                <xdr:col>6</xdr:col>
                <xdr:colOff>361950</xdr:colOff>
                <xdr:row>4</xdr:row>
                <xdr:rowOff>114300</xdr:rowOff>
              </to>
            </anchor>
          </controlPr>
        </control>
      </mc:Choice>
      <mc:Fallback>
        <control shapeId="2077" r:id="rId17" name="Label1"/>
      </mc:Fallback>
    </mc:AlternateContent>
    <mc:AlternateContent xmlns:mc="http://schemas.openxmlformats.org/markup-compatibility/2006">
      <mc:Choice Requires="x14">
        <control shapeId="2078" r:id="rId19" name="Label2">
          <controlPr defaultSize="0" autoLine="0" r:id="rId20">
            <anchor moveWithCells="1">
              <from>
                <xdr:col>1</xdr:col>
                <xdr:colOff>161925</xdr:colOff>
                <xdr:row>7</xdr:row>
                <xdr:rowOff>114300</xdr:rowOff>
              </from>
              <to>
                <xdr:col>6</xdr:col>
                <xdr:colOff>361950</xdr:colOff>
                <xdr:row>8</xdr:row>
                <xdr:rowOff>161925</xdr:rowOff>
              </to>
            </anchor>
          </controlPr>
        </control>
      </mc:Choice>
      <mc:Fallback>
        <control shapeId="2078" r:id="rId19" name="Label2"/>
      </mc:Fallback>
    </mc:AlternateContent>
    <mc:AlternateContent xmlns:mc="http://schemas.openxmlformats.org/markup-compatibility/2006">
      <mc:Choice Requires="x14">
        <control shapeId="2079" r:id="rId21" name="Label3">
          <controlPr defaultSize="0" autoLine="0" autoPict="0" r:id="rId22">
            <anchor moveWithCells="1">
              <from>
                <xdr:col>1</xdr:col>
                <xdr:colOff>304800</xdr:colOff>
                <xdr:row>5</xdr:row>
                <xdr:rowOff>9525</xdr:rowOff>
              </from>
              <to>
                <xdr:col>3</xdr:col>
                <xdr:colOff>428625</xdr:colOff>
                <xdr:row>5</xdr:row>
                <xdr:rowOff>190500</xdr:rowOff>
              </to>
            </anchor>
          </controlPr>
        </control>
      </mc:Choice>
      <mc:Fallback>
        <control shapeId="2079" r:id="rId21" name="Label3"/>
      </mc:Fallback>
    </mc:AlternateContent>
    <mc:AlternateContent xmlns:mc="http://schemas.openxmlformats.org/markup-compatibility/2006">
      <mc:Choice Requires="x14">
        <control shapeId="2080" r:id="rId23" name="Label4">
          <controlPr defaultSize="0" autoLine="0" autoPict="0" r:id="rId24">
            <anchor moveWithCells="1">
              <from>
                <xdr:col>1</xdr:col>
                <xdr:colOff>152400</xdr:colOff>
                <xdr:row>11</xdr:row>
                <xdr:rowOff>66675</xdr:rowOff>
              </from>
              <to>
                <xdr:col>7</xdr:col>
                <xdr:colOff>561975</xdr:colOff>
                <xdr:row>12</xdr:row>
                <xdr:rowOff>114300</xdr:rowOff>
              </to>
            </anchor>
          </controlPr>
        </control>
      </mc:Choice>
      <mc:Fallback>
        <control shapeId="2080" r:id="rId23" name="Label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9F5-DBA7-4ABE-BAF3-052808C6D36F}">
  <sheetPr codeName="Sheet4"/>
  <dimension ref="B2:M25"/>
  <sheetViews>
    <sheetView workbookViewId="0">
      <selection activeCell="F26" sqref="F26"/>
    </sheetView>
  </sheetViews>
  <sheetFormatPr defaultRowHeight="19.5" customHeight="1" x14ac:dyDescent="0.3"/>
  <cols>
    <col min="1" max="1" width="9" style="6"/>
    <col min="2" max="2" width="9.25" style="6" customWidth="1"/>
    <col min="3" max="3" width="7.625" style="6" customWidth="1"/>
    <col min="4" max="4" width="19.75" style="6" customWidth="1"/>
    <col min="5" max="5" width="19.125" style="6" customWidth="1"/>
    <col min="6" max="6" width="21" style="6" customWidth="1"/>
    <col min="7" max="8" width="9" style="6"/>
    <col min="9" max="9" width="49.125" style="6" customWidth="1"/>
    <col min="10" max="10" width="10.5" style="6" bestFit="1" customWidth="1"/>
    <col min="11" max="11" width="8.75" style="6" customWidth="1"/>
    <col min="12" max="12" width="12.375" style="6" bestFit="1" customWidth="1"/>
    <col min="13" max="13" width="13.625" style="6" bestFit="1" customWidth="1"/>
    <col min="14" max="16384" width="9" style="6"/>
  </cols>
  <sheetData>
    <row r="2" spans="2:13" ht="19.5" customHeight="1" x14ac:dyDescent="0.3">
      <c r="B2" s="6" t="s">
        <v>5435</v>
      </c>
      <c r="H2" s="6" t="s">
        <v>5447</v>
      </c>
    </row>
    <row r="3" spans="2:13" ht="19.5" customHeight="1" x14ac:dyDescent="0.3">
      <c r="B3" s="6" t="s">
        <v>5436</v>
      </c>
    </row>
    <row r="4" spans="2:13" ht="19.5" customHeight="1" x14ac:dyDescent="0.3">
      <c r="F4" s="8" t="s">
        <v>5437</v>
      </c>
      <c r="H4" s="33" t="s">
        <v>5438</v>
      </c>
      <c r="I4" s="33" t="s">
        <v>5439</v>
      </c>
      <c r="J4" s="33" t="s">
        <v>5440</v>
      </c>
      <c r="K4" s="34" t="s">
        <v>5441</v>
      </c>
      <c r="L4" s="7">
        <f>E21</f>
        <v>113345.26874999999</v>
      </c>
      <c r="M4" s="7">
        <f>L4</f>
        <v>113345.26874999999</v>
      </c>
    </row>
    <row r="5" spans="2:13" ht="19.5" customHeight="1" x14ac:dyDescent="0.3">
      <c r="B5" s="77" t="s">
        <v>5413</v>
      </c>
      <c r="C5" s="78"/>
      <c r="D5" s="79"/>
      <c r="E5" s="16" t="s">
        <v>5422</v>
      </c>
      <c r="F5" s="14" t="s">
        <v>5414</v>
      </c>
      <c r="H5" s="36" t="s">
        <v>5442</v>
      </c>
      <c r="I5" s="35" t="s">
        <v>5443</v>
      </c>
      <c r="J5" s="39">
        <v>0.3</v>
      </c>
      <c r="K5" s="35"/>
      <c r="L5" s="7">
        <f t="shared" ref="L5:L7" si="0">$E$21*J5</f>
        <v>34003.580624999995</v>
      </c>
      <c r="M5" s="7">
        <f>SUM(L4:L9)</f>
        <v>181352.43</v>
      </c>
    </row>
    <row r="6" spans="2:13" ht="19.5" customHeight="1" x14ac:dyDescent="0.3">
      <c r="B6" s="21" t="s">
        <v>5419</v>
      </c>
      <c r="C6" s="22"/>
      <c r="D6" s="19"/>
      <c r="E6" s="28">
        <f>E7+E8+E9</f>
        <v>105315</v>
      </c>
      <c r="F6" s="9" t="s">
        <v>5415</v>
      </c>
      <c r="H6" s="37"/>
      <c r="I6" s="35" t="s">
        <v>5450</v>
      </c>
      <c r="J6" s="39">
        <v>0.3</v>
      </c>
      <c r="K6" s="35"/>
      <c r="L6" s="7">
        <f t="shared" si="0"/>
        <v>34003.580624999995</v>
      </c>
      <c r="M6" s="7">
        <f>E20</f>
        <v>210630</v>
      </c>
    </row>
    <row r="7" spans="2:13" ht="19.5" customHeight="1" x14ac:dyDescent="0.3">
      <c r="B7" s="82"/>
      <c r="C7" s="71" t="s">
        <v>5423</v>
      </c>
      <c r="D7" s="72"/>
      <c r="E7" s="29">
        <v>100000</v>
      </c>
      <c r="F7" s="15"/>
      <c r="H7" s="38"/>
      <c r="I7" s="35" t="s">
        <v>5449</v>
      </c>
      <c r="J7" s="39">
        <v>0.2</v>
      </c>
      <c r="K7" s="35"/>
      <c r="L7" s="7">
        <f t="shared" si="0"/>
        <v>22669.053749999999</v>
      </c>
    </row>
    <row r="8" spans="2:13" ht="19.5" customHeight="1" x14ac:dyDescent="0.3">
      <c r="B8" s="82"/>
      <c r="C8" s="71" t="s">
        <v>5424</v>
      </c>
      <c r="D8" s="72"/>
      <c r="E8" s="29">
        <v>5000</v>
      </c>
      <c r="F8" s="15"/>
      <c r="H8" s="36" t="s">
        <v>5446</v>
      </c>
      <c r="I8" s="35" t="s">
        <v>5444</v>
      </c>
      <c r="J8" s="39">
        <v>-0.15</v>
      </c>
      <c r="K8" s="35"/>
      <c r="L8" s="7">
        <f t="shared" ref="L8:L9" si="1">$E$21*J8</f>
        <v>-17001.790312499998</v>
      </c>
    </row>
    <row r="9" spans="2:13" ht="19.5" customHeight="1" x14ac:dyDescent="0.3">
      <c r="B9" s="82"/>
      <c r="C9" s="80" t="s">
        <v>5416</v>
      </c>
      <c r="D9" s="81"/>
      <c r="E9" s="28">
        <f>E10+E11+E12</f>
        <v>315</v>
      </c>
      <c r="F9" s="9"/>
      <c r="H9" s="37"/>
      <c r="I9" s="35" t="s">
        <v>5445</v>
      </c>
      <c r="J9" s="39">
        <v>-0.05</v>
      </c>
      <c r="K9" s="35"/>
      <c r="L9" s="7">
        <f t="shared" si="1"/>
        <v>-5667.2634374999998</v>
      </c>
    </row>
    <row r="10" spans="2:13" ht="19.5" customHeight="1" x14ac:dyDescent="0.3">
      <c r="B10" s="17"/>
      <c r="C10" s="10"/>
      <c r="D10" s="15" t="s">
        <v>5481</v>
      </c>
      <c r="E10" s="29">
        <v>300</v>
      </c>
      <c r="F10" s="9"/>
      <c r="H10" s="73" t="s">
        <v>5448</v>
      </c>
      <c r="I10" s="74"/>
      <c r="J10" s="39">
        <f>SUM(J5:J9)</f>
        <v>0.6</v>
      </c>
      <c r="K10" s="35"/>
      <c r="L10" s="56" t="s">
        <v>5484</v>
      </c>
    </row>
    <row r="11" spans="2:13" ht="19.5" customHeight="1" x14ac:dyDescent="0.3">
      <c r="B11" s="17"/>
      <c r="C11" s="10"/>
      <c r="D11" s="15" t="s">
        <v>5479</v>
      </c>
      <c r="E11" s="29">
        <v>10</v>
      </c>
      <c r="F11" s="32"/>
    </row>
    <row r="12" spans="2:13" ht="19.5" customHeight="1" x14ac:dyDescent="0.3">
      <c r="B12" s="18"/>
      <c r="C12" s="13"/>
      <c r="D12" s="15" t="s">
        <v>5480</v>
      </c>
      <c r="E12" s="51">
        <v>5</v>
      </c>
      <c r="F12" s="32" t="s">
        <v>5482</v>
      </c>
    </row>
    <row r="13" spans="2:13" ht="19.5" customHeight="1" x14ac:dyDescent="0.3">
      <c r="B13" s="21" t="s">
        <v>5420</v>
      </c>
      <c r="C13" s="22"/>
      <c r="D13" s="20"/>
      <c r="E13" s="28">
        <f>E14+E15</f>
        <v>8030.75</v>
      </c>
      <c r="F13" s="9" t="s">
        <v>5425</v>
      </c>
    </row>
    <row r="14" spans="2:13" ht="19.5" customHeight="1" x14ac:dyDescent="0.3">
      <c r="B14" s="75"/>
      <c r="C14" s="71" t="s">
        <v>5417</v>
      </c>
      <c r="D14" s="72"/>
      <c r="E14" s="28">
        <f>E6*5%</f>
        <v>5265.75</v>
      </c>
      <c r="F14" s="9" t="s">
        <v>5428</v>
      </c>
    </row>
    <row r="15" spans="2:13" ht="19.5" customHeight="1" x14ac:dyDescent="0.3">
      <c r="B15" s="76"/>
      <c r="C15" s="71" t="s">
        <v>5418</v>
      </c>
      <c r="D15" s="72"/>
      <c r="E15" s="28">
        <v>2765</v>
      </c>
      <c r="F15" s="9" t="s">
        <v>5429</v>
      </c>
    </row>
    <row r="16" spans="2:13" ht="19.5" customHeight="1" x14ac:dyDescent="0.3">
      <c r="B16" s="23" t="s">
        <v>5421</v>
      </c>
      <c r="C16" s="24"/>
      <c r="D16" s="25"/>
      <c r="E16" s="28">
        <f>E6+E13</f>
        <v>113345.75</v>
      </c>
      <c r="F16" s="9" t="s">
        <v>5426</v>
      </c>
    </row>
    <row r="17" spans="2:11" ht="19.5" customHeight="1" x14ac:dyDescent="0.3">
      <c r="B17" s="27" t="s">
        <v>5431</v>
      </c>
      <c r="C17" s="22"/>
      <c r="D17" s="26"/>
      <c r="E17" s="28">
        <f>E16-E6</f>
        <v>8030.75</v>
      </c>
      <c r="F17" s="9" t="s">
        <v>5427</v>
      </c>
    </row>
    <row r="18" spans="2:11" ht="19.5" customHeight="1" x14ac:dyDescent="0.3">
      <c r="B18" s="11"/>
      <c r="C18" s="71" t="s">
        <v>5432</v>
      </c>
      <c r="D18" s="72"/>
      <c r="E18" s="30">
        <f>IFERROR((E17/E16),0)</f>
        <v>7.0851796384072629E-2</v>
      </c>
      <c r="F18" s="9" t="s">
        <v>5430</v>
      </c>
    </row>
    <row r="20" spans="2:11" ht="19.5" customHeight="1" x14ac:dyDescent="0.3">
      <c r="D20" s="6" t="s">
        <v>5433</v>
      </c>
      <c r="E20" s="7">
        <f>E6*2</f>
        <v>210630</v>
      </c>
    </row>
    <row r="21" spans="2:11" ht="19.5" customHeight="1" x14ac:dyDescent="0.3">
      <c r="D21" s="6" t="s">
        <v>5434</v>
      </c>
      <c r="E21" s="7">
        <f>E6*1.07625</f>
        <v>113345.26874999999</v>
      </c>
      <c r="F21" s="31"/>
      <c r="H21" s="6" t="s">
        <v>5451</v>
      </c>
    </row>
    <row r="22" spans="2:11" ht="19.5" customHeight="1" x14ac:dyDescent="0.3">
      <c r="I22" s="6" t="s">
        <v>5452</v>
      </c>
      <c r="J22" s="7">
        <v>181352</v>
      </c>
    </row>
    <row r="23" spans="2:11" ht="19.5" customHeight="1" x14ac:dyDescent="0.3">
      <c r="I23" s="6" t="s">
        <v>5453</v>
      </c>
      <c r="J23" s="7">
        <v>20000</v>
      </c>
    </row>
    <row r="24" spans="2:11" ht="19.5" customHeight="1" x14ac:dyDescent="0.3">
      <c r="I24" s="6" t="s">
        <v>5454</v>
      </c>
      <c r="J24" s="7">
        <f>J22+J23</f>
        <v>201352</v>
      </c>
      <c r="K24" s="55" t="s">
        <v>5455</v>
      </c>
    </row>
    <row r="25" spans="2:11" ht="19.5" customHeight="1" x14ac:dyDescent="0.3">
      <c r="H25" s="55" t="s">
        <v>5483</v>
      </c>
    </row>
  </sheetData>
  <mergeCells count="10">
    <mergeCell ref="C18:D18"/>
    <mergeCell ref="H10:I10"/>
    <mergeCell ref="B14:B15"/>
    <mergeCell ref="B5:D5"/>
    <mergeCell ref="C7:D7"/>
    <mergeCell ref="C8:D8"/>
    <mergeCell ref="C9:D9"/>
    <mergeCell ref="C14:D14"/>
    <mergeCell ref="C15:D15"/>
    <mergeCell ref="B7:B9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44" r:id="rId3" name="CheckBox7">
          <controlPr defaultSize="0" autoLine="0" r:id="rId4">
            <anchor moveWithCells="1">
              <from>
                <xdr:col>10</xdr:col>
                <xdr:colOff>257175</xdr:colOff>
                <xdr:row>4</xdr:row>
                <xdr:rowOff>38100</xdr:rowOff>
              </from>
              <to>
                <xdr:col>10</xdr:col>
                <xdr:colOff>419100</xdr:colOff>
                <xdr:row>4</xdr:row>
                <xdr:rowOff>209550</xdr:rowOff>
              </to>
            </anchor>
          </controlPr>
        </control>
      </mc:Choice>
      <mc:Fallback>
        <control shapeId="5144" r:id="rId3" name="CheckBox7"/>
      </mc:Fallback>
    </mc:AlternateContent>
    <mc:AlternateContent xmlns:mc="http://schemas.openxmlformats.org/markup-compatibility/2006">
      <mc:Choice Requires="x14">
        <control shapeId="5145" r:id="rId5" name="CheckBox8">
          <controlPr defaultSize="0" autoLine="0" r:id="rId6">
            <anchor moveWithCells="1">
              <from>
                <xdr:col>10</xdr:col>
                <xdr:colOff>257175</xdr:colOff>
                <xdr:row>5</xdr:row>
                <xdr:rowOff>38100</xdr:rowOff>
              </from>
              <to>
                <xdr:col>10</xdr:col>
                <xdr:colOff>419100</xdr:colOff>
                <xdr:row>5</xdr:row>
                <xdr:rowOff>209550</xdr:rowOff>
              </to>
            </anchor>
          </controlPr>
        </control>
      </mc:Choice>
      <mc:Fallback>
        <control shapeId="5145" r:id="rId5" name="CheckBox8"/>
      </mc:Fallback>
    </mc:AlternateContent>
    <mc:AlternateContent xmlns:mc="http://schemas.openxmlformats.org/markup-compatibility/2006">
      <mc:Choice Requires="x14">
        <control shapeId="5146" r:id="rId7" name="CheckBox9">
          <controlPr defaultSize="0" autoLine="0" r:id="rId8">
            <anchor moveWithCells="1">
              <from>
                <xdr:col>10</xdr:col>
                <xdr:colOff>257175</xdr:colOff>
                <xdr:row>6</xdr:row>
                <xdr:rowOff>38100</xdr:rowOff>
              </from>
              <to>
                <xdr:col>10</xdr:col>
                <xdr:colOff>419100</xdr:colOff>
                <xdr:row>6</xdr:row>
                <xdr:rowOff>209550</xdr:rowOff>
              </to>
            </anchor>
          </controlPr>
        </control>
      </mc:Choice>
      <mc:Fallback>
        <control shapeId="5146" r:id="rId7" name="CheckBox9"/>
      </mc:Fallback>
    </mc:AlternateContent>
    <mc:AlternateContent xmlns:mc="http://schemas.openxmlformats.org/markup-compatibility/2006">
      <mc:Choice Requires="x14">
        <control shapeId="5147" r:id="rId9" name="CheckBox10">
          <controlPr defaultSize="0" autoLine="0" r:id="rId10">
            <anchor moveWithCells="1">
              <from>
                <xdr:col>10</xdr:col>
                <xdr:colOff>257175</xdr:colOff>
                <xdr:row>7</xdr:row>
                <xdr:rowOff>38100</xdr:rowOff>
              </from>
              <to>
                <xdr:col>10</xdr:col>
                <xdr:colOff>419100</xdr:colOff>
                <xdr:row>7</xdr:row>
                <xdr:rowOff>209550</xdr:rowOff>
              </to>
            </anchor>
          </controlPr>
        </control>
      </mc:Choice>
      <mc:Fallback>
        <control shapeId="5147" r:id="rId9" name="CheckBox10"/>
      </mc:Fallback>
    </mc:AlternateContent>
    <mc:AlternateContent xmlns:mc="http://schemas.openxmlformats.org/markup-compatibility/2006">
      <mc:Choice Requires="x14">
        <control shapeId="5148" r:id="rId11" name="CheckBox11">
          <controlPr defaultSize="0" autoLine="0" r:id="rId12">
            <anchor moveWithCells="1">
              <from>
                <xdr:col>10</xdr:col>
                <xdr:colOff>257175</xdr:colOff>
                <xdr:row>8</xdr:row>
                <xdr:rowOff>38100</xdr:rowOff>
              </from>
              <to>
                <xdr:col>10</xdr:col>
                <xdr:colOff>419100</xdr:colOff>
                <xdr:row>8</xdr:row>
                <xdr:rowOff>209550</xdr:rowOff>
              </to>
            </anchor>
          </controlPr>
        </control>
      </mc:Choice>
      <mc:Fallback>
        <control shapeId="5148" r:id="rId11" name="CheckBox1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8815-42E0-4FBA-A1A7-B25153AD6E49}">
  <sheetPr codeName="Sheet5"/>
  <dimension ref="B3:T42"/>
  <sheetViews>
    <sheetView workbookViewId="0">
      <selection activeCell="G34" sqref="G34"/>
    </sheetView>
  </sheetViews>
  <sheetFormatPr defaultRowHeight="16.5" x14ac:dyDescent="0.3"/>
  <cols>
    <col min="2" max="2" width="9.25" customWidth="1"/>
    <col min="3" max="3" width="11.25" customWidth="1"/>
    <col min="4" max="4" width="9.25" customWidth="1"/>
    <col min="6" max="6" width="9.375" bestFit="1" customWidth="1"/>
    <col min="7" max="7" width="12.75" customWidth="1"/>
    <col min="8" max="8" width="13.375" bestFit="1" customWidth="1"/>
    <col min="9" max="9" width="12" customWidth="1"/>
    <col min="10" max="10" width="3.25" customWidth="1"/>
    <col min="12" max="12" width="11.25" customWidth="1"/>
    <col min="14" max="20" width="16" customWidth="1"/>
  </cols>
  <sheetData>
    <row r="3" spans="2:12" x14ac:dyDescent="0.3">
      <c r="B3" s="41" t="s">
        <v>5438</v>
      </c>
      <c r="C3" s="16"/>
      <c r="D3" s="14" t="s">
        <v>5465</v>
      </c>
      <c r="H3" t="s">
        <v>5473</v>
      </c>
    </row>
    <row r="4" spans="2:12" x14ac:dyDescent="0.3">
      <c r="B4" s="42" t="s">
        <v>5456</v>
      </c>
      <c r="C4" s="40" t="s">
        <v>5459</v>
      </c>
      <c r="D4" s="45">
        <v>100000</v>
      </c>
      <c r="E4" t="s">
        <v>5466</v>
      </c>
      <c r="F4" t="s">
        <v>5467</v>
      </c>
      <c r="G4" t="s">
        <v>5468</v>
      </c>
      <c r="H4" t="s">
        <v>5459</v>
      </c>
      <c r="I4" t="s">
        <v>5474</v>
      </c>
      <c r="L4" t="s">
        <v>5478</v>
      </c>
    </row>
    <row r="5" spans="2:12" x14ac:dyDescent="0.3">
      <c r="B5" s="43" t="s">
        <v>5457</v>
      </c>
      <c r="C5" s="40" t="s">
        <v>5460</v>
      </c>
      <c r="D5" s="46"/>
      <c r="E5">
        <v>12</v>
      </c>
      <c r="F5">
        <v>0</v>
      </c>
      <c r="G5" s="2">
        <f>PMT(F5%/12,E5,-$D$4)</f>
        <v>8333.3333333333339</v>
      </c>
      <c r="H5" s="2">
        <f>E5*G5</f>
        <v>100000</v>
      </c>
      <c r="J5" s="50"/>
    </row>
    <row r="6" spans="2:12" x14ac:dyDescent="0.3">
      <c r="B6" s="44"/>
      <c r="C6" s="40" t="s">
        <v>5459</v>
      </c>
      <c r="D6" s="46"/>
      <c r="G6" s="2"/>
      <c r="H6" s="2"/>
    </row>
    <row r="7" spans="2:12" x14ac:dyDescent="0.3">
      <c r="B7" s="43" t="s">
        <v>5461</v>
      </c>
      <c r="C7" s="40"/>
      <c r="D7" s="45"/>
      <c r="E7">
        <v>24</v>
      </c>
      <c r="F7">
        <v>5.3330000000000002</v>
      </c>
      <c r="G7" s="2">
        <f>PMT(F7%/12,E7,-$D$4)</f>
        <v>4402.0674659871684</v>
      </c>
      <c r="H7" s="2">
        <f>E7*G7</f>
        <v>105649.61918369203</v>
      </c>
      <c r="I7" s="50">
        <f>P30/E7</f>
        <v>93414.5625</v>
      </c>
      <c r="K7" s="48">
        <f>H7-$D$4</f>
        <v>5649.6191836920334</v>
      </c>
      <c r="L7" s="50">
        <f>K7*105%</f>
        <v>5932.1001428766349</v>
      </c>
    </row>
    <row r="8" spans="2:12" x14ac:dyDescent="0.3">
      <c r="B8" s="44"/>
      <c r="C8" s="40"/>
      <c r="D8" s="45"/>
      <c r="G8" s="2"/>
      <c r="H8" s="2"/>
      <c r="I8" s="53"/>
      <c r="J8" s="54"/>
    </row>
    <row r="9" spans="2:12" x14ac:dyDescent="0.3">
      <c r="B9" s="43" t="s">
        <v>5462</v>
      </c>
      <c r="C9" s="40"/>
      <c r="D9" s="47"/>
      <c r="E9">
        <v>36</v>
      </c>
      <c r="F9">
        <v>5.77</v>
      </c>
      <c r="G9" s="2">
        <f>PMT(F9%/12,E9,-$D$4)</f>
        <v>3031.7833083693636</v>
      </c>
      <c r="H9" s="2">
        <f>E9*G9</f>
        <v>109144.19910129708</v>
      </c>
      <c r="I9" s="50">
        <f>Q30/E9</f>
        <v>61744.497473787829</v>
      </c>
      <c r="K9" s="48">
        <f>H9-$D$4</f>
        <v>9144.199101297083</v>
      </c>
      <c r="L9" s="50">
        <f>K9*105%</f>
        <v>9601.4090563619375</v>
      </c>
    </row>
    <row r="10" spans="2:12" x14ac:dyDescent="0.3">
      <c r="B10" s="44"/>
      <c r="C10" s="40"/>
      <c r="D10" s="45"/>
      <c r="G10" s="2"/>
      <c r="H10" s="2"/>
      <c r="I10" s="49"/>
      <c r="J10" s="48"/>
    </row>
    <row r="11" spans="2:12" x14ac:dyDescent="0.3">
      <c r="B11" s="43" t="s">
        <v>5463</v>
      </c>
      <c r="C11" s="40"/>
      <c r="D11" s="45"/>
      <c r="E11">
        <v>48</v>
      </c>
      <c r="F11">
        <v>6.1310000000000002</v>
      </c>
      <c r="G11" s="2">
        <f>PMT(F11%/12,E11,-$D$4)</f>
        <v>2354.5136738016063</v>
      </c>
      <c r="H11" s="2">
        <f>E11*G11</f>
        <v>113016.6563424771</v>
      </c>
      <c r="I11" s="50">
        <f>R30/E11</f>
        <v>45917.739357491686</v>
      </c>
      <c r="K11" s="48">
        <f>H11-$D$4</f>
        <v>13016.656342477101</v>
      </c>
      <c r="L11" s="50">
        <f>K11*105%</f>
        <v>13667.489159600957</v>
      </c>
    </row>
    <row r="12" spans="2:12" x14ac:dyDescent="0.3">
      <c r="B12" s="44"/>
      <c r="C12" s="40"/>
      <c r="D12" s="45"/>
      <c r="G12" s="2"/>
      <c r="H12" s="2"/>
      <c r="I12" s="49"/>
      <c r="J12" s="48"/>
    </row>
    <row r="13" spans="2:12" x14ac:dyDescent="0.3">
      <c r="B13" s="43" t="s">
        <v>5464</v>
      </c>
      <c r="C13" s="40"/>
      <c r="D13" s="45"/>
      <c r="E13">
        <v>60</v>
      </c>
      <c r="F13">
        <v>6.5890000000000004</v>
      </c>
      <c r="G13" s="2">
        <f>PMT(F13%/12,E13,-$D$4)</f>
        <v>1960.7862651041792</v>
      </c>
      <c r="H13" s="2">
        <f>E13*G13</f>
        <v>117647.17590625075</v>
      </c>
      <c r="I13" s="50">
        <f>S30/E13</f>
        <v>36434.950578359392</v>
      </c>
      <c r="K13" s="48">
        <f>H13-$D$4</f>
        <v>17647.175906250748</v>
      </c>
      <c r="L13" s="50">
        <f>K13*105%</f>
        <v>18529.534701563287</v>
      </c>
    </row>
    <row r="14" spans="2:12" x14ac:dyDescent="0.3">
      <c r="B14" s="44"/>
      <c r="C14" s="40"/>
      <c r="D14" s="45"/>
      <c r="G14" s="2"/>
      <c r="H14" s="2"/>
      <c r="I14" s="49"/>
      <c r="J14" s="48"/>
    </row>
    <row r="15" spans="2:12" x14ac:dyDescent="0.3">
      <c r="F15" s="48"/>
    </row>
    <row r="17" spans="6:20" x14ac:dyDescent="0.3">
      <c r="F17" s="49"/>
    </row>
    <row r="18" spans="6:20" x14ac:dyDescent="0.3">
      <c r="K18" s="77" t="s">
        <v>5413</v>
      </c>
      <c r="L18" s="78"/>
      <c r="M18" s="79"/>
      <c r="N18" s="16" t="s">
        <v>5470</v>
      </c>
      <c r="O18" s="16" t="s">
        <v>5458</v>
      </c>
      <c r="P18" s="16" t="s">
        <v>5471</v>
      </c>
      <c r="Q18" s="16" t="s">
        <v>5475</v>
      </c>
      <c r="R18" s="16" t="s">
        <v>5476</v>
      </c>
      <c r="S18" s="16" t="s">
        <v>5477</v>
      </c>
      <c r="T18" s="14" t="s">
        <v>5414</v>
      </c>
    </row>
    <row r="19" spans="6:20" x14ac:dyDescent="0.3">
      <c r="K19" s="21" t="s">
        <v>5419</v>
      </c>
      <c r="L19" s="22"/>
      <c r="M19" s="19"/>
      <c r="N19" s="28">
        <f>N20+N21+N22</f>
        <v>2000000</v>
      </c>
      <c r="O19" s="28">
        <f t="shared" ref="O19:P19" si="0">O20+O21+O22</f>
        <v>2000000</v>
      </c>
      <c r="P19" s="28">
        <f t="shared" si="0"/>
        <v>2005650</v>
      </c>
      <c r="Q19" s="28">
        <f t="shared" ref="Q19" si="1">Q20+Q21+Q22</f>
        <v>2009144.1991012972</v>
      </c>
      <c r="R19" s="28">
        <f t="shared" ref="R19" si="2">R20+R21+R22</f>
        <v>2013016.6563424771</v>
      </c>
      <c r="S19" s="28">
        <f t="shared" ref="S19" si="3">S20+S21+S22</f>
        <v>2017647.1759062507</v>
      </c>
      <c r="T19" s="9" t="s">
        <v>5415</v>
      </c>
    </row>
    <row r="20" spans="6:20" x14ac:dyDescent="0.3">
      <c r="K20" s="82"/>
      <c r="L20" s="71" t="s">
        <v>5423</v>
      </c>
      <c r="M20" s="72"/>
      <c r="N20" s="29">
        <v>500000</v>
      </c>
      <c r="O20" s="29">
        <v>500000</v>
      </c>
      <c r="P20" s="29">
        <v>500000</v>
      </c>
      <c r="Q20" s="29">
        <v>500000</v>
      </c>
      <c r="R20" s="29">
        <v>500000</v>
      </c>
      <c r="S20" s="29">
        <v>500000</v>
      </c>
      <c r="T20" s="15"/>
    </row>
    <row r="21" spans="6:20" x14ac:dyDescent="0.3">
      <c r="K21" s="82"/>
      <c r="L21" s="71" t="s">
        <v>5424</v>
      </c>
      <c r="M21" s="72"/>
      <c r="N21" s="29">
        <v>100000</v>
      </c>
      <c r="O21" s="29">
        <v>100000</v>
      </c>
      <c r="P21" s="29">
        <v>100000</v>
      </c>
      <c r="Q21" s="29">
        <v>100000</v>
      </c>
      <c r="R21" s="29">
        <v>100000</v>
      </c>
      <c r="S21" s="29">
        <v>100000</v>
      </c>
      <c r="T21" s="15"/>
    </row>
    <row r="22" spans="6:20" x14ac:dyDescent="0.3">
      <c r="K22" s="82"/>
      <c r="L22" s="80" t="s">
        <v>5416</v>
      </c>
      <c r="M22" s="81"/>
      <c r="N22" s="28">
        <f t="shared" ref="N22:O22" si="4">N23+N24+N26+N25</f>
        <v>1400000</v>
      </c>
      <c r="O22" s="28">
        <f t="shared" si="4"/>
        <v>1400000</v>
      </c>
      <c r="P22" s="28">
        <f>P23+P24+P26+P25</f>
        <v>1405650</v>
      </c>
      <c r="Q22" s="28">
        <f t="shared" ref="Q22:S22" si="5">Q23+Q24+Q26+Q25</f>
        <v>1409144.1991012972</v>
      </c>
      <c r="R22" s="28">
        <f t="shared" si="5"/>
        <v>1413016.6563424771</v>
      </c>
      <c r="S22" s="28">
        <f t="shared" si="5"/>
        <v>1417647.1759062507</v>
      </c>
      <c r="T22" s="9"/>
    </row>
    <row r="23" spans="6:20" ht="30" x14ac:dyDescent="0.3">
      <c r="K23" s="17"/>
      <c r="L23" s="12"/>
      <c r="M23" s="15" t="s">
        <v>5412</v>
      </c>
      <c r="N23" s="29">
        <v>1300000</v>
      </c>
      <c r="O23" s="29">
        <v>1300000</v>
      </c>
      <c r="P23" s="29">
        <v>1300000</v>
      </c>
      <c r="Q23" s="29">
        <v>1300000</v>
      </c>
      <c r="R23" s="29">
        <v>1300000</v>
      </c>
      <c r="S23" s="29">
        <v>1300000</v>
      </c>
      <c r="T23" s="9"/>
    </row>
    <row r="24" spans="6:20" ht="30" x14ac:dyDescent="0.3">
      <c r="K24" s="17"/>
      <c r="L24" s="12"/>
      <c r="M24" s="15" t="s">
        <v>5411</v>
      </c>
      <c r="N24" s="29">
        <v>100000</v>
      </c>
      <c r="O24" s="29">
        <v>100000</v>
      </c>
      <c r="P24" s="29">
        <v>100000</v>
      </c>
      <c r="Q24" s="29">
        <v>100000</v>
      </c>
      <c r="R24" s="29">
        <v>100000</v>
      </c>
      <c r="S24" s="29">
        <v>100000</v>
      </c>
      <c r="T24" s="32"/>
    </row>
    <row r="25" spans="6:20" x14ac:dyDescent="0.3">
      <c r="K25" s="17"/>
      <c r="L25" s="12"/>
      <c r="M25" s="15" t="s">
        <v>5469</v>
      </c>
      <c r="N25" s="51"/>
      <c r="O25" s="51"/>
      <c r="P25" s="51"/>
      <c r="Q25" s="51"/>
      <c r="R25" s="51"/>
      <c r="S25" s="51"/>
      <c r="T25" s="32"/>
    </row>
    <row r="26" spans="6:20" x14ac:dyDescent="0.3">
      <c r="K26" s="18"/>
      <c r="L26" s="13"/>
      <c r="M26" s="15" t="s">
        <v>5472</v>
      </c>
      <c r="N26" s="51"/>
      <c r="O26" s="51"/>
      <c r="P26" s="51">
        <v>5650</v>
      </c>
      <c r="Q26" s="51">
        <f>K9</f>
        <v>9144.199101297083</v>
      </c>
      <c r="R26" s="51">
        <f>K11</f>
        <v>13016.656342477101</v>
      </c>
      <c r="S26" s="51">
        <f>K13</f>
        <v>17647.175906250748</v>
      </c>
      <c r="T26" s="9"/>
    </row>
    <row r="27" spans="6:20" x14ac:dyDescent="0.3">
      <c r="K27" s="21" t="s">
        <v>5420</v>
      </c>
      <c r="L27" s="22"/>
      <c r="M27" s="20"/>
      <c r="N27" s="28">
        <f t="shared" ref="N27:O27" si="6">N28+N29</f>
        <v>152500</v>
      </c>
      <c r="O27" s="28">
        <f t="shared" si="6"/>
        <v>281650</v>
      </c>
      <c r="P27" s="28">
        <f>P28+P29</f>
        <v>236299.5</v>
      </c>
      <c r="Q27" s="28">
        <f t="shared" ref="Q27:S27" si="7">Q28+Q29</f>
        <v>213657.70995506458</v>
      </c>
      <c r="R27" s="28">
        <f t="shared" si="7"/>
        <v>191034.83281712374</v>
      </c>
      <c r="S27" s="28">
        <f t="shared" si="7"/>
        <v>168449.8587953127</v>
      </c>
      <c r="T27" s="9" t="s">
        <v>5425</v>
      </c>
    </row>
    <row r="28" spans="6:20" x14ac:dyDescent="0.3">
      <c r="K28" s="75"/>
      <c r="L28" s="71" t="s">
        <v>5417</v>
      </c>
      <c r="M28" s="72"/>
      <c r="N28" s="28">
        <f>N19*5%</f>
        <v>100000</v>
      </c>
      <c r="O28" s="28">
        <f t="shared" ref="O28:P28" si="8">O19*5%</f>
        <v>100000</v>
      </c>
      <c r="P28" s="28">
        <f t="shared" si="8"/>
        <v>100282.5</v>
      </c>
      <c r="Q28" s="28">
        <f t="shared" ref="Q28:S28" si="9">Q19*5%</f>
        <v>100457.20995506487</v>
      </c>
      <c r="R28" s="28">
        <f t="shared" si="9"/>
        <v>100650.83281712385</v>
      </c>
      <c r="S28" s="28">
        <f t="shared" si="9"/>
        <v>100882.35879531254</v>
      </c>
      <c r="T28" s="9" t="s">
        <v>5428</v>
      </c>
    </row>
    <row r="29" spans="6:20" ht="30" x14ac:dyDescent="0.3">
      <c r="K29" s="76"/>
      <c r="L29" s="71" t="s">
        <v>5418</v>
      </c>
      <c r="M29" s="72"/>
      <c r="N29" s="28">
        <f>(N19+N28)*2.5%</f>
        <v>52500</v>
      </c>
      <c r="O29" s="52">
        <f>O30-O19-O28</f>
        <v>181650</v>
      </c>
      <c r="P29" s="52">
        <f>P30-P19-P28</f>
        <v>136017</v>
      </c>
      <c r="Q29" s="52">
        <f t="shared" ref="Q29:S29" si="10">Q30-Q19-Q28</f>
        <v>113200.49999999971</v>
      </c>
      <c r="R29" s="52">
        <f t="shared" si="10"/>
        <v>90383.999999999884</v>
      </c>
      <c r="S29" s="52">
        <f t="shared" si="10"/>
        <v>67567.50000000016</v>
      </c>
      <c r="T29" s="9" t="s">
        <v>5429</v>
      </c>
    </row>
    <row r="30" spans="6:20" x14ac:dyDescent="0.3">
      <c r="K30" s="23" t="s">
        <v>5421</v>
      </c>
      <c r="L30" s="24"/>
      <c r="M30" s="25"/>
      <c r="N30" s="28">
        <f>N19+N27</f>
        <v>2152500</v>
      </c>
      <c r="O30" s="52">
        <v>2281650</v>
      </c>
      <c r="P30" s="52">
        <v>2241949.5</v>
      </c>
      <c r="Q30" s="52">
        <v>2222801.9090563618</v>
      </c>
      <c r="R30" s="52">
        <v>2204051.4891596008</v>
      </c>
      <c r="S30" s="52">
        <v>2186097.0347015634</v>
      </c>
      <c r="T30" s="9" t="s">
        <v>5426</v>
      </c>
    </row>
    <row r="31" spans="6:20" x14ac:dyDescent="0.3">
      <c r="K31" s="27" t="s">
        <v>5431</v>
      </c>
      <c r="L31" s="22"/>
      <c r="M31" s="26"/>
      <c r="N31" s="28">
        <f>N30-N19</f>
        <v>152500</v>
      </c>
      <c r="O31" s="52">
        <f>O27</f>
        <v>281650</v>
      </c>
      <c r="P31" s="52">
        <f>P27</f>
        <v>236299.5</v>
      </c>
      <c r="Q31" s="52">
        <f t="shared" ref="Q31:S31" si="11">Q27</f>
        <v>213657.70995506458</v>
      </c>
      <c r="R31" s="52">
        <f t="shared" si="11"/>
        <v>191034.83281712374</v>
      </c>
      <c r="S31" s="52">
        <f t="shared" si="11"/>
        <v>168449.8587953127</v>
      </c>
      <c r="T31" s="9" t="s">
        <v>5427</v>
      </c>
    </row>
    <row r="32" spans="6:20" x14ac:dyDescent="0.3">
      <c r="K32" s="11"/>
      <c r="L32" s="71" t="s">
        <v>5432</v>
      </c>
      <c r="M32" s="72"/>
      <c r="N32" s="30">
        <f>IFERROR((N31/N30),0)</f>
        <v>7.0847851335656215E-2</v>
      </c>
      <c r="O32" s="30">
        <f t="shared" ref="O32:P32" si="12">IFERROR((O31/O30),0)</f>
        <v>0.12344136918458133</v>
      </c>
      <c r="P32" s="30">
        <f t="shared" si="12"/>
        <v>0.10539911804436274</v>
      </c>
      <c r="Q32" s="30">
        <f t="shared" ref="Q32" si="13">IFERROR((Q31/Q30),0)</f>
        <v>9.6120895471863227E-2</v>
      </c>
      <c r="R32" s="30">
        <f t="shared" ref="R32" si="14">IFERROR((R31/R30),0)</f>
        <v>8.6674396563196823E-2</v>
      </c>
      <c r="S32" s="30">
        <f t="shared" ref="S32" si="15">IFERROR((S31/S30),0)</f>
        <v>7.7055069432592119E-2</v>
      </c>
      <c r="T32" s="9" t="s">
        <v>5430</v>
      </c>
    </row>
    <row r="34" spans="11:19" x14ac:dyDescent="0.3">
      <c r="O34" s="2">
        <v>2281650</v>
      </c>
      <c r="P34" s="49">
        <v>0.02</v>
      </c>
      <c r="Q34" s="49">
        <v>0.03</v>
      </c>
      <c r="R34" s="49">
        <v>0.04</v>
      </c>
      <c r="S34" s="49">
        <v>0.05</v>
      </c>
    </row>
    <row r="35" spans="11:19" x14ac:dyDescent="0.3">
      <c r="K35" s="57" t="s">
        <v>5485</v>
      </c>
      <c r="P35" s="2">
        <f>$O$34*P34</f>
        <v>45633</v>
      </c>
      <c r="Q35" s="2">
        <f>$O$34*Q34</f>
        <v>68449.5</v>
      </c>
      <c r="R35" s="2">
        <f>$O$34*R34</f>
        <v>91266</v>
      </c>
      <c r="S35" s="2">
        <f>$O$34*S34</f>
        <v>114082.5</v>
      </c>
    </row>
    <row r="36" spans="11:19" x14ac:dyDescent="0.3">
      <c r="P36" s="48">
        <f>P26</f>
        <v>5650</v>
      </c>
      <c r="Q36" s="48">
        <f t="shared" ref="Q36:S36" si="16">Q26</f>
        <v>9144.199101297083</v>
      </c>
      <c r="R36" s="48">
        <f t="shared" si="16"/>
        <v>13016.656342477101</v>
      </c>
      <c r="S36" s="48">
        <f t="shared" si="16"/>
        <v>17647.175906250748</v>
      </c>
    </row>
    <row r="37" spans="11:19" x14ac:dyDescent="0.3">
      <c r="P37" s="48">
        <f>$O$34-P35</f>
        <v>2236017</v>
      </c>
      <c r="Q37" s="48">
        <f>$O$34-Q35</f>
        <v>2213200.5</v>
      </c>
      <c r="R37" s="48">
        <f>$O$34-R35</f>
        <v>2190384</v>
      </c>
      <c r="S37" s="48">
        <f>$O$34-S35</f>
        <v>2167567.5</v>
      </c>
    </row>
    <row r="39" spans="11:19" x14ac:dyDescent="0.3">
      <c r="N39" s="48">
        <f>S30-N30</f>
        <v>33597.034701563418</v>
      </c>
      <c r="P39" s="2">
        <f>$O$34+P36*105%</f>
        <v>2287582.5</v>
      </c>
      <c r="Q39" s="2">
        <f t="shared" ref="Q39:S39" si="17">$O$34+Q36*105%</f>
        <v>2291251.4090563618</v>
      </c>
      <c r="R39" s="2">
        <f t="shared" si="17"/>
        <v>2295317.4891596008</v>
      </c>
      <c r="S39" s="2">
        <f t="shared" si="17"/>
        <v>2300179.5347015634</v>
      </c>
    </row>
    <row r="40" spans="11:19" x14ac:dyDescent="0.3">
      <c r="N40">
        <f>N39/N30*100</f>
        <v>1.5608378490854085</v>
      </c>
      <c r="P40" s="48">
        <f>P39-P35</f>
        <v>2241949.5</v>
      </c>
      <c r="Q40" s="48">
        <f t="shared" ref="Q40:S40" si="18">Q39-Q35</f>
        <v>2222801.9090563618</v>
      </c>
      <c r="R40" s="48">
        <f t="shared" si="18"/>
        <v>2204051.4891596008</v>
      </c>
      <c r="S40" s="48">
        <f t="shared" si="18"/>
        <v>2186097.0347015634</v>
      </c>
    </row>
    <row r="42" spans="11:19" x14ac:dyDescent="0.3">
      <c r="N42" s="48">
        <f>N30*106%</f>
        <v>2281650</v>
      </c>
    </row>
  </sheetData>
  <mergeCells count="9">
    <mergeCell ref="K28:K29"/>
    <mergeCell ref="L28:M28"/>
    <mergeCell ref="L29:M29"/>
    <mergeCell ref="L32:M32"/>
    <mergeCell ref="K18:M18"/>
    <mergeCell ref="K20:K22"/>
    <mergeCell ref="L20:M20"/>
    <mergeCell ref="L21:M21"/>
    <mergeCell ref="L22:M2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A10E5-B1BE-4023-AA50-34A3B4A506DD}">
  <sheetPr codeName="Sheet2"/>
  <dimension ref="A1:I3553"/>
  <sheetViews>
    <sheetView workbookViewId="0">
      <pane ySplit="1" topLeftCell="A2" activePane="bottomLeft" state="frozen"/>
      <selection activeCell="F1" sqref="F1"/>
      <selection pane="bottomLeft" activeCell="H26" sqref="H26"/>
    </sheetView>
  </sheetViews>
  <sheetFormatPr defaultRowHeight="16.5" x14ac:dyDescent="0.3"/>
  <cols>
    <col min="1" max="1" width="11" style="5" bestFit="1" customWidth="1"/>
    <col min="2" max="2" width="18.625" style="5" customWidth="1"/>
    <col min="3" max="3" width="9" style="5"/>
    <col min="4" max="4" width="17" style="5" customWidth="1"/>
    <col min="5" max="5" width="22.75" customWidth="1"/>
    <col min="6" max="6" width="15.5" bestFit="1" customWidth="1"/>
    <col min="7" max="7" width="7.125" bestFit="1" customWidth="1"/>
    <col min="8" max="8" width="20.375" customWidth="1"/>
    <col min="9" max="9" width="17.875" style="2" bestFit="1" customWidth="1"/>
  </cols>
  <sheetData>
    <row r="1" spans="1:9" s="4" customForma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5">
        <v>10065</v>
      </c>
      <c r="B2" s="5" t="s">
        <v>9</v>
      </c>
      <c r="C2" s="5">
        <v>1</v>
      </c>
      <c r="D2" s="5" t="s">
        <v>10</v>
      </c>
      <c r="E2" t="s">
        <v>11</v>
      </c>
      <c r="F2" t="s">
        <v>12</v>
      </c>
      <c r="G2">
        <v>0</v>
      </c>
      <c r="H2" t="s">
        <v>13</v>
      </c>
      <c r="I2" s="2">
        <v>12900</v>
      </c>
    </row>
    <row r="3" spans="1:9" x14ac:dyDescent="0.3">
      <c r="A3" s="5">
        <v>10065</v>
      </c>
      <c r="B3" s="5" t="s">
        <v>9</v>
      </c>
      <c r="C3" s="5">
        <v>1</v>
      </c>
      <c r="D3" s="5" t="s">
        <v>10</v>
      </c>
      <c r="E3" t="s">
        <v>11</v>
      </c>
      <c r="F3" t="s">
        <v>12</v>
      </c>
      <c r="G3">
        <v>0</v>
      </c>
      <c r="H3" t="s">
        <v>14</v>
      </c>
      <c r="I3" s="2">
        <v>12900</v>
      </c>
    </row>
    <row r="4" spans="1:9" x14ac:dyDescent="0.3">
      <c r="A4" s="5">
        <v>10064</v>
      </c>
      <c r="B4" s="5" t="s">
        <v>15</v>
      </c>
      <c r="C4" s="5">
        <v>1</v>
      </c>
      <c r="D4" s="5" t="s">
        <v>10</v>
      </c>
      <c r="E4" t="s">
        <v>16</v>
      </c>
      <c r="F4" t="s">
        <v>17</v>
      </c>
      <c r="G4">
        <v>0</v>
      </c>
      <c r="H4" t="s">
        <v>18</v>
      </c>
      <c r="I4" s="2">
        <v>6000</v>
      </c>
    </row>
    <row r="5" spans="1:9" x14ac:dyDescent="0.3">
      <c r="A5" s="5">
        <v>10064</v>
      </c>
      <c r="B5" s="5" t="s">
        <v>15</v>
      </c>
      <c r="C5" s="5">
        <v>1</v>
      </c>
      <c r="D5" s="5" t="s">
        <v>10</v>
      </c>
      <c r="E5" t="s">
        <v>16</v>
      </c>
      <c r="F5" t="s">
        <v>17</v>
      </c>
      <c r="G5">
        <v>0</v>
      </c>
      <c r="H5" t="s">
        <v>19</v>
      </c>
      <c r="I5" s="2">
        <v>7000</v>
      </c>
    </row>
    <row r="6" spans="1:9" x14ac:dyDescent="0.3">
      <c r="A6" s="5">
        <v>10064</v>
      </c>
      <c r="B6" s="5" t="s">
        <v>15</v>
      </c>
      <c r="C6" s="5">
        <v>1</v>
      </c>
      <c r="D6" s="5" t="s">
        <v>10</v>
      </c>
      <c r="E6" t="s">
        <v>16</v>
      </c>
      <c r="F6" t="s">
        <v>17</v>
      </c>
      <c r="G6">
        <v>0</v>
      </c>
      <c r="H6" t="s">
        <v>20</v>
      </c>
      <c r="I6" s="2">
        <v>6000</v>
      </c>
    </row>
    <row r="7" spans="1:9" x14ac:dyDescent="0.3">
      <c r="A7" s="5">
        <v>10064</v>
      </c>
      <c r="B7" s="5" t="s">
        <v>15</v>
      </c>
      <c r="C7" s="5">
        <v>1</v>
      </c>
      <c r="D7" s="5" t="s">
        <v>10</v>
      </c>
      <c r="E7" t="s">
        <v>16</v>
      </c>
      <c r="F7" t="s">
        <v>17</v>
      </c>
      <c r="G7">
        <v>0</v>
      </c>
      <c r="H7" t="s">
        <v>21</v>
      </c>
      <c r="I7" s="2">
        <v>5000</v>
      </c>
    </row>
    <row r="8" spans="1:9" x14ac:dyDescent="0.3">
      <c r="A8" s="5">
        <v>10063</v>
      </c>
      <c r="B8" s="5" t="s">
        <v>22</v>
      </c>
      <c r="C8" s="5">
        <v>1</v>
      </c>
      <c r="D8" s="5" t="s">
        <v>10</v>
      </c>
      <c r="E8" t="s">
        <v>23</v>
      </c>
      <c r="F8" t="s">
        <v>24</v>
      </c>
      <c r="G8">
        <v>0</v>
      </c>
      <c r="H8" t="s">
        <v>13</v>
      </c>
      <c r="I8" s="2">
        <v>15000</v>
      </c>
    </row>
    <row r="9" spans="1:9" x14ac:dyDescent="0.3">
      <c r="A9" s="5">
        <v>10063</v>
      </c>
      <c r="B9" s="5" t="s">
        <v>22</v>
      </c>
      <c r="C9" s="5">
        <v>1</v>
      </c>
      <c r="D9" s="5" t="s">
        <v>10</v>
      </c>
      <c r="E9" t="s">
        <v>23</v>
      </c>
      <c r="F9" t="s">
        <v>24</v>
      </c>
      <c r="G9">
        <v>0</v>
      </c>
      <c r="H9" t="s">
        <v>25</v>
      </c>
      <c r="I9" s="2">
        <v>18000</v>
      </c>
    </row>
    <row r="10" spans="1:9" x14ac:dyDescent="0.3">
      <c r="A10" s="5">
        <v>10061</v>
      </c>
      <c r="B10" s="5" t="s">
        <v>26</v>
      </c>
      <c r="C10" s="5">
        <v>13</v>
      </c>
      <c r="D10" s="5" t="s">
        <v>27</v>
      </c>
      <c r="E10" t="s">
        <v>28</v>
      </c>
      <c r="F10" t="s">
        <v>29</v>
      </c>
      <c r="G10">
        <v>0</v>
      </c>
      <c r="H10" t="s">
        <v>30</v>
      </c>
      <c r="I10" s="2">
        <v>6000</v>
      </c>
    </row>
    <row r="11" spans="1:9" x14ac:dyDescent="0.3">
      <c r="A11" s="5">
        <v>10060</v>
      </c>
      <c r="B11" s="5" t="s">
        <v>31</v>
      </c>
      <c r="C11" s="5">
        <v>1</v>
      </c>
      <c r="D11" s="5" t="s">
        <v>10</v>
      </c>
      <c r="E11" t="s">
        <v>32</v>
      </c>
      <c r="F11" t="s">
        <v>33</v>
      </c>
      <c r="G11">
        <v>0</v>
      </c>
      <c r="H11" t="s">
        <v>34</v>
      </c>
      <c r="I11" s="2">
        <v>9000</v>
      </c>
    </row>
    <row r="12" spans="1:9" x14ac:dyDescent="0.3">
      <c r="A12" s="5">
        <v>10060</v>
      </c>
      <c r="B12" s="5" t="s">
        <v>31</v>
      </c>
      <c r="C12" s="5">
        <v>1</v>
      </c>
      <c r="D12" s="5" t="s">
        <v>10</v>
      </c>
      <c r="E12" t="s">
        <v>32</v>
      </c>
      <c r="F12" t="s">
        <v>33</v>
      </c>
      <c r="G12">
        <v>0</v>
      </c>
      <c r="H12" t="s">
        <v>35</v>
      </c>
      <c r="I12" s="2">
        <v>8000</v>
      </c>
    </row>
    <row r="13" spans="1:9" x14ac:dyDescent="0.3">
      <c r="A13" s="5">
        <v>10060</v>
      </c>
      <c r="B13" s="5" t="s">
        <v>31</v>
      </c>
      <c r="C13" s="5">
        <v>1</v>
      </c>
      <c r="D13" s="5" t="s">
        <v>10</v>
      </c>
      <c r="E13" t="s">
        <v>32</v>
      </c>
      <c r="F13" t="s">
        <v>33</v>
      </c>
      <c r="G13">
        <v>0</v>
      </c>
      <c r="H13" t="s">
        <v>36</v>
      </c>
      <c r="I13" s="2">
        <v>9000</v>
      </c>
    </row>
    <row r="14" spans="1:9" x14ac:dyDescent="0.3">
      <c r="A14" s="5">
        <v>10060</v>
      </c>
      <c r="B14" s="5" t="s">
        <v>31</v>
      </c>
      <c r="C14" s="5">
        <v>1</v>
      </c>
      <c r="D14" s="5" t="s">
        <v>10</v>
      </c>
      <c r="E14" t="s">
        <v>32</v>
      </c>
      <c r="F14" t="s">
        <v>33</v>
      </c>
      <c r="G14">
        <v>0</v>
      </c>
      <c r="H14" t="s">
        <v>37</v>
      </c>
      <c r="I14" s="2">
        <v>7000</v>
      </c>
    </row>
    <row r="15" spans="1:9" x14ac:dyDescent="0.3">
      <c r="A15" s="5">
        <v>10059</v>
      </c>
      <c r="B15" s="5" t="s">
        <v>38</v>
      </c>
      <c r="C15" s="5">
        <v>4</v>
      </c>
      <c r="D15" s="5" t="s">
        <v>39</v>
      </c>
      <c r="E15" t="s">
        <v>40</v>
      </c>
      <c r="F15">
        <v>7041233899</v>
      </c>
      <c r="G15">
        <v>0</v>
      </c>
      <c r="H15" t="s">
        <v>41</v>
      </c>
      <c r="I15" s="2">
        <v>3600</v>
      </c>
    </row>
    <row r="16" spans="1:9" x14ac:dyDescent="0.3">
      <c r="A16" s="5">
        <v>10059</v>
      </c>
      <c r="B16" s="5" t="s">
        <v>38</v>
      </c>
      <c r="C16" s="5">
        <v>4</v>
      </c>
      <c r="D16" s="5" t="s">
        <v>39</v>
      </c>
      <c r="E16" t="s">
        <v>40</v>
      </c>
      <c r="F16">
        <v>7041233899</v>
      </c>
      <c r="G16">
        <v>0</v>
      </c>
      <c r="H16" t="s">
        <v>42</v>
      </c>
      <c r="I16" s="2">
        <v>3800</v>
      </c>
    </row>
    <row r="17" spans="1:9" x14ac:dyDescent="0.3">
      <c r="A17" s="5">
        <v>10058</v>
      </c>
      <c r="B17" s="5" t="s">
        <v>43</v>
      </c>
      <c r="C17" s="5">
        <v>3</v>
      </c>
      <c r="D17" s="5" t="s">
        <v>44</v>
      </c>
      <c r="E17" t="s">
        <v>45</v>
      </c>
      <c r="F17" t="s">
        <v>46</v>
      </c>
      <c r="G17">
        <v>0</v>
      </c>
      <c r="H17" t="s">
        <v>47</v>
      </c>
      <c r="I17" s="2">
        <v>8900</v>
      </c>
    </row>
    <row r="18" spans="1:9" x14ac:dyDescent="0.3">
      <c r="A18" s="5">
        <v>10058</v>
      </c>
      <c r="B18" s="5" t="s">
        <v>43</v>
      </c>
      <c r="C18" s="5">
        <v>3</v>
      </c>
      <c r="D18" s="5" t="s">
        <v>44</v>
      </c>
      <c r="E18" t="s">
        <v>45</v>
      </c>
      <c r="F18" t="s">
        <v>46</v>
      </c>
      <c r="G18">
        <v>0</v>
      </c>
      <c r="H18" t="s">
        <v>48</v>
      </c>
      <c r="I18" s="2">
        <v>7900</v>
      </c>
    </row>
    <row r="19" spans="1:9" x14ac:dyDescent="0.3">
      <c r="A19" s="5">
        <v>10058</v>
      </c>
      <c r="B19" s="5" t="s">
        <v>43</v>
      </c>
      <c r="C19" s="5">
        <v>3</v>
      </c>
      <c r="D19" s="5" t="s">
        <v>44</v>
      </c>
      <c r="E19" t="s">
        <v>45</v>
      </c>
      <c r="F19" t="s">
        <v>46</v>
      </c>
      <c r="G19">
        <v>0</v>
      </c>
      <c r="H19" t="s">
        <v>49</v>
      </c>
      <c r="I19" s="2">
        <v>6900</v>
      </c>
    </row>
    <row r="20" spans="1:9" x14ac:dyDescent="0.3">
      <c r="A20" s="5">
        <v>10058</v>
      </c>
      <c r="B20" s="5" t="s">
        <v>43</v>
      </c>
      <c r="C20" s="5">
        <v>3</v>
      </c>
      <c r="D20" s="5" t="s">
        <v>44</v>
      </c>
      <c r="E20" t="s">
        <v>45</v>
      </c>
      <c r="F20" t="s">
        <v>46</v>
      </c>
      <c r="G20">
        <v>0</v>
      </c>
      <c r="H20" t="s">
        <v>50</v>
      </c>
      <c r="I20" s="2">
        <v>9900</v>
      </c>
    </row>
    <row r="21" spans="1:9" x14ac:dyDescent="0.3">
      <c r="A21" s="5">
        <v>10057</v>
      </c>
      <c r="B21" s="5" t="s">
        <v>51</v>
      </c>
      <c r="C21" s="5">
        <v>1</v>
      </c>
      <c r="D21" s="5" t="s">
        <v>10</v>
      </c>
      <c r="E21" t="s">
        <v>52</v>
      </c>
      <c r="F21" t="s">
        <v>53</v>
      </c>
      <c r="G21">
        <v>0</v>
      </c>
      <c r="H21" t="s">
        <v>54</v>
      </c>
      <c r="I21" s="2">
        <v>15000</v>
      </c>
    </row>
    <row r="22" spans="1:9" x14ac:dyDescent="0.3">
      <c r="A22" s="5">
        <v>10057</v>
      </c>
      <c r="B22" s="5" t="s">
        <v>51</v>
      </c>
      <c r="C22" s="5">
        <v>1</v>
      </c>
      <c r="D22" s="5" t="s">
        <v>10</v>
      </c>
      <c r="E22" t="s">
        <v>52</v>
      </c>
      <c r="F22" t="s">
        <v>53</v>
      </c>
      <c r="G22">
        <v>0</v>
      </c>
      <c r="H22" t="s">
        <v>55</v>
      </c>
      <c r="I22" s="2">
        <v>9000</v>
      </c>
    </row>
    <row r="23" spans="1:9" x14ac:dyDescent="0.3">
      <c r="A23" s="5">
        <v>10057</v>
      </c>
      <c r="B23" s="5" t="s">
        <v>51</v>
      </c>
      <c r="C23" s="5">
        <v>1</v>
      </c>
      <c r="D23" s="5" t="s">
        <v>10</v>
      </c>
      <c r="E23" t="s">
        <v>52</v>
      </c>
      <c r="F23" t="s">
        <v>53</v>
      </c>
      <c r="G23">
        <v>0</v>
      </c>
      <c r="H23" t="s">
        <v>56</v>
      </c>
      <c r="I23" s="2">
        <v>9000</v>
      </c>
    </row>
    <row r="24" spans="1:9" x14ac:dyDescent="0.3">
      <c r="A24" s="5">
        <v>10057</v>
      </c>
      <c r="B24" s="5" t="s">
        <v>51</v>
      </c>
      <c r="C24" s="5">
        <v>1</v>
      </c>
      <c r="D24" s="5" t="s">
        <v>10</v>
      </c>
      <c r="E24" t="s">
        <v>52</v>
      </c>
      <c r="F24" t="s">
        <v>53</v>
      </c>
      <c r="G24">
        <v>0</v>
      </c>
      <c r="H24" t="s">
        <v>57</v>
      </c>
      <c r="I24" s="2">
        <v>8000</v>
      </c>
    </row>
    <row r="25" spans="1:9" x14ac:dyDescent="0.3">
      <c r="A25" s="5">
        <v>10056</v>
      </c>
      <c r="B25" s="5" t="s">
        <v>58</v>
      </c>
      <c r="C25" s="5">
        <v>3</v>
      </c>
      <c r="D25" s="5" t="s">
        <v>44</v>
      </c>
      <c r="E25" t="s">
        <v>59</v>
      </c>
      <c r="G25">
        <v>0</v>
      </c>
      <c r="H25" t="s">
        <v>60</v>
      </c>
      <c r="I25" s="2">
        <v>26000</v>
      </c>
    </row>
    <row r="26" spans="1:9" x14ac:dyDescent="0.3">
      <c r="A26" s="5">
        <v>10056</v>
      </c>
      <c r="B26" s="5" t="s">
        <v>58</v>
      </c>
      <c r="C26" s="5">
        <v>3</v>
      </c>
      <c r="D26" s="5" t="s">
        <v>44</v>
      </c>
      <c r="E26" t="s">
        <v>59</v>
      </c>
      <c r="G26">
        <v>0</v>
      </c>
      <c r="H26" t="s">
        <v>61</v>
      </c>
      <c r="I26" s="2">
        <v>28000</v>
      </c>
    </row>
    <row r="27" spans="1:9" x14ac:dyDescent="0.3">
      <c r="A27" s="5">
        <v>10055</v>
      </c>
      <c r="B27" s="5" t="s">
        <v>62</v>
      </c>
      <c r="C27" s="5">
        <v>5</v>
      </c>
      <c r="D27" s="5" t="s">
        <v>63</v>
      </c>
      <c r="E27" t="s">
        <v>64</v>
      </c>
      <c r="F27" t="s">
        <v>65</v>
      </c>
      <c r="G27">
        <v>0</v>
      </c>
      <c r="H27" t="s">
        <v>66</v>
      </c>
      <c r="I27" s="2">
        <v>14000</v>
      </c>
    </row>
    <row r="28" spans="1:9" x14ac:dyDescent="0.3">
      <c r="A28" s="5">
        <v>10055</v>
      </c>
      <c r="B28" s="5" t="s">
        <v>62</v>
      </c>
      <c r="C28" s="5">
        <v>5</v>
      </c>
      <c r="D28" s="5" t="s">
        <v>63</v>
      </c>
      <c r="E28" t="s">
        <v>64</v>
      </c>
      <c r="F28" t="s">
        <v>65</v>
      </c>
      <c r="G28">
        <v>0</v>
      </c>
      <c r="H28" t="s">
        <v>67</v>
      </c>
      <c r="I28" s="2">
        <v>8000</v>
      </c>
    </row>
    <row r="29" spans="1:9" x14ac:dyDescent="0.3">
      <c r="A29" s="5">
        <v>10054</v>
      </c>
      <c r="B29" s="5" t="s">
        <v>68</v>
      </c>
      <c r="C29" s="5">
        <v>1</v>
      </c>
      <c r="D29" s="5" t="s">
        <v>10</v>
      </c>
      <c r="E29" t="s">
        <v>69</v>
      </c>
      <c r="F29" t="s">
        <v>70</v>
      </c>
      <c r="G29">
        <v>0</v>
      </c>
      <c r="H29" t="s">
        <v>71</v>
      </c>
      <c r="I29" s="2">
        <v>5000</v>
      </c>
    </row>
    <row r="30" spans="1:9" x14ac:dyDescent="0.3">
      <c r="A30" s="5">
        <v>10053</v>
      </c>
      <c r="B30" s="5" t="s">
        <v>72</v>
      </c>
      <c r="C30" s="5">
        <v>13</v>
      </c>
      <c r="D30" s="5" t="s">
        <v>27</v>
      </c>
      <c r="E30" t="s">
        <v>73</v>
      </c>
      <c r="F30" t="s">
        <v>74</v>
      </c>
      <c r="G30">
        <v>0</v>
      </c>
      <c r="H30" t="s">
        <v>75</v>
      </c>
      <c r="I30" s="2">
        <v>90000</v>
      </c>
    </row>
    <row r="31" spans="1:9" x14ac:dyDescent="0.3">
      <c r="A31" s="5">
        <v>10053</v>
      </c>
      <c r="B31" s="5" t="s">
        <v>72</v>
      </c>
      <c r="C31" s="5">
        <v>13</v>
      </c>
      <c r="D31" s="5" t="s">
        <v>27</v>
      </c>
      <c r="E31" t="s">
        <v>73</v>
      </c>
      <c r="F31" t="s">
        <v>74</v>
      </c>
      <c r="G31">
        <v>0</v>
      </c>
      <c r="H31" t="s">
        <v>76</v>
      </c>
      <c r="I31" s="2">
        <v>80000</v>
      </c>
    </row>
    <row r="32" spans="1:9" x14ac:dyDescent="0.3">
      <c r="A32" s="5">
        <v>10052</v>
      </c>
      <c r="B32" s="5" t="s">
        <v>77</v>
      </c>
      <c r="C32" s="5">
        <v>4</v>
      </c>
      <c r="D32" s="5" t="s">
        <v>39</v>
      </c>
      <c r="E32" t="s">
        <v>78</v>
      </c>
      <c r="F32" t="s">
        <v>79</v>
      </c>
      <c r="G32">
        <v>0</v>
      </c>
      <c r="H32" t="s">
        <v>80</v>
      </c>
      <c r="I32" s="2">
        <v>3000</v>
      </c>
    </row>
    <row r="33" spans="1:9" x14ac:dyDescent="0.3">
      <c r="A33" s="5">
        <v>10051</v>
      </c>
      <c r="B33" s="5" t="s">
        <v>81</v>
      </c>
      <c r="C33" s="5">
        <v>1</v>
      </c>
      <c r="D33" s="5" t="s">
        <v>10</v>
      </c>
      <c r="E33" t="s">
        <v>82</v>
      </c>
      <c r="F33" t="s">
        <v>83</v>
      </c>
      <c r="G33">
        <v>0</v>
      </c>
      <c r="H33" t="s">
        <v>84</v>
      </c>
      <c r="I33" s="2">
        <v>8000</v>
      </c>
    </row>
    <row r="34" spans="1:9" x14ac:dyDescent="0.3">
      <c r="A34" s="5">
        <v>10050</v>
      </c>
      <c r="B34" s="5" t="s">
        <v>85</v>
      </c>
      <c r="C34" s="5">
        <v>5</v>
      </c>
      <c r="D34" s="5" t="s">
        <v>63</v>
      </c>
      <c r="E34" t="s">
        <v>86</v>
      </c>
      <c r="F34" t="s">
        <v>87</v>
      </c>
      <c r="G34">
        <v>0</v>
      </c>
      <c r="H34" t="s">
        <v>67</v>
      </c>
      <c r="I34" s="2">
        <v>13000</v>
      </c>
    </row>
    <row r="35" spans="1:9" x14ac:dyDescent="0.3">
      <c r="A35" s="5">
        <v>10050</v>
      </c>
      <c r="B35" s="5" t="s">
        <v>85</v>
      </c>
      <c r="C35" s="5">
        <v>5</v>
      </c>
      <c r="D35" s="5" t="s">
        <v>63</v>
      </c>
      <c r="E35" t="s">
        <v>86</v>
      </c>
      <c r="F35" t="s">
        <v>87</v>
      </c>
      <c r="G35">
        <v>0</v>
      </c>
      <c r="H35" t="s">
        <v>88</v>
      </c>
      <c r="I35" s="2">
        <v>35000</v>
      </c>
    </row>
    <row r="36" spans="1:9" x14ac:dyDescent="0.3">
      <c r="A36" s="5">
        <v>10049</v>
      </c>
      <c r="B36" s="5" t="s">
        <v>89</v>
      </c>
      <c r="C36" s="5">
        <v>1</v>
      </c>
      <c r="D36" s="5" t="s">
        <v>10</v>
      </c>
      <c r="E36" t="s">
        <v>90</v>
      </c>
      <c r="F36" t="s">
        <v>91</v>
      </c>
      <c r="G36">
        <v>0</v>
      </c>
      <c r="H36" t="s">
        <v>92</v>
      </c>
      <c r="I36" s="2">
        <v>6000</v>
      </c>
    </row>
    <row r="37" spans="1:9" x14ac:dyDescent="0.3">
      <c r="A37" s="5">
        <v>10049</v>
      </c>
      <c r="B37" s="5" t="s">
        <v>89</v>
      </c>
      <c r="C37" s="5">
        <v>1</v>
      </c>
      <c r="D37" s="5" t="s">
        <v>10</v>
      </c>
      <c r="E37" t="s">
        <v>90</v>
      </c>
      <c r="F37" t="s">
        <v>91</v>
      </c>
      <c r="G37">
        <v>0</v>
      </c>
      <c r="H37" t="s">
        <v>21</v>
      </c>
      <c r="I37" s="2">
        <v>7000</v>
      </c>
    </row>
    <row r="38" spans="1:9" x14ac:dyDescent="0.3">
      <c r="A38" s="5">
        <v>10048</v>
      </c>
      <c r="B38" s="5" t="s">
        <v>93</v>
      </c>
      <c r="C38" s="5">
        <v>1</v>
      </c>
      <c r="D38" s="5" t="s">
        <v>10</v>
      </c>
      <c r="E38" t="s">
        <v>94</v>
      </c>
      <c r="G38">
        <v>0</v>
      </c>
      <c r="H38" t="s">
        <v>95</v>
      </c>
      <c r="I38" s="2">
        <v>6000</v>
      </c>
    </row>
    <row r="39" spans="1:9" x14ac:dyDescent="0.3">
      <c r="A39" s="5">
        <v>10048</v>
      </c>
      <c r="B39" s="5" t="s">
        <v>93</v>
      </c>
      <c r="C39" s="5">
        <v>1</v>
      </c>
      <c r="D39" s="5" t="s">
        <v>10</v>
      </c>
      <c r="E39" t="s">
        <v>94</v>
      </c>
      <c r="G39">
        <v>0</v>
      </c>
      <c r="H39" t="s">
        <v>93</v>
      </c>
      <c r="I39" s="2">
        <v>5500</v>
      </c>
    </row>
    <row r="40" spans="1:9" x14ac:dyDescent="0.3">
      <c r="A40" s="5">
        <v>10047</v>
      </c>
      <c r="B40" s="5" t="s">
        <v>96</v>
      </c>
      <c r="C40" s="5">
        <v>1</v>
      </c>
      <c r="D40" s="5" t="s">
        <v>10</v>
      </c>
      <c r="E40" t="s">
        <v>97</v>
      </c>
      <c r="F40" t="s">
        <v>98</v>
      </c>
      <c r="G40">
        <v>0</v>
      </c>
      <c r="H40" t="s">
        <v>99</v>
      </c>
      <c r="I40" s="2">
        <v>6500</v>
      </c>
    </row>
    <row r="41" spans="1:9" x14ac:dyDescent="0.3">
      <c r="A41" s="5">
        <v>10047</v>
      </c>
      <c r="B41" s="5" t="s">
        <v>96</v>
      </c>
      <c r="C41" s="5">
        <v>1</v>
      </c>
      <c r="D41" s="5" t="s">
        <v>10</v>
      </c>
      <c r="E41" t="s">
        <v>97</v>
      </c>
      <c r="F41" t="s">
        <v>98</v>
      </c>
      <c r="G41">
        <v>0</v>
      </c>
      <c r="H41" t="s">
        <v>100</v>
      </c>
      <c r="I41" s="2">
        <v>6500</v>
      </c>
    </row>
    <row r="42" spans="1:9" x14ac:dyDescent="0.3">
      <c r="A42" s="5">
        <v>10046</v>
      </c>
      <c r="B42" s="5" t="s">
        <v>101</v>
      </c>
      <c r="C42" s="5">
        <v>5</v>
      </c>
      <c r="D42" s="5" t="s">
        <v>63</v>
      </c>
      <c r="E42" t="s">
        <v>102</v>
      </c>
      <c r="F42" t="s">
        <v>103</v>
      </c>
      <c r="G42">
        <v>0</v>
      </c>
      <c r="H42" t="s">
        <v>88</v>
      </c>
      <c r="I42" s="2">
        <v>25000</v>
      </c>
    </row>
    <row r="43" spans="1:9" x14ac:dyDescent="0.3">
      <c r="A43" s="5">
        <v>10046</v>
      </c>
      <c r="B43" s="5" t="s">
        <v>101</v>
      </c>
      <c r="C43" s="5">
        <v>5</v>
      </c>
      <c r="D43" s="5" t="s">
        <v>63</v>
      </c>
      <c r="E43" t="s">
        <v>102</v>
      </c>
      <c r="F43" t="s">
        <v>103</v>
      </c>
      <c r="G43">
        <v>0</v>
      </c>
      <c r="H43" t="s">
        <v>67</v>
      </c>
      <c r="I43" s="2">
        <v>8000</v>
      </c>
    </row>
    <row r="44" spans="1:9" x14ac:dyDescent="0.3">
      <c r="A44" s="5">
        <v>10045</v>
      </c>
      <c r="B44" s="5" t="s">
        <v>104</v>
      </c>
      <c r="C44" s="5">
        <v>5</v>
      </c>
      <c r="D44" s="5" t="s">
        <v>63</v>
      </c>
      <c r="E44" t="s">
        <v>105</v>
      </c>
      <c r="F44" t="s">
        <v>106</v>
      </c>
      <c r="G44">
        <v>0</v>
      </c>
      <c r="H44" t="s">
        <v>67</v>
      </c>
      <c r="I44" s="2">
        <v>5000</v>
      </c>
    </row>
    <row r="45" spans="1:9" x14ac:dyDescent="0.3">
      <c r="A45" s="5">
        <v>10044</v>
      </c>
      <c r="B45" s="5" t="s">
        <v>107</v>
      </c>
      <c r="C45" s="5">
        <v>4</v>
      </c>
      <c r="D45" s="5" t="s">
        <v>39</v>
      </c>
      <c r="E45" t="s">
        <v>108</v>
      </c>
      <c r="G45">
        <v>0</v>
      </c>
      <c r="H45" t="s">
        <v>109</v>
      </c>
      <c r="I45" s="2">
        <v>3000</v>
      </c>
    </row>
    <row r="46" spans="1:9" x14ac:dyDescent="0.3">
      <c r="A46" s="5">
        <v>10044</v>
      </c>
      <c r="B46" s="5" t="s">
        <v>107</v>
      </c>
      <c r="C46" s="5">
        <v>4</v>
      </c>
      <c r="D46" s="5" t="s">
        <v>39</v>
      </c>
      <c r="E46" t="s">
        <v>108</v>
      </c>
      <c r="G46">
        <v>0</v>
      </c>
      <c r="H46" t="s">
        <v>80</v>
      </c>
      <c r="I46" s="2">
        <v>2000</v>
      </c>
    </row>
    <row r="47" spans="1:9" x14ac:dyDescent="0.3">
      <c r="A47" s="5">
        <v>10043</v>
      </c>
      <c r="B47" s="5" t="s">
        <v>110</v>
      </c>
      <c r="C47" s="5">
        <v>4</v>
      </c>
      <c r="D47" s="5" t="s">
        <v>39</v>
      </c>
      <c r="E47" t="s">
        <v>111</v>
      </c>
      <c r="F47" t="s">
        <v>112</v>
      </c>
      <c r="G47">
        <v>0</v>
      </c>
      <c r="H47" t="s">
        <v>80</v>
      </c>
      <c r="I47" s="2">
        <v>2000</v>
      </c>
    </row>
    <row r="48" spans="1:9" x14ac:dyDescent="0.3">
      <c r="A48" s="5">
        <v>10042</v>
      </c>
      <c r="B48" s="5" t="s">
        <v>113</v>
      </c>
      <c r="C48" s="5">
        <v>4</v>
      </c>
      <c r="D48" s="5" t="s">
        <v>39</v>
      </c>
      <c r="E48" t="s">
        <v>114</v>
      </c>
      <c r="G48">
        <v>0</v>
      </c>
      <c r="H48" t="s">
        <v>80</v>
      </c>
      <c r="I48" s="2">
        <v>2000</v>
      </c>
    </row>
    <row r="49" spans="1:9" x14ac:dyDescent="0.3">
      <c r="A49" s="5">
        <v>10041</v>
      </c>
      <c r="B49" s="5" t="s">
        <v>115</v>
      </c>
      <c r="C49" s="5">
        <v>5</v>
      </c>
      <c r="D49" s="5" t="s">
        <v>63</v>
      </c>
      <c r="E49" t="s">
        <v>116</v>
      </c>
      <c r="G49">
        <v>0</v>
      </c>
      <c r="H49" t="s">
        <v>117</v>
      </c>
      <c r="I49" s="2">
        <v>6000</v>
      </c>
    </row>
    <row r="50" spans="1:9" x14ac:dyDescent="0.3">
      <c r="A50" s="5">
        <v>10040</v>
      </c>
      <c r="B50" s="5" t="s">
        <v>118</v>
      </c>
      <c r="C50" s="5">
        <v>1</v>
      </c>
      <c r="D50" s="5" t="s">
        <v>10</v>
      </c>
      <c r="E50" t="s">
        <v>119</v>
      </c>
      <c r="F50">
        <v>220281188</v>
      </c>
      <c r="G50">
        <v>0</v>
      </c>
      <c r="H50" t="s">
        <v>120</v>
      </c>
      <c r="I50" s="2">
        <v>10000</v>
      </c>
    </row>
    <row r="51" spans="1:9" x14ac:dyDescent="0.3">
      <c r="A51" s="5">
        <v>10040</v>
      </c>
      <c r="B51" s="5" t="s">
        <v>118</v>
      </c>
      <c r="C51" s="5">
        <v>1</v>
      </c>
      <c r="D51" s="5" t="s">
        <v>10</v>
      </c>
      <c r="E51" t="s">
        <v>119</v>
      </c>
      <c r="F51">
        <v>220281188</v>
      </c>
      <c r="G51">
        <v>0</v>
      </c>
      <c r="H51" t="s">
        <v>121</v>
      </c>
      <c r="I51" s="2">
        <v>7000</v>
      </c>
    </row>
    <row r="52" spans="1:9" x14ac:dyDescent="0.3">
      <c r="A52" s="5">
        <v>10040</v>
      </c>
      <c r="B52" s="5" t="s">
        <v>118</v>
      </c>
      <c r="C52" s="5">
        <v>1</v>
      </c>
      <c r="D52" s="5" t="s">
        <v>10</v>
      </c>
      <c r="E52" t="s">
        <v>119</v>
      </c>
      <c r="F52">
        <v>220281188</v>
      </c>
      <c r="G52">
        <v>0</v>
      </c>
      <c r="H52" t="s">
        <v>122</v>
      </c>
      <c r="I52" s="2">
        <v>8000</v>
      </c>
    </row>
    <row r="53" spans="1:9" x14ac:dyDescent="0.3">
      <c r="A53" s="5">
        <v>10039</v>
      </c>
      <c r="B53" s="5" t="s">
        <v>123</v>
      </c>
      <c r="C53" s="5">
        <v>1</v>
      </c>
      <c r="D53" s="5" t="s">
        <v>10</v>
      </c>
      <c r="E53" t="s">
        <v>124</v>
      </c>
      <c r="F53" t="s">
        <v>125</v>
      </c>
      <c r="G53">
        <v>0</v>
      </c>
      <c r="H53" t="s">
        <v>126</v>
      </c>
      <c r="I53" s="2">
        <v>7000</v>
      </c>
    </row>
    <row r="54" spans="1:9" x14ac:dyDescent="0.3">
      <c r="A54" s="5">
        <v>10039</v>
      </c>
      <c r="B54" s="5" t="s">
        <v>123</v>
      </c>
      <c r="C54" s="5">
        <v>1</v>
      </c>
      <c r="D54" s="5" t="s">
        <v>10</v>
      </c>
      <c r="E54" t="s">
        <v>124</v>
      </c>
      <c r="F54" t="s">
        <v>125</v>
      </c>
      <c r="G54">
        <v>0</v>
      </c>
      <c r="H54" t="s">
        <v>127</v>
      </c>
      <c r="I54" s="2">
        <v>8000</v>
      </c>
    </row>
    <row r="55" spans="1:9" x14ac:dyDescent="0.3">
      <c r="A55" s="5">
        <v>10039</v>
      </c>
      <c r="B55" s="5" t="s">
        <v>123</v>
      </c>
      <c r="C55" s="5">
        <v>1</v>
      </c>
      <c r="D55" s="5" t="s">
        <v>10</v>
      </c>
      <c r="E55" t="s">
        <v>124</v>
      </c>
      <c r="F55" t="s">
        <v>125</v>
      </c>
      <c r="G55">
        <v>0</v>
      </c>
      <c r="H55" t="s">
        <v>128</v>
      </c>
      <c r="I55" s="2">
        <v>7000</v>
      </c>
    </row>
    <row r="56" spans="1:9" x14ac:dyDescent="0.3">
      <c r="A56" s="5">
        <v>10038</v>
      </c>
      <c r="B56" s="5" t="s">
        <v>129</v>
      </c>
      <c r="C56" s="5">
        <v>1</v>
      </c>
      <c r="D56" s="5" t="s">
        <v>10</v>
      </c>
      <c r="E56" t="s">
        <v>130</v>
      </c>
      <c r="F56" t="s">
        <v>131</v>
      </c>
      <c r="G56">
        <v>0</v>
      </c>
      <c r="H56" t="s">
        <v>132</v>
      </c>
      <c r="I56" s="2">
        <v>8000</v>
      </c>
    </row>
    <row r="57" spans="1:9" x14ac:dyDescent="0.3">
      <c r="A57" s="5">
        <v>10038</v>
      </c>
      <c r="B57" s="5" t="s">
        <v>129</v>
      </c>
      <c r="C57" s="5">
        <v>1</v>
      </c>
      <c r="D57" s="5" t="s">
        <v>10</v>
      </c>
      <c r="E57" t="s">
        <v>130</v>
      </c>
      <c r="F57" t="s">
        <v>131</v>
      </c>
      <c r="G57">
        <v>0</v>
      </c>
      <c r="H57" t="s">
        <v>133</v>
      </c>
      <c r="I57" s="2">
        <v>8000</v>
      </c>
    </row>
    <row r="58" spans="1:9" x14ac:dyDescent="0.3">
      <c r="A58" s="5">
        <v>10038</v>
      </c>
      <c r="B58" s="5" t="s">
        <v>129</v>
      </c>
      <c r="C58" s="5">
        <v>1</v>
      </c>
      <c r="D58" s="5" t="s">
        <v>10</v>
      </c>
      <c r="E58" t="s">
        <v>130</v>
      </c>
      <c r="F58" t="s">
        <v>131</v>
      </c>
      <c r="G58">
        <v>0</v>
      </c>
      <c r="H58" t="s">
        <v>134</v>
      </c>
      <c r="I58" s="2">
        <v>8000</v>
      </c>
    </row>
    <row r="59" spans="1:9" x14ac:dyDescent="0.3">
      <c r="A59" s="5">
        <v>10037</v>
      </c>
      <c r="B59" s="5" t="s">
        <v>135</v>
      </c>
      <c r="C59" s="5">
        <v>1</v>
      </c>
      <c r="D59" s="5" t="s">
        <v>10</v>
      </c>
      <c r="E59" t="s">
        <v>136</v>
      </c>
      <c r="F59" t="s">
        <v>137</v>
      </c>
      <c r="G59">
        <v>0</v>
      </c>
      <c r="H59" t="s">
        <v>133</v>
      </c>
      <c r="I59" s="2">
        <v>7000</v>
      </c>
    </row>
    <row r="60" spans="1:9" x14ac:dyDescent="0.3">
      <c r="A60" s="5">
        <v>10037</v>
      </c>
      <c r="B60" s="5" t="s">
        <v>135</v>
      </c>
      <c r="C60" s="5">
        <v>1</v>
      </c>
      <c r="D60" s="5" t="s">
        <v>10</v>
      </c>
      <c r="E60" t="s">
        <v>136</v>
      </c>
      <c r="F60" t="s">
        <v>137</v>
      </c>
      <c r="G60">
        <v>0</v>
      </c>
      <c r="H60" t="s">
        <v>138</v>
      </c>
      <c r="I60" s="2">
        <v>8000</v>
      </c>
    </row>
    <row r="61" spans="1:9" x14ac:dyDescent="0.3">
      <c r="A61" s="5">
        <v>10037</v>
      </c>
      <c r="B61" s="5" t="s">
        <v>135</v>
      </c>
      <c r="C61" s="5">
        <v>1</v>
      </c>
      <c r="D61" s="5" t="s">
        <v>10</v>
      </c>
      <c r="E61" t="s">
        <v>136</v>
      </c>
      <c r="F61" t="s">
        <v>137</v>
      </c>
      <c r="G61">
        <v>0</v>
      </c>
      <c r="H61" t="s">
        <v>139</v>
      </c>
      <c r="I61" s="2">
        <v>7000</v>
      </c>
    </row>
    <row r="62" spans="1:9" x14ac:dyDescent="0.3">
      <c r="A62" s="5">
        <v>10036</v>
      </c>
      <c r="B62" s="5" t="s">
        <v>140</v>
      </c>
      <c r="C62" s="5">
        <v>1</v>
      </c>
      <c r="D62" s="5" t="s">
        <v>10</v>
      </c>
      <c r="E62" t="s">
        <v>141</v>
      </c>
      <c r="F62" t="s">
        <v>142</v>
      </c>
      <c r="G62">
        <v>0</v>
      </c>
      <c r="H62" t="s">
        <v>143</v>
      </c>
      <c r="I62" s="2">
        <v>8000</v>
      </c>
    </row>
    <row r="63" spans="1:9" x14ac:dyDescent="0.3">
      <c r="A63" s="5">
        <v>10036</v>
      </c>
      <c r="B63" s="5" t="s">
        <v>140</v>
      </c>
      <c r="C63" s="5">
        <v>1</v>
      </c>
      <c r="D63" s="5" t="s">
        <v>10</v>
      </c>
      <c r="E63" t="s">
        <v>141</v>
      </c>
      <c r="F63" t="s">
        <v>142</v>
      </c>
      <c r="G63">
        <v>0</v>
      </c>
      <c r="H63" t="s">
        <v>144</v>
      </c>
      <c r="I63" s="2">
        <v>8000</v>
      </c>
    </row>
    <row r="64" spans="1:9" x14ac:dyDescent="0.3">
      <c r="A64" s="5">
        <v>10036</v>
      </c>
      <c r="B64" s="5" t="s">
        <v>140</v>
      </c>
      <c r="C64" s="5">
        <v>1</v>
      </c>
      <c r="D64" s="5" t="s">
        <v>10</v>
      </c>
      <c r="E64" t="s">
        <v>141</v>
      </c>
      <c r="F64" t="s">
        <v>142</v>
      </c>
      <c r="G64">
        <v>0</v>
      </c>
      <c r="H64" t="s">
        <v>92</v>
      </c>
      <c r="I64" s="2">
        <v>7000</v>
      </c>
    </row>
    <row r="65" spans="1:9" x14ac:dyDescent="0.3">
      <c r="A65" s="5">
        <v>10036</v>
      </c>
      <c r="B65" s="5" t="s">
        <v>140</v>
      </c>
      <c r="C65" s="5">
        <v>1</v>
      </c>
      <c r="D65" s="5" t="s">
        <v>10</v>
      </c>
      <c r="E65" t="s">
        <v>141</v>
      </c>
      <c r="F65" t="s">
        <v>142</v>
      </c>
      <c r="G65">
        <v>0</v>
      </c>
      <c r="H65" t="s">
        <v>145</v>
      </c>
      <c r="I65" s="2">
        <v>6000</v>
      </c>
    </row>
    <row r="66" spans="1:9" x14ac:dyDescent="0.3">
      <c r="A66" s="5">
        <v>10035</v>
      </c>
      <c r="B66" s="5" t="s">
        <v>146</v>
      </c>
      <c r="C66" s="5">
        <v>1</v>
      </c>
      <c r="D66" s="5" t="s">
        <v>10</v>
      </c>
      <c r="E66" t="s">
        <v>147</v>
      </c>
      <c r="F66" t="s">
        <v>148</v>
      </c>
      <c r="G66">
        <v>0</v>
      </c>
      <c r="H66" t="s">
        <v>133</v>
      </c>
      <c r="I66" s="2">
        <v>7000</v>
      </c>
    </row>
    <row r="67" spans="1:9" x14ac:dyDescent="0.3">
      <c r="A67" s="5">
        <v>10035</v>
      </c>
      <c r="B67" s="5" t="s">
        <v>146</v>
      </c>
      <c r="C67" s="5">
        <v>1</v>
      </c>
      <c r="D67" s="5" t="s">
        <v>10</v>
      </c>
      <c r="E67" t="s">
        <v>147</v>
      </c>
      <c r="F67" t="s">
        <v>148</v>
      </c>
      <c r="G67">
        <v>0</v>
      </c>
      <c r="H67" t="s">
        <v>149</v>
      </c>
      <c r="I67" s="2">
        <v>7000</v>
      </c>
    </row>
    <row r="68" spans="1:9" x14ac:dyDescent="0.3">
      <c r="A68" s="5">
        <v>10035</v>
      </c>
      <c r="B68" s="5" t="s">
        <v>146</v>
      </c>
      <c r="C68" s="5">
        <v>1</v>
      </c>
      <c r="D68" s="5" t="s">
        <v>10</v>
      </c>
      <c r="E68" t="s">
        <v>147</v>
      </c>
      <c r="F68" t="s">
        <v>148</v>
      </c>
      <c r="G68">
        <v>0</v>
      </c>
      <c r="H68" t="s">
        <v>57</v>
      </c>
      <c r="I68" s="2">
        <v>8000</v>
      </c>
    </row>
    <row r="69" spans="1:9" x14ac:dyDescent="0.3">
      <c r="A69" s="5">
        <v>10034</v>
      </c>
      <c r="B69" s="5" t="s">
        <v>150</v>
      </c>
      <c r="C69" s="5">
        <v>1</v>
      </c>
      <c r="D69" s="5" t="s">
        <v>10</v>
      </c>
      <c r="E69" t="s">
        <v>151</v>
      </c>
      <c r="F69" t="s">
        <v>152</v>
      </c>
      <c r="G69">
        <v>0</v>
      </c>
      <c r="H69" t="s">
        <v>139</v>
      </c>
      <c r="I69" s="2">
        <v>7000</v>
      </c>
    </row>
    <row r="70" spans="1:9" x14ac:dyDescent="0.3">
      <c r="A70" s="5">
        <v>10034</v>
      </c>
      <c r="B70" s="5" t="s">
        <v>150</v>
      </c>
      <c r="C70" s="5">
        <v>1</v>
      </c>
      <c r="D70" s="5" t="s">
        <v>10</v>
      </c>
      <c r="E70" t="s">
        <v>151</v>
      </c>
      <c r="F70" t="s">
        <v>152</v>
      </c>
      <c r="G70">
        <v>0</v>
      </c>
      <c r="H70" t="s">
        <v>153</v>
      </c>
      <c r="I70" s="2">
        <v>8000</v>
      </c>
    </row>
    <row r="71" spans="1:9" x14ac:dyDescent="0.3">
      <c r="A71" s="5">
        <v>10034</v>
      </c>
      <c r="B71" s="5" t="s">
        <v>150</v>
      </c>
      <c r="C71" s="5">
        <v>1</v>
      </c>
      <c r="D71" s="5" t="s">
        <v>10</v>
      </c>
      <c r="E71" t="s">
        <v>151</v>
      </c>
      <c r="F71" t="s">
        <v>152</v>
      </c>
      <c r="G71">
        <v>0</v>
      </c>
      <c r="H71" t="s">
        <v>37</v>
      </c>
      <c r="I71" s="2">
        <v>8000</v>
      </c>
    </row>
    <row r="72" spans="1:9" x14ac:dyDescent="0.3">
      <c r="A72" s="5">
        <v>10033</v>
      </c>
      <c r="B72" s="5" t="s">
        <v>154</v>
      </c>
      <c r="C72" s="5">
        <v>1</v>
      </c>
      <c r="D72" s="5" t="s">
        <v>10</v>
      </c>
      <c r="E72" t="s">
        <v>155</v>
      </c>
      <c r="F72" t="s">
        <v>156</v>
      </c>
      <c r="G72">
        <v>0</v>
      </c>
      <c r="H72" t="s">
        <v>157</v>
      </c>
      <c r="I72" s="2">
        <v>8000</v>
      </c>
    </row>
    <row r="73" spans="1:9" x14ac:dyDescent="0.3">
      <c r="A73" s="5">
        <v>10033</v>
      </c>
      <c r="B73" s="5" t="s">
        <v>154</v>
      </c>
      <c r="C73" s="5">
        <v>1</v>
      </c>
      <c r="D73" s="5" t="s">
        <v>10</v>
      </c>
      <c r="E73" t="s">
        <v>155</v>
      </c>
      <c r="F73" t="s">
        <v>156</v>
      </c>
      <c r="G73">
        <v>0</v>
      </c>
      <c r="H73" t="s">
        <v>158</v>
      </c>
      <c r="I73" s="2">
        <v>8000</v>
      </c>
    </row>
    <row r="74" spans="1:9" x14ac:dyDescent="0.3">
      <c r="A74" s="5">
        <v>10033</v>
      </c>
      <c r="B74" s="5" t="s">
        <v>154</v>
      </c>
      <c r="C74" s="5">
        <v>1</v>
      </c>
      <c r="D74" s="5" t="s">
        <v>10</v>
      </c>
      <c r="E74" t="s">
        <v>155</v>
      </c>
      <c r="F74" t="s">
        <v>156</v>
      </c>
      <c r="G74">
        <v>0</v>
      </c>
      <c r="H74" t="s">
        <v>159</v>
      </c>
      <c r="I74" s="2">
        <v>8000</v>
      </c>
    </row>
    <row r="75" spans="1:9" x14ac:dyDescent="0.3">
      <c r="A75" s="5">
        <v>10032</v>
      </c>
      <c r="B75" s="5" t="s">
        <v>160</v>
      </c>
      <c r="C75" s="5">
        <v>3</v>
      </c>
      <c r="D75" s="5" t="s">
        <v>44</v>
      </c>
      <c r="E75" t="s">
        <v>161</v>
      </c>
      <c r="F75" t="s">
        <v>162</v>
      </c>
      <c r="G75">
        <v>0</v>
      </c>
      <c r="H75" t="s">
        <v>163</v>
      </c>
      <c r="I75" s="2">
        <v>9000</v>
      </c>
    </row>
    <row r="76" spans="1:9" x14ac:dyDescent="0.3">
      <c r="A76" s="5">
        <v>10032</v>
      </c>
      <c r="B76" s="5" t="s">
        <v>160</v>
      </c>
      <c r="C76" s="5">
        <v>3</v>
      </c>
      <c r="D76" s="5" t="s">
        <v>44</v>
      </c>
      <c r="E76" t="s">
        <v>161</v>
      </c>
      <c r="F76" t="s">
        <v>162</v>
      </c>
      <c r="G76">
        <v>0</v>
      </c>
      <c r="H76" t="s">
        <v>164</v>
      </c>
      <c r="I76" s="2">
        <v>9000</v>
      </c>
    </row>
    <row r="77" spans="1:9" x14ac:dyDescent="0.3">
      <c r="A77" s="5">
        <v>10032</v>
      </c>
      <c r="B77" s="5" t="s">
        <v>160</v>
      </c>
      <c r="C77" s="5">
        <v>3</v>
      </c>
      <c r="D77" s="5" t="s">
        <v>44</v>
      </c>
      <c r="E77" t="s">
        <v>161</v>
      </c>
      <c r="F77" t="s">
        <v>162</v>
      </c>
      <c r="G77">
        <v>0</v>
      </c>
      <c r="H77" t="s">
        <v>164</v>
      </c>
      <c r="I77" s="2">
        <v>11000</v>
      </c>
    </row>
    <row r="78" spans="1:9" x14ac:dyDescent="0.3">
      <c r="A78" s="5">
        <v>10032</v>
      </c>
      <c r="B78" s="5" t="s">
        <v>160</v>
      </c>
      <c r="C78" s="5">
        <v>3</v>
      </c>
      <c r="D78" s="5" t="s">
        <v>44</v>
      </c>
      <c r="E78" t="s">
        <v>161</v>
      </c>
      <c r="F78" t="s">
        <v>162</v>
      </c>
      <c r="G78">
        <v>0</v>
      </c>
      <c r="H78" t="s">
        <v>165</v>
      </c>
      <c r="I78" s="2">
        <v>6000</v>
      </c>
    </row>
    <row r="79" spans="1:9" x14ac:dyDescent="0.3">
      <c r="A79" s="5">
        <v>10031</v>
      </c>
      <c r="B79" s="5" t="s">
        <v>166</v>
      </c>
      <c r="C79" s="5">
        <v>1</v>
      </c>
      <c r="D79" s="5" t="s">
        <v>10</v>
      </c>
      <c r="E79" t="s">
        <v>167</v>
      </c>
      <c r="F79" t="s">
        <v>168</v>
      </c>
      <c r="G79">
        <v>0</v>
      </c>
      <c r="H79" t="s">
        <v>169</v>
      </c>
      <c r="I79" s="2">
        <v>5500</v>
      </c>
    </row>
    <row r="80" spans="1:9" x14ac:dyDescent="0.3">
      <c r="A80" s="5">
        <v>10031</v>
      </c>
      <c r="B80" s="5" t="s">
        <v>166</v>
      </c>
      <c r="C80" s="5">
        <v>1</v>
      </c>
      <c r="D80" s="5" t="s">
        <v>10</v>
      </c>
      <c r="E80" t="s">
        <v>167</v>
      </c>
      <c r="F80" t="s">
        <v>168</v>
      </c>
      <c r="G80">
        <v>0</v>
      </c>
      <c r="H80" t="s">
        <v>19</v>
      </c>
      <c r="I80" s="2">
        <v>6500</v>
      </c>
    </row>
    <row r="81" spans="1:9" x14ac:dyDescent="0.3">
      <c r="A81" s="5">
        <v>10031</v>
      </c>
      <c r="B81" s="5" t="s">
        <v>166</v>
      </c>
      <c r="C81" s="5">
        <v>1</v>
      </c>
      <c r="D81" s="5" t="s">
        <v>10</v>
      </c>
      <c r="E81" t="s">
        <v>167</v>
      </c>
      <c r="F81" t="s">
        <v>168</v>
      </c>
      <c r="G81">
        <v>0</v>
      </c>
      <c r="H81" t="s">
        <v>170</v>
      </c>
      <c r="I81" s="2">
        <v>3500</v>
      </c>
    </row>
    <row r="82" spans="1:9" x14ac:dyDescent="0.3">
      <c r="A82" s="5">
        <v>10030</v>
      </c>
      <c r="B82" s="5" t="s">
        <v>171</v>
      </c>
      <c r="C82" s="5">
        <v>1</v>
      </c>
      <c r="D82" s="5" t="s">
        <v>10</v>
      </c>
      <c r="E82" t="s">
        <v>172</v>
      </c>
      <c r="F82" t="s">
        <v>173</v>
      </c>
      <c r="G82">
        <v>0</v>
      </c>
      <c r="H82" t="s">
        <v>19</v>
      </c>
      <c r="I82" s="2">
        <v>7000</v>
      </c>
    </row>
    <row r="83" spans="1:9" x14ac:dyDescent="0.3">
      <c r="A83" s="5">
        <v>10030</v>
      </c>
      <c r="B83" s="5" t="s">
        <v>171</v>
      </c>
      <c r="C83" s="5">
        <v>1</v>
      </c>
      <c r="D83" s="5" t="s">
        <v>10</v>
      </c>
      <c r="E83" t="s">
        <v>172</v>
      </c>
      <c r="F83" t="s">
        <v>173</v>
      </c>
      <c r="G83">
        <v>0</v>
      </c>
      <c r="H83" t="s">
        <v>174</v>
      </c>
      <c r="I83" s="2">
        <v>4000</v>
      </c>
    </row>
    <row r="84" spans="1:9" x14ac:dyDescent="0.3">
      <c r="A84" s="5">
        <v>10030</v>
      </c>
      <c r="B84" s="5" t="s">
        <v>171</v>
      </c>
      <c r="C84" s="5">
        <v>1</v>
      </c>
      <c r="D84" s="5" t="s">
        <v>10</v>
      </c>
      <c r="E84" t="s">
        <v>172</v>
      </c>
      <c r="F84" t="s">
        <v>173</v>
      </c>
      <c r="G84">
        <v>0</v>
      </c>
      <c r="H84" t="s">
        <v>175</v>
      </c>
      <c r="I84" s="2">
        <v>6000</v>
      </c>
    </row>
    <row r="85" spans="1:9" x14ac:dyDescent="0.3">
      <c r="A85" s="5">
        <v>10029</v>
      </c>
      <c r="B85" s="5" t="s">
        <v>176</v>
      </c>
      <c r="C85" s="5">
        <v>1</v>
      </c>
      <c r="D85" s="5" t="s">
        <v>10</v>
      </c>
      <c r="E85" t="s">
        <v>177</v>
      </c>
      <c r="F85" t="s">
        <v>178</v>
      </c>
      <c r="G85">
        <v>0</v>
      </c>
      <c r="H85" t="s">
        <v>179</v>
      </c>
      <c r="I85" s="2">
        <v>17000</v>
      </c>
    </row>
    <row r="86" spans="1:9" x14ac:dyDescent="0.3">
      <c r="A86" s="5">
        <v>10029</v>
      </c>
      <c r="B86" s="5" t="s">
        <v>176</v>
      </c>
      <c r="C86" s="5">
        <v>1</v>
      </c>
      <c r="D86" s="5" t="s">
        <v>10</v>
      </c>
      <c r="E86" t="s">
        <v>177</v>
      </c>
      <c r="F86" t="s">
        <v>178</v>
      </c>
      <c r="G86">
        <v>0</v>
      </c>
      <c r="H86" t="s">
        <v>180</v>
      </c>
      <c r="I86" s="2">
        <v>16000</v>
      </c>
    </row>
    <row r="87" spans="1:9" x14ac:dyDescent="0.3">
      <c r="A87" s="5">
        <v>10028</v>
      </c>
      <c r="B87" s="5" t="s">
        <v>181</v>
      </c>
      <c r="C87" s="5">
        <v>1</v>
      </c>
      <c r="D87" s="5" t="s">
        <v>10</v>
      </c>
      <c r="E87" t="s">
        <v>182</v>
      </c>
      <c r="F87" t="s">
        <v>183</v>
      </c>
      <c r="G87">
        <v>0</v>
      </c>
      <c r="H87" t="s">
        <v>175</v>
      </c>
      <c r="I87" s="2">
        <v>6000</v>
      </c>
    </row>
    <row r="88" spans="1:9" x14ac:dyDescent="0.3">
      <c r="A88" s="5">
        <v>10028</v>
      </c>
      <c r="B88" s="5" t="s">
        <v>181</v>
      </c>
      <c r="C88" s="5">
        <v>1</v>
      </c>
      <c r="D88" s="5" t="s">
        <v>10</v>
      </c>
      <c r="E88" t="s">
        <v>182</v>
      </c>
      <c r="F88" t="s">
        <v>183</v>
      </c>
      <c r="G88">
        <v>0</v>
      </c>
      <c r="H88" t="s">
        <v>20</v>
      </c>
      <c r="I88" s="2">
        <v>7000</v>
      </c>
    </row>
    <row r="89" spans="1:9" x14ac:dyDescent="0.3">
      <c r="A89" s="5">
        <v>10028</v>
      </c>
      <c r="B89" s="5" t="s">
        <v>181</v>
      </c>
      <c r="C89" s="5">
        <v>1</v>
      </c>
      <c r="D89" s="5" t="s">
        <v>10</v>
      </c>
      <c r="E89" t="s">
        <v>182</v>
      </c>
      <c r="F89" t="s">
        <v>183</v>
      </c>
      <c r="G89">
        <v>0</v>
      </c>
      <c r="H89" t="s">
        <v>21</v>
      </c>
      <c r="I89" s="2">
        <v>7000</v>
      </c>
    </row>
    <row r="90" spans="1:9" x14ac:dyDescent="0.3">
      <c r="A90" s="5">
        <v>10027</v>
      </c>
      <c r="B90" s="5" t="s">
        <v>184</v>
      </c>
      <c r="C90" s="5">
        <v>1</v>
      </c>
      <c r="D90" s="5" t="s">
        <v>10</v>
      </c>
      <c r="E90" t="s">
        <v>185</v>
      </c>
      <c r="F90" t="s">
        <v>186</v>
      </c>
      <c r="G90">
        <v>0</v>
      </c>
      <c r="H90" t="s">
        <v>187</v>
      </c>
      <c r="I90" s="2">
        <v>8000</v>
      </c>
    </row>
    <row r="91" spans="1:9" x14ac:dyDescent="0.3">
      <c r="A91" s="5">
        <v>10027</v>
      </c>
      <c r="B91" s="5" t="s">
        <v>184</v>
      </c>
      <c r="C91" s="5">
        <v>1</v>
      </c>
      <c r="D91" s="5" t="s">
        <v>10</v>
      </c>
      <c r="E91" t="s">
        <v>185</v>
      </c>
      <c r="F91" t="s">
        <v>186</v>
      </c>
      <c r="G91">
        <v>0</v>
      </c>
      <c r="H91" t="s">
        <v>188</v>
      </c>
      <c r="I91" s="2">
        <v>8000</v>
      </c>
    </row>
    <row r="92" spans="1:9" x14ac:dyDescent="0.3">
      <c r="A92" s="5">
        <v>10027</v>
      </c>
      <c r="B92" s="5" t="s">
        <v>184</v>
      </c>
      <c r="C92" s="5">
        <v>1</v>
      </c>
      <c r="D92" s="5" t="s">
        <v>10</v>
      </c>
      <c r="E92" t="s">
        <v>185</v>
      </c>
      <c r="F92" t="s">
        <v>186</v>
      </c>
      <c r="G92">
        <v>0</v>
      </c>
      <c r="H92" t="s">
        <v>189</v>
      </c>
      <c r="I92" s="2">
        <v>12000</v>
      </c>
    </row>
    <row r="93" spans="1:9" x14ac:dyDescent="0.3">
      <c r="A93" s="5">
        <v>10026</v>
      </c>
      <c r="B93" s="5" t="s">
        <v>190</v>
      </c>
      <c r="C93" s="5">
        <v>4</v>
      </c>
      <c r="D93" s="5" t="s">
        <v>39</v>
      </c>
      <c r="E93" t="s">
        <v>191</v>
      </c>
      <c r="F93" t="s">
        <v>192</v>
      </c>
      <c r="G93">
        <v>0</v>
      </c>
      <c r="H93" t="s">
        <v>193</v>
      </c>
      <c r="I93" s="2">
        <v>2000</v>
      </c>
    </row>
    <row r="94" spans="1:9" x14ac:dyDescent="0.3">
      <c r="A94" s="5">
        <v>10026</v>
      </c>
      <c r="B94" s="5" t="s">
        <v>190</v>
      </c>
      <c r="C94" s="5">
        <v>4</v>
      </c>
      <c r="D94" s="5" t="s">
        <v>39</v>
      </c>
      <c r="E94" t="s">
        <v>191</v>
      </c>
      <c r="F94" t="s">
        <v>192</v>
      </c>
      <c r="G94">
        <v>0</v>
      </c>
      <c r="H94" t="s">
        <v>194</v>
      </c>
      <c r="I94" s="2">
        <v>1200</v>
      </c>
    </row>
    <row r="95" spans="1:9" x14ac:dyDescent="0.3">
      <c r="A95" s="5">
        <v>10026</v>
      </c>
      <c r="B95" s="5" t="s">
        <v>190</v>
      </c>
      <c r="C95" s="5">
        <v>4</v>
      </c>
      <c r="D95" s="5" t="s">
        <v>39</v>
      </c>
      <c r="E95" t="s">
        <v>191</v>
      </c>
      <c r="F95" t="s">
        <v>192</v>
      </c>
      <c r="G95">
        <v>0</v>
      </c>
      <c r="H95" t="s">
        <v>195</v>
      </c>
      <c r="I95" s="2">
        <v>5500</v>
      </c>
    </row>
    <row r="96" spans="1:9" x14ac:dyDescent="0.3">
      <c r="A96" s="5">
        <v>10025</v>
      </c>
      <c r="B96" s="5" t="s">
        <v>196</v>
      </c>
      <c r="C96" s="5">
        <v>5</v>
      </c>
      <c r="D96" s="5" t="s">
        <v>63</v>
      </c>
      <c r="E96" t="s">
        <v>197</v>
      </c>
      <c r="F96" t="s">
        <v>198</v>
      </c>
      <c r="G96">
        <v>0</v>
      </c>
      <c r="H96" t="s">
        <v>67</v>
      </c>
      <c r="I96" s="2">
        <v>5000</v>
      </c>
    </row>
    <row r="97" spans="1:9" x14ac:dyDescent="0.3">
      <c r="A97" s="5">
        <v>10025</v>
      </c>
      <c r="B97" s="5" t="s">
        <v>196</v>
      </c>
      <c r="C97" s="5">
        <v>5</v>
      </c>
      <c r="D97" s="5" t="s">
        <v>63</v>
      </c>
      <c r="E97" t="s">
        <v>197</v>
      </c>
      <c r="F97" t="s">
        <v>198</v>
      </c>
      <c r="G97">
        <v>0</v>
      </c>
      <c r="H97" t="s">
        <v>66</v>
      </c>
      <c r="I97" s="2">
        <v>15000</v>
      </c>
    </row>
    <row r="98" spans="1:9" x14ac:dyDescent="0.3">
      <c r="A98" s="5">
        <v>10025</v>
      </c>
      <c r="B98" s="5" t="s">
        <v>196</v>
      </c>
      <c r="C98" s="5">
        <v>5</v>
      </c>
      <c r="D98" s="5" t="s">
        <v>63</v>
      </c>
      <c r="E98" t="s">
        <v>197</v>
      </c>
      <c r="F98" t="s">
        <v>198</v>
      </c>
      <c r="G98">
        <v>0</v>
      </c>
      <c r="H98" t="s">
        <v>199</v>
      </c>
      <c r="I98" s="2">
        <v>20000</v>
      </c>
    </row>
    <row r="99" spans="1:9" x14ac:dyDescent="0.3">
      <c r="A99" s="5">
        <v>10024</v>
      </c>
      <c r="B99" s="5" t="s">
        <v>200</v>
      </c>
      <c r="C99" s="5">
        <v>4</v>
      </c>
      <c r="D99" s="5" t="s">
        <v>39</v>
      </c>
      <c r="E99" t="s">
        <v>201</v>
      </c>
      <c r="F99" t="s">
        <v>202</v>
      </c>
      <c r="G99">
        <v>0</v>
      </c>
      <c r="H99" t="s">
        <v>203</v>
      </c>
      <c r="I99" s="2">
        <v>3500</v>
      </c>
    </row>
    <row r="100" spans="1:9" x14ac:dyDescent="0.3">
      <c r="A100" s="5">
        <v>10024</v>
      </c>
      <c r="B100" s="5" t="s">
        <v>200</v>
      </c>
      <c r="C100" s="5">
        <v>4</v>
      </c>
      <c r="D100" s="5" t="s">
        <v>39</v>
      </c>
      <c r="E100" t="s">
        <v>201</v>
      </c>
      <c r="F100" t="s">
        <v>202</v>
      </c>
      <c r="G100">
        <v>0</v>
      </c>
      <c r="H100" t="s">
        <v>204</v>
      </c>
      <c r="I100" s="2">
        <v>3500</v>
      </c>
    </row>
    <row r="101" spans="1:9" x14ac:dyDescent="0.3">
      <c r="A101" s="5">
        <v>10024</v>
      </c>
      <c r="B101" s="5" t="s">
        <v>200</v>
      </c>
      <c r="C101" s="5">
        <v>4</v>
      </c>
      <c r="D101" s="5" t="s">
        <v>39</v>
      </c>
      <c r="E101" t="s">
        <v>201</v>
      </c>
      <c r="F101" t="s">
        <v>202</v>
      </c>
      <c r="G101">
        <v>0</v>
      </c>
      <c r="H101" t="s">
        <v>205</v>
      </c>
      <c r="I101" s="2">
        <v>2500</v>
      </c>
    </row>
    <row r="102" spans="1:9" x14ac:dyDescent="0.3">
      <c r="A102" s="5">
        <v>10023</v>
      </c>
      <c r="B102" s="5" t="s">
        <v>206</v>
      </c>
      <c r="C102" s="5">
        <v>1</v>
      </c>
      <c r="D102" s="5" t="s">
        <v>10</v>
      </c>
      <c r="E102" t="s">
        <v>207</v>
      </c>
      <c r="F102" t="s">
        <v>208</v>
      </c>
      <c r="G102">
        <v>0</v>
      </c>
      <c r="H102" t="s">
        <v>209</v>
      </c>
      <c r="I102" s="2">
        <v>6000</v>
      </c>
    </row>
    <row r="103" spans="1:9" x14ac:dyDescent="0.3">
      <c r="A103" s="5">
        <v>10023</v>
      </c>
      <c r="B103" s="5" t="s">
        <v>206</v>
      </c>
      <c r="C103" s="5">
        <v>1</v>
      </c>
      <c r="D103" s="5" t="s">
        <v>10</v>
      </c>
      <c r="E103" t="s">
        <v>207</v>
      </c>
      <c r="F103" t="s">
        <v>208</v>
      </c>
      <c r="G103">
        <v>0</v>
      </c>
      <c r="H103" t="s">
        <v>139</v>
      </c>
      <c r="I103" s="2">
        <v>5500</v>
      </c>
    </row>
    <row r="104" spans="1:9" x14ac:dyDescent="0.3">
      <c r="A104" s="5">
        <v>10023</v>
      </c>
      <c r="B104" s="5" t="s">
        <v>206</v>
      </c>
      <c r="C104" s="5">
        <v>1</v>
      </c>
      <c r="D104" s="5" t="s">
        <v>10</v>
      </c>
      <c r="E104" t="s">
        <v>207</v>
      </c>
      <c r="F104" t="s">
        <v>208</v>
      </c>
      <c r="G104">
        <v>0</v>
      </c>
      <c r="H104" t="s">
        <v>126</v>
      </c>
      <c r="I104" s="2">
        <v>5500</v>
      </c>
    </row>
    <row r="105" spans="1:9" x14ac:dyDescent="0.3">
      <c r="A105" s="5">
        <v>10022</v>
      </c>
      <c r="B105" s="5" t="s">
        <v>210</v>
      </c>
      <c r="C105" s="5">
        <v>1</v>
      </c>
      <c r="D105" s="5" t="s">
        <v>10</v>
      </c>
      <c r="E105" t="s">
        <v>211</v>
      </c>
      <c r="F105" t="s">
        <v>212</v>
      </c>
      <c r="G105">
        <v>0</v>
      </c>
      <c r="H105" t="s">
        <v>213</v>
      </c>
      <c r="I105" s="2">
        <v>10000</v>
      </c>
    </row>
    <row r="106" spans="1:9" x14ac:dyDescent="0.3">
      <c r="A106" s="5">
        <v>10022</v>
      </c>
      <c r="B106" s="5" t="s">
        <v>210</v>
      </c>
      <c r="C106" s="5">
        <v>1</v>
      </c>
      <c r="D106" s="5" t="s">
        <v>10</v>
      </c>
      <c r="E106" t="s">
        <v>211</v>
      </c>
      <c r="F106" t="s">
        <v>212</v>
      </c>
      <c r="G106">
        <v>0</v>
      </c>
      <c r="H106" t="s">
        <v>214</v>
      </c>
      <c r="I106" s="2">
        <v>10000</v>
      </c>
    </row>
    <row r="107" spans="1:9" x14ac:dyDescent="0.3">
      <c r="A107" s="5">
        <v>10021</v>
      </c>
      <c r="B107" s="5" t="s">
        <v>129</v>
      </c>
      <c r="C107" s="5">
        <v>1</v>
      </c>
      <c r="D107" s="5" t="s">
        <v>10</v>
      </c>
      <c r="E107" t="s">
        <v>215</v>
      </c>
      <c r="F107" t="s">
        <v>216</v>
      </c>
      <c r="G107">
        <v>0</v>
      </c>
      <c r="H107" t="s">
        <v>57</v>
      </c>
      <c r="I107" s="2">
        <v>7000</v>
      </c>
    </row>
    <row r="108" spans="1:9" x14ac:dyDescent="0.3">
      <c r="A108" s="5">
        <v>10021</v>
      </c>
      <c r="B108" s="5" t="s">
        <v>129</v>
      </c>
      <c r="C108" s="5">
        <v>1</v>
      </c>
      <c r="D108" s="5" t="s">
        <v>10</v>
      </c>
      <c r="E108" t="s">
        <v>215</v>
      </c>
      <c r="F108" t="s">
        <v>216</v>
      </c>
      <c r="G108">
        <v>0</v>
      </c>
      <c r="H108" t="s">
        <v>188</v>
      </c>
      <c r="I108" s="2">
        <v>7000</v>
      </c>
    </row>
    <row r="109" spans="1:9" x14ac:dyDescent="0.3">
      <c r="A109" s="5">
        <v>10021</v>
      </c>
      <c r="B109" s="5" t="s">
        <v>129</v>
      </c>
      <c r="C109" s="5">
        <v>1</v>
      </c>
      <c r="D109" s="5" t="s">
        <v>10</v>
      </c>
      <c r="E109" t="s">
        <v>215</v>
      </c>
      <c r="F109" t="s">
        <v>216</v>
      </c>
      <c r="G109">
        <v>0</v>
      </c>
      <c r="H109" t="s">
        <v>217</v>
      </c>
      <c r="I109" s="2">
        <v>10000</v>
      </c>
    </row>
    <row r="110" spans="1:9" x14ac:dyDescent="0.3">
      <c r="A110" s="5">
        <v>10020</v>
      </c>
      <c r="B110" s="5" t="s">
        <v>218</v>
      </c>
      <c r="C110" s="5">
        <v>1</v>
      </c>
      <c r="D110" s="5" t="s">
        <v>10</v>
      </c>
      <c r="E110" t="s">
        <v>219</v>
      </c>
      <c r="F110" t="s">
        <v>220</v>
      </c>
      <c r="G110">
        <v>0</v>
      </c>
      <c r="H110" t="s">
        <v>149</v>
      </c>
      <c r="I110" s="2">
        <v>5000</v>
      </c>
    </row>
    <row r="111" spans="1:9" x14ac:dyDescent="0.3">
      <c r="A111" s="5">
        <v>10020</v>
      </c>
      <c r="B111" s="5" t="s">
        <v>218</v>
      </c>
      <c r="C111" s="5">
        <v>1</v>
      </c>
      <c r="D111" s="5" t="s">
        <v>10</v>
      </c>
      <c r="E111" t="s">
        <v>219</v>
      </c>
      <c r="F111" t="s">
        <v>220</v>
      </c>
      <c r="G111">
        <v>0</v>
      </c>
      <c r="H111" t="s">
        <v>21</v>
      </c>
      <c r="I111" s="2">
        <v>5000</v>
      </c>
    </row>
    <row r="112" spans="1:9" x14ac:dyDescent="0.3">
      <c r="A112" s="5">
        <v>10020</v>
      </c>
      <c r="B112" s="5" t="s">
        <v>218</v>
      </c>
      <c r="C112" s="5">
        <v>1</v>
      </c>
      <c r="D112" s="5" t="s">
        <v>10</v>
      </c>
      <c r="E112" t="s">
        <v>219</v>
      </c>
      <c r="F112" t="s">
        <v>220</v>
      </c>
      <c r="G112">
        <v>0</v>
      </c>
      <c r="H112" t="s">
        <v>37</v>
      </c>
      <c r="I112" s="2">
        <v>5000</v>
      </c>
    </row>
    <row r="113" spans="1:9" x14ac:dyDescent="0.3">
      <c r="A113" s="5">
        <v>10019</v>
      </c>
      <c r="B113" s="5" t="s">
        <v>221</v>
      </c>
      <c r="C113" s="5">
        <v>1</v>
      </c>
      <c r="D113" s="5" t="s">
        <v>10</v>
      </c>
      <c r="E113" t="s">
        <v>222</v>
      </c>
      <c r="F113" t="s">
        <v>223</v>
      </c>
      <c r="G113">
        <v>0</v>
      </c>
      <c r="H113" t="s">
        <v>224</v>
      </c>
      <c r="I113" s="2">
        <v>7000</v>
      </c>
    </row>
    <row r="114" spans="1:9" x14ac:dyDescent="0.3">
      <c r="A114" s="5">
        <v>10019</v>
      </c>
      <c r="B114" s="5" t="s">
        <v>221</v>
      </c>
      <c r="C114" s="5">
        <v>1</v>
      </c>
      <c r="D114" s="5" t="s">
        <v>10</v>
      </c>
      <c r="E114" t="s">
        <v>222</v>
      </c>
      <c r="F114" t="s">
        <v>223</v>
      </c>
      <c r="G114">
        <v>0</v>
      </c>
      <c r="H114" t="s">
        <v>21</v>
      </c>
      <c r="I114" s="2">
        <v>6000</v>
      </c>
    </row>
    <row r="115" spans="1:9" x14ac:dyDescent="0.3">
      <c r="A115" s="5">
        <v>10018</v>
      </c>
      <c r="B115" s="5" t="s">
        <v>225</v>
      </c>
      <c r="C115" s="5">
        <v>1</v>
      </c>
      <c r="D115" s="5" t="s">
        <v>10</v>
      </c>
      <c r="E115" t="s">
        <v>226</v>
      </c>
      <c r="F115" t="s">
        <v>227</v>
      </c>
      <c r="G115">
        <v>0</v>
      </c>
      <c r="H115" t="s">
        <v>139</v>
      </c>
      <c r="I115" s="2">
        <v>7000</v>
      </c>
    </row>
    <row r="116" spans="1:9" x14ac:dyDescent="0.3">
      <c r="A116" s="5">
        <v>10018</v>
      </c>
      <c r="B116" s="5" t="s">
        <v>225</v>
      </c>
      <c r="C116" s="5">
        <v>1</v>
      </c>
      <c r="D116" s="5" t="s">
        <v>10</v>
      </c>
      <c r="E116" t="s">
        <v>226</v>
      </c>
      <c r="F116" t="s">
        <v>227</v>
      </c>
      <c r="G116">
        <v>0</v>
      </c>
      <c r="H116" t="s">
        <v>228</v>
      </c>
      <c r="I116" s="2">
        <v>20000</v>
      </c>
    </row>
    <row r="117" spans="1:9" x14ac:dyDescent="0.3">
      <c r="A117" s="5">
        <v>10018</v>
      </c>
      <c r="B117" s="5" t="s">
        <v>225</v>
      </c>
      <c r="C117" s="5">
        <v>1</v>
      </c>
      <c r="D117" s="5" t="s">
        <v>10</v>
      </c>
      <c r="E117" t="s">
        <v>226</v>
      </c>
      <c r="F117" t="s">
        <v>227</v>
      </c>
      <c r="G117">
        <v>0</v>
      </c>
      <c r="H117" t="s">
        <v>229</v>
      </c>
      <c r="I117" s="2">
        <v>8000</v>
      </c>
    </row>
    <row r="118" spans="1:9" x14ac:dyDescent="0.3">
      <c r="A118" s="5">
        <v>10018</v>
      </c>
      <c r="B118" s="5" t="s">
        <v>225</v>
      </c>
      <c r="C118" s="5">
        <v>1</v>
      </c>
      <c r="D118" s="5" t="s">
        <v>10</v>
      </c>
      <c r="E118" t="s">
        <v>226</v>
      </c>
      <c r="F118" t="s">
        <v>227</v>
      </c>
      <c r="G118">
        <v>0</v>
      </c>
      <c r="H118" t="s">
        <v>217</v>
      </c>
      <c r="I118" s="2">
        <v>13000</v>
      </c>
    </row>
    <row r="119" spans="1:9" x14ac:dyDescent="0.3">
      <c r="A119" s="5">
        <v>10017</v>
      </c>
      <c r="B119" s="5" t="s">
        <v>230</v>
      </c>
      <c r="C119" s="5">
        <v>1</v>
      </c>
      <c r="D119" s="5" t="s">
        <v>10</v>
      </c>
      <c r="E119" t="s">
        <v>231</v>
      </c>
      <c r="F119" t="s">
        <v>232</v>
      </c>
      <c r="G119">
        <v>0</v>
      </c>
      <c r="H119" t="s">
        <v>149</v>
      </c>
      <c r="I119" s="2">
        <v>6000</v>
      </c>
    </row>
    <row r="120" spans="1:9" x14ac:dyDescent="0.3">
      <c r="A120" s="5">
        <v>10017</v>
      </c>
      <c r="B120" s="5" t="s">
        <v>230</v>
      </c>
      <c r="C120" s="5">
        <v>1</v>
      </c>
      <c r="D120" s="5" t="s">
        <v>10</v>
      </c>
      <c r="E120" t="s">
        <v>231</v>
      </c>
      <c r="F120" t="s">
        <v>232</v>
      </c>
      <c r="G120">
        <v>0</v>
      </c>
      <c r="H120" t="s">
        <v>139</v>
      </c>
      <c r="I120" s="2">
        <v>6000</v>
      </c>
    </row>
    <row r="121" spans="1:9" x14ac:dyDescent="0.3">
      <c r="A121" s="5">
        <v>10017</v>
      </c>
      <c r="B121" s="5" t="s">
        <v>230</v>
      </c>
      <c r="C121" s="5">
        <v>1</v>
      </c>
      <c r="D121" s="5" t="s">
        <v>10</v>
      </c>
      <c r="E121" t="s">
        <v>231</v>
      </c>
      <c r="F121" t="s">
        <v>232</v>
      </c>
      <c r="G121">
        <v>0</v>
      </c>
      <c r="H121" t="s">
        <v>133</v>
      </c>
      <c r="I121" s="2">
        <v>6000</v>
      </c>
    </row>
    <row r="122" spans="1:9" x14ac:dyDescent="0.3">
      <c r="A122" s="5">
        <v>10016</v>
      </c>
      <c r="B122" s="5" t="s">
        <v>233</v>
      </c>
      <c r="C122" s="5">
        <v>1</v>
      </c>
      <c r="D122" s="5" t="s">
        <v>10</v>
      </c>
      <c r="E122" t="s">
        <v>234</v>
      </c>
      <c r="F122" t="s">
        <v>235</v>
      </c>
      <c r="G122">
        <v>0</v>
      </c>
      <c r="H122" t="s">
        <v>236</v>
      </c>
      <c r="I122" s="2">
        <v>7000</v>
      </c>
    </row>
    <row r="123" spans="1:9" x14ac:dyDescent="0.3">
      <c r="A123" s="5">
        <v>10016</v>
      </c>
      <c r="B123" s="5" t="s">
        <v>233</v>
      </c>
      <c r="C123" s="5">
        <v>1</v>
      </c>
      <c r="D123" s="5" t="s">
        <v>10</v>
      </c>
      <c r="E123" t="s">
        <v>234</v>
      </c>
      <c r="F123" t="s">
        <v>235</v>
      </c>
      <c r="G123">
        <v>0</v>
      </c>
      <c r="H123" t="s">
        <v>237</v>
      </c>
      <c r="I123" s="2">
        <v>7000</v>
      </c>
    </row>
    <row r="124" spans="1:9" x14ac:dyDescent="0.3">
      <c r="A124" s="5">
        <v>10016</v>
      </c>
      <c r="B124" s="5" t="s">
        <v>233</v>
      </c>
      <c r="C124" s="5">
        <v>1</v>
      </c>
      <c r="D124" s="5" t="s">
        <v>10</v>
      </c>
      <c r="E124" t="s">
        <v>234</v>
      </c>
      <c r="F124" t="s">
        <v>235</v>
      </c>
      <c r="G124">
        <v>0</v>
      </c>
      <c r="H124" t="s">
        <v>21</v>
      </c>
      <c r="I124" s="2">
        <v>7000</v>
      </c>
    </row>
    <row r="125" spans="1:9" x14ac:dyDescent="0.3">
      <c r="A125" s="5">
        <v>10015</v>
      </c>
      <c r="B125" s="5" t="s">
        <v>238</v>
      </c>
      <c r="C125" s="5">
        <v>1</v>
      </c>
      <c r="D125" s="5" t="s">
        <v>10</v>
      </c>
      <c r="E125" t="s">
        <v>239</v>
      </c>
      <c r="F125" t="s">
        <v>240</v>
      </c>
      <c r="G125">
        <v>0</v>
      </c>
      <c r="H125" t="s">
        <v>241</v>
      </c>
      <c r="I125" s="2">
        <v>7000</v>
      </c>
    </row>
    <row r="126" spans="1:9" x14ac:dyDescent="0.3">
      <c r="A126" s="5">
        <v>10014</v>
      </c>
      <c r="B126" s="5" t="s">
        <v>242</v>
      </c>
      <c r="C126" s="5">
        <v>4</v>
      </c>
      <c r="D126" s="5" t="s">
        <v>39</v>
      </c>
      <c r="E126" t="s">
        <v>243</v>
      </c>
      <c r="G126">
        <v>0</v>
      </c>
      <c r="H126" t="s">
        <v>244</v>
      </c>
      <c r="I126" s="2">
        <v>3000</v>
      </c>
    </row>
    <row r="127" spans="1:9" x14ac:dyDescent="0.3">
      <c r="A127" s="5">
        <v>10014</v>
      </c>
      <c r="B127" s="5" t="s">
        <v>242</v>
      </c>
      <c r="C127" s="5">
        <v>4</v>
      </c>
      <c r="D127" s="5" t="s">
        <v>39</v>
      </c>
      <c r="E127" t="s">
        <v>243</v>
      </c>
      <c r="G127">
        <v>0</v>
      </c>
      <c r="H127" t="s">
        <v>242</v>
      </c>
      <c r="I127" s="2">
        <v>2500</v>
      </c>
    </row>
    <row r="128" spans="1:9" x14ac:dyDescent="0.3">
      <c r="A128" s="5">
        <v>10014</v>
      </c>
      <c r="B128" s="5" t="s">
        <v>242</v>
      </c>
      <c r="C128" s="5">
        <v>4</v>
      </c>
      <c r="D128" s="5" t="s">
        <v>39</v>
      </c>
      <c r="E128" t="s">
        <v>243</v>
      </c>
      <c r="G128">
        <v>0</v>
      </c>
      <c r="H128" t="s">
        <v>205</v>
      </c>
      <c r="I128" s="2">
        <v>1500</v>
      </c>
    </row>
    <row r="129" spans="1:9" x14ac:dyDescent="0.3">
      <c r="A129" s="5">
        <v>10013</v>
      </c>
      <c r="B129" s="5" t="s">
        <v>245</v>
      </c>
      <c r="C129" s="5">
        <v>4</v>
      </c>
      <c r="D129" s="5" t="s">
        <v>39</v>
      </c>
      <c r="E129" t="s">
        <v>246</v>
      </c>
      <c r="F129" t="s">
        <v>247</v>
      </c>
      <c r="G129">
        <v>0</v>
      </c>
      <c r="H129" t="s">
        <v>248</v>
      </c>
      <c r="I129" s="2">
        <v>3500</v>
      </c>
    </row>
    <row r="130" spans="1:9" x14ac:dyDescent="0.3">
      <c r="A130" s="5">
        <v>10013</v>
      </c>
      <c r="B130" s="5" t="s">
        <v>245</v>
      </c>
      <c r="C130" s="5">
        <v>4</v>
      </c>
      <c r="D130" s="5" t="s">
        <v>39</v>
      </c>
      <c r="E130" t="s">
        <v>246</v>
      </c>
      <c r="F130" t="s">
        <v>247</v>
      </c>
      <c r="G130">
        <v>0</v>
      </c>
      <c r="H130" t="s">
        <v>249</v>
      </c>
      <c r="I130" s="2">
        <v>4500</v>
      </c>
    </row>
    <row r="131" spans="1:9" x14ac:dyDescent="0.3">
      <c r="A131" s="5">
        <v>10012</v>
      </c>
      <c r="B131" s="5" t="s">
        <v>250</v>
      </c>
      <c r="C131" s="5">
        <v>1</v>
      </c>
      <c r="D131" s="5" t="s">
        <v>10</v>
      </c>
      <c r="E131" t="s">
        <v>251</v>
      </c>
      <c r="F131" t="s">
        <v>252</v>
      </c>
      <c r="G131">
        <v>0</v>
      </c>
      <c r="H131" t="s">
        <v>253</v>
      </c>
      <c r="I131" s="2">
        <v>25000</v>
      </c>
    </row>
    <row r="132" spans="1:9" x14ac:dyDescent="0.3">
      <c r="A132" s="5">
        <v>10012</v>
      </c>
      <c r="B132" s="5" t="s">
        <v>250</v>
      </c>
      <c r="C132" s="5">
        <v>1</v>
      </c>
      <c r="D132" s="5" t="s">
        <v>10</v>
      </c>
      <c r="E132" t="s">
        <v>251</v>
      </c>
      <c r="F132" t="s">
        <v>252</v>
      </c>
      <c r="G132">
        <v>0</v>
      </c>
      <c r="H132" t="s">
        <v>254</v>
      </c>
      <c r="I132" s="2">
        <v>15000</v>
      </c>
    </row>
    <row r="133" spans="1:9" x14ac:dyDescent="0.3">
      <c r="A133" s="5">
        <v>10011</v>
      </c>
      <c r="B133" s="5" t="s">
        <v>255</v>
      </c>
      <c r="C133" s="5">
        <v>1</v>
      </c>
      <c r="D133" s="5" t="s">
        <v>10</v>
      </c>
      <c r="E133" t="s">
        <v>256</v>
      </c>
      <c r="F133" t="s">
        <v>257</v>
      </c>
      <c r="G133">
        <v>0</v>
      </c>
      <c r="H133" t="s">
        <v>258</v>
      </c>
      <c r="I133" s="2">
        <v>3000</v>
      </c>
    </row>
    <row r="134" spans="1:9" x14ac:dyDescent="0.3">
      <c r="A134" s="5">
        <v>10011</v>
      </c>
      <c r="B134" s="5" t="s">
        <v>255</v>
      </c>
      <c r="C134" s="5">
        <v>1</v>
      </c>
      <c r="D134" s="5" t="s">
        <v>10</v>
      </c>
      <c r="E134" t="s">
        <v>256</v>
      </c>
      <c r="F134" t="s">
        <v>257</v>
      </c>
      <c r="G134">
        <v>0</v>
      </c>
      <c r="H134" t="s">
        <v>259</v>
      </c>
      <c r="I134" s="2">
        <v>6000</v>
      </c>
    </row>
    <row r="135" spans="1:9" x14ac:dyDescent="0.3">
      <c r="A135" s="5">
        <v>10010</v>
      </c>
      <c r="B135" s="5" t="s">
        <v>260</v>
      </c>
      <c r="C135" s="5">
        <v>2</v>
      </c>
      <c r="D135" s="5" t="s">
        <v>261</v>
      </c>
      <c r="E135" t="s">
        <v>262</v>
      </c>
      <c r="F135" t="s">
        <v>263</v>
      </c>
      <c r="G135">
        <v>0</v>
      </c>
      <c r="H135" t="s">
        <v>264</v>
      </c>
      <c r="I135" s="2">
        <v>6500</v>
      </c>
    </row>
    <row r="136" spans="1:9" x14ac:dyDescent="0.3">
      <c r="A136" s="5">
        <v>10010</v>
      </c>
      <c r="B136" s="5" t="s">
        <v>260</v>
      </c>
      <c r="C136" s="5">
        <v>2</v>
      </c>
      <c r="D136" s="5" t="s">
        <v>261</v>
      </c>
      <c r="E136" t="s">
        <v>262</v>
      </c>
      <c r="F136" t="s">
        <v>263</v>
      </c>
      <c r="G136">
        <v>0</v>
      </c>
      <c r="H136" t="s">
        <v>265</v>
      </c>
      <c r="I136" s="2">
        <v>8000</v>
      </c>
    </row>
    <row r="137" spans="1:9" x14ac:dyDescent="0.3">
      <c r="A137" s="5">
        <v>10009</v>
      </c>
      <c r="B137" s="5" t="s">
        <v>266</v>
      </c>
      <c r="C137" s="5">
        <v>5</v>
      </c>
      <c r="D137" s="5" t="s">
        <v>63</v>
      </c>
      <c r="E137" t="s">
        <v>267</v>
      </c>
      <c r="G137">
        <v>0</v>
      </c>
      <c r="H137" t="s">
        <v>268</v>
      </c>
      <c r="I137" s="2">
        <v>7000</v>
      </c>
    </row>
    <row r="138" spans="1:9" x14ac:dyDescent="0.3">
      <c r="A138" s="5">
        <v>10008</v>
      </c>
      <c r="B138" s="5" t="s">
        <v>269</v>
      </c>
      <c r="C138" s="5">
        <v>1</v>
      </c>
      <c r="D138" s="5" t="s">
        <v>10</v>
      </c>
      <c r="E138" t="s">
        <v>270</v>
      </c>
      <c r="F138" t="s">
        <v>271</v>
      </c>
      <c r="G138">
        <v>0</v>
      </c>
      <c r="H138" t="s">
        <v>21</v>
      </c>
      <c r="I138" s="2">
        <v>7000</v>
      </c>
    </row>
    <row r="139" spans="1:9" x14ac:dyDescent="0.3">
      <c r="A139" s="5">
        <v>10008</v>
      </c>
      <c r="B139" s="5" t="s">
        <v>269</v>
      </c>
      <c r="C139" s="5">
        <v>1</v>
      </c>
      <c r="D139" s="5" t="s">
        <v>10</v>
      </c>
      <c r="E139" t="s">
        <v>270</v>
      </c>
      <c r="F139" t="s">
        <v>271</v>
      </c>
      <c r="G139">
        <v>0</v>
      </c>
      <c r="H139" t="s">
        <v>21</v>
      </c>
      <c r="I139" s="2">
        <v>7000</v>
      </c>
    </row>
    <row r="140" spans="1:9" x14ac:dyDescent="0.3">
      <c r="A140" s="5">
        <v>10008</v>
      </c>
      <c r="B140" s="5" t="s">
        <v>269</v>
      </c>
      <c r="C140" s="5">
        <v>1</v>
      </c>
      <c r="D140" s="5" t="s">
        <v>10</v>
      </c>
      <c r="E140" t="s">
        <v>270</v>
      </c>
      <c r="F140" t="s">
        <v>271</v>
      </c>
      <c r="G140">
        <v>0</v>
      </c>
      <c r="H140" t="s">
        <v>57</v>
      </c>
      <c r="I140" s="2">
        <v>9000</v>
      </c>
    </row>
    <row r="141" spans="1:9" x14ac:dyDescent="0.3">
      <c r="A141" s="5">
        <v>10008</v>
      </c>
      <c r="B141" s="5" t="s">
        <v>269</v>
      </c>
      <c r="C141" s="5">
        <v>1</v>
      </c>
      <c r="D141" s="5" t="s">
        <v>10</v>
      </c>
      <c r="E141" t="s">
        <v>270</v>
      </c>
      <c r="F141" t="s">
        <v>271</v>
      </c>
      <c r="G141">
        <v>0</v>
      </c>
      <c r="H141" t="s">
        <v>272</v>
      </c>
      <c r="I141" s="2">
        <v>35000</v>
      </c>
    </row>
    <row r="142" spans="1:9" x14ac:dyDescent="0.3">
      <c r="A142" s="5">
        <v>10008</v>
      </c>
      <c r="B142" s="5" t="s">
        <v>269</v>
      </c>
      <c r="C142" s="5">
        <v>1</v>
      </c>
      <c r="D142" s="5" t="s">
        <v>10</v>
      </c>
      <c r="E142" t="s">
        <v>270</v>
      </c>
      <c r="F142" t="s">
        <v>271</v>
      </c>
      <c r="G142">
        <v>0</v>
      </c>
      <c r="H142" t="s">
        <v>273</v>
      </c>
      <c r="I142" s="2">
        <v>45000</v>
      </c>
    </row>
    <row r="143" spans="1:9" x14ac:dyDescent="0.3">
      <c r="A143" s="5">
        <v>10008</v>
      </c>
      <c r="B143" s="5" t="s">
        <v>269</v>
      </c>
      <c r="C143" s="5">
        <v>1</v>
      </c>
      <c r="D143" s="5" t="s">
        <v>10</v>
      </c>
      <c r="E143" t="s">
        <v>270</v>
      </c>
      <c r="F143" t="s">
        <v>271</v>
      </c>
      <c r="G143">
        <v>0</v>
      </c>
      <c r="H143" t="s">
        <v>274</v>
      </c>
      <c r="I143" s="2">
        <v>55000</v>
      </c>
    </row>
    <row r="144" spans="1:9" x14ac:dyDescent="0.3">
      <c r="A144" s="5">
        <v>10007</v>
      </c>
      <c r="B144" s="5" t="s">
        <v>275</v>
      </c>
      <c r="C144" s="5">
        <v>1</v>
      </c>
      <c r="D144" s="5" t="s">
        <v>10</v>
      </c>
      <c r="E144" t="s">
        <v>276</v>
      </c>
      <c r="F144" t="s">
        <v>277</v>
      </c>
      <c r="G144">
        <v>0</v>
      </c>
      <c r="H144" t="s">
        <v>278</v>
      </c>
      <c r="I144" s="2">
        <v>7000</v>
      </c>
    </row>
    <row r="145" spans="1:9" x14ac:dyDescent="0.3">
      <c r="A145" s="5">
        <v>10007</v>
      </c>
      <c r="B145" s="5" t="s">
        <v>275</v>
      </c>
      <c r="C145" s="5">
        <v>1</v>
      </c>
      <c r="D145" s="5" t="s">
        <v>10</v>
      </c>
      <c r="E145" t="s">
        <v>276</v>
      </c>
      <c r="F145" t="s">
        <v>277</v>
      </c>
      <c r="G145">
        <v>0</v>
      </c>
      <c r="H145" t="s">
        <v>279</v>
      </c>
      <c r="I145" s="2">
        <v>10000</v>
      </c>
    </row>
    <row r="146" spans="1:9" x14ac:dyDescent="0.3">
      <c r="A146" s="5">
        <v>10007</v>
      </c>
      <c r="B146" s="5" t="s">
        <v>275</v>
      </c>
      <c r="C146" s="5">
        <v>1</v>
      </c>
      <c r="D146" s="5" t="s">
        <v>10</v>
      </c>
      <c r="E146" t="s">
        <v>276</v>
      </c>
      <c r="F146" t="s">
        <v>277</v>
      </c>
      <c r="G146">
        <v>0</v>
      </c>
      <c r="H146" t="s">
        <v>280</v>
      </c>
      <c r="I146" s="2">
        <v>7000</v>
      </c>
    </row>
    <row r="147" spans="1:9" x14ac:dyDescent="0.3">
      <c r="A147" s="5">
        <v>10006</v>
      </c>
      <c r="B147" s="5" t="s">
        <v>281</v>
      </c>
      <c r="C147" s="5">
        <v>1</v>
      </c>
      <c r="D147" s="5" t="s">
        <v>10</v>
      </c>
      <c r="E147" t="s">
        <v>282</v>
      </c>
      <c r="F147" t="s">
        <v>283</v>
      </c>
      <c r="G147">
        <v>0</v>
      </c>
      <c r="H147" t="s">
        <v>284</v>
      </c>
      <c r="I147" s="2">
        <v>9000</v>
      </c>
    </row>
    <row r="148" spans="1:9" x14ac:dyDescent="0.3">
      <c r="A148" s="5">
        <v>10006</v>
      </c>
      <c r="B148" s="5" t="s">
        <v>281</v>
      </c>
      <c r="C148" s="5">
        <v>1</v>
      </c>
      <c r="D148" s="5" t="s">
        <v>10</v>
      </c>
      <c r="E148" t="s">
        <v>282</v>
      </c>
      <c r="F148" t="s">
        <v>283</v>
      </c>
      <c r="G148">
        <v>0</v>
      </c>
      <c r="H148" t="s">
        <v>241</v>
      </c>
      <c r="I148" s="2">
        <v>7000</v>
      </c>
    </row>
    <row r="149" spans="1:9" x14ac:dyDescent="0.3">
      <c r="A149" s="5">
        <v>10005</v>
      </c>
      <c r="B149" s="5" t="s">
        <v>285</v>
      </c>
      <c r="C149" s="5">
        <v>1</v>
      </c>
      <c r="D149" s="5" t="s">
        <v>10</v>
      </c>
      <c r="E149" t="s">
        <v>286</v>
      </c>
      <c r="F149" t="s">
        <v>287</v>
      </c>
      <c r="G149">
        <v>0</v>
      </c>
      <c r="H149" t="s">
        <v>288</v>
      </c>
      <c r="I149" s="2">
        <v>7000</v>
      </c>
    </row>
    <row r="150" spans="1:9" x14ac:dyDescent="0.3">
      <c r="A150" s="5">
        <v>10004</v>
      </c>
      <c r="B150" s="5" t="s">
        <v>289</v>
      </c>
      <c r="C150" s="5">
        <v>1</v>
      </c>
      <c r="D150" s="5" t="s">
        <v>10</v>
      </c>
      <c r="E150" t="s">
        <v>290</v>
      </c>
      <c r="F150" t="s">
        <v>291</v>
      </c>
      <c r="G150">
        <v>0</v>
      </c>
      <c r="H150" t="s">
        <v>259</v>
      </c>
      <c r="I150" s="2">
        <v>8000</v>
      </c>
    </row>
    <row r="151" spans="1:9" x14ac:dyDescent="0.3">
      <c r="A151" s="5">
        <v>10003</v>
      </c>
      <c r="B151" s="5" t="s">
        <v>292</v>
      </c>
      <c r="C151" s="5">
        <v>4</v>
      </c>
      <c r="D151" s="5" t="s">
        <v>39</v>
      </c>
      <c r="E151" t="s">
        <v>293</v>
      </c>
      <c r="F151" t="s">
        <v>294</v>
      </c>
      <c r="G151">
        <v>0</v>
      </c>
      <c r="H151" t="s">
        <v>295</v>
      </c>
      <c r="I151" s="2">
        <v>8900</v>
      </c>
    </row>
    <row r="152" spans="1:9" x14ac:dyDescent="0.3">
      <c r="A152" s="5">
        <v>10003</v>
      </c>
      <c r="B152" s="5" t="s">
        <v>292</v>
      </c>
      <c r="C152" s="5">
        <v>4</v>
      </c>
      <c r="D152" s="5" t="s">
        <v>39</v>
      </c>
      <c r="E152" t="s">
        <v>293</v>
      </c>
      <c r="F152" t="s">
        <v>294</v>
      </c>
      <c r="G152">
        <v>0</v>
      </c>
      <c r="H152" t="s">
        <v>296</v>
      </c>
      <c r="I152" s="2">
        <v>12900</v>
      </c>
    </row>
    <row r="153" spans="1:9" x14ac:dyDescent="0.3">
      <c r="A153" s="5">
        <v>10002</v>
      </c>
      <c r="B153" s="5" t="s">
        <v>297</v>
      </c>
      <c r="C153" s="5">
        <v>1</v>
      </c>
      <c r="D153" s="5" t="s">
        <v>10</v>
      </c>
      <c r="E153" t="s">
        <v>298</v>
      </c>
      <c r="F153" t="s">
        <v>299</v>
      </c>
      <c r="G153">
        <v>0</v>
      </c>
      <c r="H153" t="s">
        <v>300</v>
      </c>
      <c r="I153" s="2">
        <v>7000</v>
      </c>
    </row>
    <row r="154" spans="1:9" x14ac:dyDescent="0.3">
      <c r="A154" s="5">
        <v>10002</v>
      </c>
      <c r="B154" s="5" t="s">
        <v>297</v>
      </c>
      <c r="C154" s="5">
        <v>1</v>
      </c>
      <c r="D154" s="5" t="s">
        <v>10</v>
      </c>
      <c r="E154" t="s">
        <v>298</v>
      </c>
      <c r="F154" t="s">
        <v>299</v>
      </c>
      <c r="G154">
        <v>0</v>
      </c>
      <c r="H154" t="s">
        <v>278</v>
      </c>
      <c r="I154" s="2">
        <v>7000</v>
      </c>
    </row>
    <row r="155" spans="1:9" x14ac:dyDescent="0.3">
      <c r="A155" s="5">
        <v>10002</v>
      </c>
      <c r="B155" s="5" t="s">
        <v>297</v>
      </c>
      <c r="C155" s="5">
        <v>1</v>
      </c>
      <c r="D155" s="5" t="s">
        <v>10</v>
      </c>
      <c r="E155" t="s">
        <v>298</v>
      </c>
      <c r="F155" t="s">
        <v>299</v>
      </c>
      <c r="G155">
        <v>0</v>
      </c>
      <c r="H155" t="s">
        <v>301</v>
      </c>
      <c r="I155" s="2">
        <v>8000</v>
      </c>
    </row>
    <row r="156" spans="1:9" x14ac:dyDescent="0.3">
      <c r="A156" s="5">
        <v>10001</v>
      </c>
      <c r="B156" s="5" t="s">
        <v>302</v>
      </c>
      <c r="C156" s="5">
        <v>3</v>
      </c>
      <c r="D156" s="5" t="s">
        <v>44</v>
      </c>
      <c r="E156" t="s">
        <v>303</v>
      </c>
      <c r="F156" t="s">
        <v>74</v>
      </c>
      <c r="G156">
        <v>0</v>
      </c>
      <c r="H156" t="s">
        <v>304</v>
      </c>
      <c r="I156" s="2">
        <v>8000</v>
      </c>
    </row>
    <row r="157" spans="1:9" x14ac:dyDescent="0.3">
      <c r="A157" s="5">
        <v>10000</v>
      </c>
      <c r="B157" s="5" t="s">
        <v>305</v>
      </c>
      <c r="C157" s="5">
        <v>1</v>
      </c>
      <c r="D157" s="5" t="s">
        <v>10</v>
      </c>
      <c r="E157" t="s">
        <v>306</v>
      </c>
      <c r="F157" t="s">
        <v>74</v>
      </c>
      <c r="G157">
        <v>0</v>
      </c>
      <c r="H157" t="s">
        <v>139</v>
      </c>
      <c r="I157" s="2">
        <v>6000</v>
      </c>
    </row>
    <row r="158" spans="1:9" x14ac:dyDescent="0.3">
      <c r="A158" s="5">
        <v>10000</v>
      </c>
      <c r="B158" s="5" t="s">
        <v>305</v>
      </c>
      <c r="C158" s="5">
        <v>1</v>
      </c>
      <c r="D158" s="5" t="s">
        <v>10</v>
      </c>
      <c r="E158" t="s">
        <v>306</v>
      </c>
      <c r="F158" t="s">
        <v>74</v>
      </c>
      <c r="G158">
        <v>0</v>
      </c>
      <c r="H158" t="s">
        <v>37</v>
      </c>
      <c r="I158" s="2">
        <v>6500</v>
      </c>
    </row>
    <row r="159" spans="1:9" x14ac:dyDescent="0.3">
      <c r="A159" s="5">
        <v>9999</v>
      </c>
      <c r="B159" s="5" t="s">
        <v>307</v>
      </c>
      <c r="C159" s="5">
        <v>3</v>
      </c>
      <c r="D159" s="5" t="s">
        <v>44</v>
      </c>
      <c r="E159" t="s">
        <v>308</v>
      </c>
      <c r="F159" t="s">
        <v>309</v>
      </c>
      <c r="G159">
        <v>0</v>
      </c>
      <c r="H159" t="s">
        <v>310</v>
      </c>
      <c r="I159" s="2">
        <v>10000</v>
      </c>
    </row>
    <row r="160" spans="1:9" x14ac:dyDescent="0.3">
      <c r="A160" s="5">
        <v>9998</v>
      </c>
      <c r="B160" s="5" t="s">
        <v>311</v>
      </c>
      <c r="C160" s="5">
        <v>3</v>
      </c>
      <c r="D160" s="5" t="s">
        <v>44</v>
      </c>
      <c r="E160" t="s">
        <v>312</v>
      </c>
      <c r="F160" t="s">
        <v>313</v>
      </c>
      <c r="G160">
        <v>0</v>
      </c>
      <c r="H160" t="s">
        <v>304</v>
      </c>
      <c r="I160" s="2">
        <v>8500</v>
      </c>
    </row>
    <row r="161" spans="1:9" x14ac:dyDescent="0.3">
      <c r="A161" s="5">
        <v>9997</v>
      </c>
      <c r="B161" s="5" t="s">
        <v>314</v>
      </c>
      <c r="C161" s="5">
        <v>3</v>
      </c>
      <c r="D161" s="5" t="s">
        <v>44</v>
      </c>
      <c r="E161" t="s">
        <v>315</v>
      </c>
      <c r="F161" t="s">
        <v>316</v>
      </c>
      <c r="G161">
        <v>0</v>
      </c>
      <c r="H161" t="s">
        <v>310</v>
      </c>
      <c r="I161" s="2">
        <v>12000</v>
      </c>
    </row>
    <row r="162" spans="1:9" x14ac:dyDescent="0.3">
      <c r="A162" s="5">
        <v>9996</v>
      </c>
      <c r="B162" s="5" t="s">
        <v>317</v>
      </c>
      <c r="C162" s="5">
        <v>1</v>
      </c>
      <c r="D162" s="5" t="s">
        <v>10</v>
      </c>
      <c r="E162" t="s">
        <v>318</v>
      </c>
      <c r="F162" t="s">
        <v>319</v>
      </c>
      <c r="G162">
        <v>0</v>
      </c>
      <c r="H162" t="s">
        <v>320</v>
      </c>
      <c r="I162" s="2">
        <v>10500</v>
      </c>
    </row>
    <row r="163" spans="1:9" x14ac:dyDescent="0.3">
      <c r="A163" s="5">
        <v>9995</v>
      </c>
      <c r="B163" s="5" t="s">
        <v>321</v>
      </c>
      <c r="C163" s="5">
        <v>1</v>
      </c>
      <c r="D163" s="5" t="s">
        <v>10</v>
      </c>
      <c r="E163" t="s">
        <v>322</v>
      </c>
      <c r="F163" t="s">
        <v>323</v>
      </c>
      <c r="G163">
        <v>0</v>
      </c>
      <c r="H163" t="s">
        <v>324</v>
      </c>
      <c r="I163" s="2">
        <v>7000</v>
      </c>
    </row>
    <row r="164" spans="1:9" x14ac:dyDescent="0.3">
      <c r="A164" s="5">
        <v>9994</v>
      </c>
      <c r="B164" s="5" t="s">
        <v>325</v>
      </c>
      <c r="C164" s="5">
        <v>1</v>
      </c>
      <c r="D164" s="5" t="s">
        <v>10</v>
      </c>
      <c r="E164" t="s">
        <v>326</v>
      </c>
      <c r="F164" t="s">
        <v>327</v>
      </c>
      <c r="G164">
        <v>0</v>
      </c>
      <c r="H164" t="s">
        <v>145</v>
      </c>
      <c r="I164" s="2">
        <v>5500</v>
      </c>
    </row>
    <row r="165" spans="1:9" x14ac:dyDescent="0.3">
      <c r="A165" s="5">
        <v>9993</v>
      </c>
      <c r="B165" s="5" t="s">
        <v>328</v>
      </c>
      <c r="C165" s="5">
        <v>1</v>
      </c>
      <c r="D165" s="5" t="s">
        <v>10</v>
      </c>
      <c r="E165" t="s">
        <v>329</v>
      </c>
      <c r="F165" t="s">
        <v>330</v>
      </c>
      <c r="G165">
        <v>0</v>
      </c>
      <c r="H165" t="s">
        <v>331</v>
      </c>
      <c r="I165" s="2">
        <v>8000</v>
      </c>
    </row>
    <row r="166" spans="1:9" x14ac:dyDescent="0.3">
      <c r="A166" s="5">
        <v>9992</v>
      </c>
      <c r="B166" s="5" t="s">
        <v>332</v>
      </c>
      <c r="C166" s="5">
        <v>1</v>
      </c>
      <c r="D166" s="5" t="s">
        <v>10</v>
      </c>
      <c r="E166" t="s">
        <v>333</v>
      </c>
      <c r="F166" t="s">
        <v>74</v>
      </c>
      <c r="G166">
        <v>0</v>
      </c>
      <c r="H166" t="s">
        <v>126</v>
      </c>
      <c r="I166" s="2">
        <v>3000</v>
      </c>
    </row>
    <row r="167" spans="1:9" x14ac:dyDescent="0.3">
      <c r="A167" s="5">
        <v>9991</v>
      </c>
      <c r="B167" s="5" t="s">
        <v>334</v>
      </c>
      <c r="C167" s="5">
        <v>1</v>
      </c>
      <c r="D167" s="5" t="s">
        <v>10</v>
      </c>
      <c r="E167" t="s">
        <v>335</v>
      </c>
      <c r="F167" t="s">
        <v>336</v>
      </c>
      <c r="G167">
        <v>0</v>
      </c>
      <c r="H167" t="s">
        <v>337</v>
      </c>
      <c r="I167" s="2">
        <v>7000</v>
      </c>
    </row>
    <row r="168" spans="1:9" x14ac:dyDescent="0.3">
      <c r="A168" s="5">
        <v>9991</v>
      </c>
      <c r="B168" s="5" t="s">
        <v>334</v>
      </c>
      <c r="C168" s="5">
        <v>1</v>
      </c>
      <c r="D168" s="5" t="s">
        <v>10</v>
      </c>
      <c r="E168" t="s">
        <v>335</v>
      </c>
      <c r="F168" t="s">
        <v>336</v>
      </c>
      <c r="G168">
        <v>0</v>
      </c>
      <c r="H168" t="s">
        <v>338</v>
      </c>
      <c r="I168" s="2">
        <v>9000</v>
      </c>
    </row>
    <row r="169" spans="1:9" x14ac:dyDescent="0.3">
      <c r="A169" s="5">
        <v>9990</v>
      </c>
      <c r="B169" s="5" t="s">
        <v>339</v>
      </c>
      <c r="C169" s="5">
        <v>4</v>
      </c>
      <c r="D169" s="5" t="s">
        <v>39</v>
      </c>
      <c r="E169" t="s">
        <v>340</v>
      </c>
      <c r="G169">
        <v>0</v>
      </c>
      <c r="H169" t="s">
        <v>341</v>
      </c>
      <c r="I169" s="2">
        <v>2100</v>
      </c>
    </row>
    <row r="170" spans="1:9" x14ac:dyDescent="0.3">
      <c r="A170" s="5">
        <v>9990</v>
      </c>
      <c r="B170" s="5" t="s">
        <v>339</v>
      </c>
      <c r="C170" s="5">
        <v>4</v>
      </c>
      <c r="D170" s="5" t="s">
        <v>39</v>
      </c>
      <c r="E170" t="s">
        <v>340</v>
      </c>
      <c r="G170">
        <v>0</v>
      </c>
      <c r="H170" t="s">
        <v>342</v>
      </c>
      <c r="I170" s="2">
        <v>2500</v>
      </c>
    </row>
    <row r="171" spans="1:9" x14ac:dyDescent="0.3">
      <c r="A171" s="5">
        <v>9990</v>
      </c>
      <c r="B171" s="5" t="s">
        <v>339</v>
      </c>
      <c r="C171" s="5">
        <v>4</v>
      </c>
      <c r="D171" s="5" t="s">
        <v>39</v>
      </c>
      <c r="E171" t="s">
        <v>340</v>
      </c>
      <c r="G171">
        <v>0</v>
      </c>
      <c r="H171" t="s">
        <v>343</v>
      </c>
      <c r="I171" s="2">
        <v>1200</v>
      </c>
    </row>
    <row r="172" spans="1:9" x14ac:dyDescent="0.3">
      <c r="A172" s="5">
        <v>9989</v>
      </c>
      <c r="B172" s="5" t="s">
        <v>344</v>
      </c>
      <c r="C172" s="5">
        <v>1</v>
      </c>
      <c r="D172" s="5" t="s">
        <v>10</v>
      </c>
      <c r="E172" t="s">
        <v>345</v>
      </c>
      <c r="G172">
        <v>0</v>
      </c>
      <c r="H172" t="s">
        <v>37</v>
      </c>
      <c r="I172" s="2">
        <v>7000</v>
      </c>
    </row>
    <row r="173" spans="1:9" x14ac:dyDescent="0.3">
      <c r="A173" s="5">
        <v>9989</v>
      </c>
      <c r="B173" s="5" t="s">
        <v>344</v>
      </c>
      <c r="C173" s="5">
        <v>1</v>
      </c>
      <c r="D173" s="5" t="s">
        <v>10</v>
      </c>
      <c r="E173" t="s">
        <v>345</v>
      </c>
      <c r="G173">
        <v>0</v>
      </c>
      <c r="H173" t="s">
        <v>126</v>
      </c>
      <c r="I173" s="2">
        <v>7000</v>
      </c>
    </row>
    <row r="174" spans="1:9" x14ac:dyDescent="0.3">
      <c r="A174" s="5">
        <v>9989</v>
      </c>
      <c r="B174" s="5" t="s">
        <v>344</v>
      </c>
      <c r="C174" s="5">
        <v>1</v>
      </c>
      <c r="D174" s="5" t="s">
        <v>10</v>
      </c>
      <c r="E174" t="s">
        <v>345</v>
      </c>
      <c r="G174">
        <v>0</v>
      </c>
      <c r="H174" t="s">
        <v>346</v>
      </c>
      <c r="I174" s="2">
        <v>7000</v>
      </c>
    </row>
    <row r="175" spans="1:9" x14ac:dyDescent="0.3">
      <c r="A175" s="5">
        <v>9988</v>
      </c>
      <c r="B175" s="5" t="s">
        <v>347</v>
      </c>
      <c r="C175" s="5">
        <v>1</v>
      </c>
      <c r="D175" s="5" t="s">
        <v>10</v>
      </c>
      <c r="E175" t="s">
        <v>348</v>
      </c>
      <c r="F175" t="s">
        <v>349</v>
      </c>
      <c r="G175">
        <v>0</v>
      </c>
      <c r="H175" t="s">
        <v>350</v>
      </c>
      <c r="I175" s="2">
        <v>15000</v>
      </c>
    </row>
    <row r="176" spans="1:9" x14ac:dyDescent="0.3">
      <c r="A176" s="5">
        <v>9988</v>
      </c>
      <c r="B176" s="5" t="s">
        <v>347</v>
      </c>
      <c r="C176" s="5">
        <v>1</v>
      </c>
      <c r="D176" s="5" t="s">
        <v>10</v>
      </c>
      <c r="E176" t="s">
        <v>348</v>
      </c>
      <c r="F176" t="s">
        <v>349</v>
      </c>
      <c r="G176">
        <v>0</v>
      </c>
      <c r="H176" t="s">
        <v>351</v>
      </c>
      <c r="I176" s="2">
        <v>15000</v>
      </c>
    </row>
    <row r="177" spans="1:9" x14ac:dyDescent="0.3">
      <c r="A177" s="5">
        <v>9988</v>
      </c>
      <c r="B177" s="5" t="s">
        <v>347</v>
      </c>
      <c r="C177" s="5">
        <v>1</v>
      </c>
      <c r="D177" s="5" t="s">
        <v>10</v>
      </c>
      <c r="E177" t="s">
        <v>348</v>
      </c>
      <c r="F177" t="s">
        <v>349</v>
      </c>
      <c r="G177">
        <v>0</v>
      </c>
      <c r="H177" t="s">
        <v>352</v>
      </c>
      <c r="I177" s="2">
        <v>11800</v>
      </c>
    </row>
    <row r="178" spans="1:9" x14ac:dyDescent="0.3">
      <c r="A178" s="5">
        <v>9987</v>
      </c>
      <c r="B178" s="5" t="s">
        <v>353</v>
      </c>
      <c r="C178" s="5">
        <v>1</v>
      </c>
      <c r="D178" s="5" t="s">
        <v>10</v>
      </c>
      <c r="E178" t="s">
        <v>354</v>
      </c>
      <c r="F178" t="s">
        <v>355</v>
      </c>
      <c r="G178">
        <v>0</v>
      </c>
      <c r="H178" t="s">
        <v>133</v>
      </c>
      <c r="I178" s="2">
        <v>7000</v>
      </c>
    </row>
    <row r="179" spans="1:9" x14ac:dyDescent="0.3">
      <c r="A179" s="5">
        <v>9987</v>
      </c>
      <c r="B179" s="5" t="s">
        <v>353</v>
      </c>
      <c r="C179" s="5">
        <v>1</v>
      </c>
      <c r="D179" s="5" t="s">
        <v>10</v>
      </c>
      <c r="E179" t="s">
        <v>354</v>
      </c>
      <c r="F179" t="s">
        <v>355</v>
      </c>
      <c r="G179">
        <v>0</v>
      </c>
      <c r="H179" t="s">
        <v>126</v>
      </c>
      <c r="I179" s="2">
        <v>7000</v>
      </c>
    </row>
    <row r="180" spans="1:9" x14ac:dyDescent="0.3">
      <c r="A180" s="5">
        <v>9987</v>
      </c>
      <c r="B180" s="5" t="s">
        <v>353</v>
      </c>
      <c r="C180" s="5">
        <v>1</v>
      </c>
      <c r="D180" s="5" t="s">
        <v>10</v>
      </c>
      <c r="E180" t="s">
        <v>354</v>
      </c>
      <c r="F180" t="s">
        <v>355</v>
      </c>
      <c r="G180">
        <v>0</v>
      </c>
      <c r="H180" t="s">
        <v>356</v>
      </c>
      <c r="I180" s="2">
        <v>7000</v>
      </c>
    </row>
    <row r="181" spans="1:9" x14ac:dyDescent="0.3">
      <c r="A181" s="5">
        <v>9986</v>
      </c>
      <c r="B181" s="5" t="s">
        <v>357</v>
      </c>
      <c r="C181" s="5">
        <v>1</v>
      </c>
      <c r="D181" s="5" t="s">
        <v>10</v>
      </c>
      <c r="E181" t="s">
        <v>358</v>
      </c>
      <c r="G181">
        <v>0</v>
      </c>
      <c r="H181" t="s">
        <v>133</v>
      </c>
      <c r="I181" s="2">
        <v>4000</v>
      </c>
    </row>
    <row r="182" spans="1:9" x14ac:dyDescent="0.3">
      <c r="A182" s="5">
        <v>9986</v>
      </c>
      <c r="B182" s="5" t="s">
        <v>357</v>
      </c>
      <c r="C182" s="5">
        <v>1</v>
      </c>
      <c r="D182" s="5" t="s">
        <v>10</v>
      </c>
      <c r="E182" t="s">
        <v>358</v>
      </c>
      <c r="G182">
        <v>0</v>
      </c>
      <c r="H182" t="s">
        <v>149</v>
      </c>
      <c r="I182" s="2">
        <v>4000</v>
      </c>
    </row>
    <row r="183" spans="1:9" x14ac:dyDescent="0.3">
      <c r="A183" s="5">
        <v>9985</v>
      </c>
      <c r="B183" s="5" t="s">
        <v>359</v>
      </c>
      <c r="C183" s="5">
        <v>7</v>
      </c>
      <c r="D183" s="5" t="s">
        <v>360</v>
      </c>
      <c r="E183" t="s">
        <v>361</v>
      </c>
      <c r="F183" t="s">
        <v>362</v>
      </c>
      <c r="G183">
        <v>0</v>
      </c>
      <c r="H183" t="s">
        <v>363</v>
      </c>
      <c r="I183" s="2">
        <v>7000</v>
      </c>
    </row>
    <row r="184" spans="1:9" x14ac:dyDescent="0.3">
      <c r="A184" s="5">
        <v>9985</v>
      </c>
      <c r="B184" s="5" t="s">
        <v>359</v>
      </c>
      <c r="C184" s="5">
        <v>7</v>
      </c>
      <c r="D184" s="5" t="s">
        <v>360</v>
      </c>
      <c r="E184" t="s">
        <v>361</v>
      </c>
      <c r="F184" t="s">
        <v>362</v>
      </c>
      <c r="G184">
        <v>0</v>
      </c>
      <c r="H184" t="s">
        <v>364</v>
      </c>
      <c r="I184" s="2">
        <v>2000</v>
      </c>
    </row>
    <row r="185" spans="1:9" x14ac:dyDescent="0.3">
      <c r="A185" s="5">
        <v>9984</v>
      </c>
      <c r="B185" s="5" t="s">
        <v>365</v>
      </c>
      <c r="C185" s="5">
        <v>1</v>
      </c>
      <c r="D185" s="5" t="s">
        <v>10</v>
      </c>
      <c r="E185" t="s">
        <v>366</v>
      </c>
      <c r="F185" t="s">
        <v>367</v>
      </c>
      <c r="G185">
        <v>0</v>
      </c>
      <c r="H185" t="s">
        <v>21</v>
      </c>
      <c r="I185" s="2">
        <v>6000</v>
      </c>
    </row>
    <row r="186" spans="1:9" x14ac:dyDescent="0.3">
      <c r="A186" s="5">
        <v>9984</v>
      </c>
      <c r="B186" s="5" t="s">
        <v>365</v>
      </c>
      <c r="C186" s="5">
        <v>1</v>
      </c>
      <c r="D186" s="5" t="s">
        <v>10</v>
      </c>
      <c r="E186" t="s">
        <v>366</v>
      </c>
      <c r="F186" t="s">
        <v>367</v>
      </c>
      <c r="G186">
        <v>0</v>
      </c>
      <c r="H186" t="s">
        <v>368</v>
      </c>
      <c r="I186" s="2">
        <v>6000</v>
      </c>
    </row>
    <row r="187" spans="1:9" x14ac:dyDescent="0.3">
      <c r="A187" s="5">
        <v>9983</v>
      </c>
      <c r="B187" s="5" t="s">
        <v>369</v>
      </c>
      <c r="C187" s="5">
        <v>1</v>
      </c>
      <c r="D187" s="5" t="s">
        <v>10</v>
      </c>
      <c r="E187" t="s">
        <v>370</v>
      </c>
      <c r="F187" t="s">
        <v>371</v>
      </c>
      <c r="G187">
        <v>0</v>
      </c>
      <c r="H187" t="s">
        <v>372</v>
      </c>
      <c r="I187" s="2">
        <v>4000</v>
      </c>
    </row>
    <row r="188" spans="1:9" x14ac:dyDescent="0.3">
      <c r="A188" s="5">
        <v>9983</v>
      </c>
      <c r="B188" s="5" t="s">
        <v>369</v>
      </c>
      <c r="C188" s="5">
        <v>1</v>
      </c>
      <c r="D188" s="5" t="s">
        <v>10</v>
      </c>
      <c r="E188" t="s">
        <v>370</v>
      </c>
      <c r="F188" t="s">
        <v>371</v>
      </c>
      <c r="G188">
        <v>0</v>
      </c>
      <c r="H188" t="s">
        <v>373</v>
      </c>
      <c r="I188" s="2">
        <v>2000</v>
      </c>
    </row>
    <row r="189" spans="1:9" x14ac:dyDescent="0.3">
      <c r="A189" s="5">
        <v>9983</v>
      </c>
      <c r="B189" s="5" t="s">
        <v>369</v>
      </c>
      <c r="C189" s="5">
        <v>1</v>
      </c>
      <c r="D189" s="5" t="s">
        <v>10</v>
      </c>
      <c r="E189" t="s">
        <v>370</v>
      </c>
      <c r="F189" t="s">
        <v>371</v>
      </c>
      <c r="G189">
        <v>0</v>
      </c>
      <c r="H189" t="s">
        <v>374</v>
      </c>
      <c r="I189" s="2">
        <v>3000</v>
      </c>
    </row>
    <row r="190" spans="1:9" x14ac:dyDescent="0.3">
      <c r="A190" s="5">
        <v>9982</v>
      </c>
      <c r="B190" s="5" t="s">
        <v>375</v>
      </c>
      <c r="C190" s="5">
        <v>4</v>
      </c>
      <c r="D190" s="5" t="s">
        <v>39</v>
      </c>
      <c r="E190" t="s">
        <v>376</v>
      </c>
      <c r="G190">
        <v>0</v>
      </c>
      <c r="H190" t="s">
        <v>377</v>
      </c>
      <c r="I190" s="2">
        <v>500</v>
      </c>
    </row>
    <row r="191" spans="1:9" x14ac:dyDescent="0.3">
      <c r="A191" s="5">
        <v>9982</v>
      </c>
      <c r="B191" s="5" t="s">
        <v>375</v>
      </c>
      <c r="C191" s="5">
        <v>4</v>
      </c>
      <c r="D191" s="5" t="s">
        <v>39</v>
      </c>
      <c r="E191" t="s">
        <v>376</v>
      </c>
      <c r="G191">
        <v>0</v>
      </c>
      <c r="H191" t="s">
        <v>378</v>
      </c>
      <c r="I191" s="2">
        <v>500</v>
      </c>
    </row>
    <row r="192" spans="1:9" x14ac:dyDescent="0.3">
      <c r="A192" s="5">
        <v>9981</v>
      </c>
      <c r="B192" s="5" t="s">
        <v>379</v>
      </c>
      <c r="C192" s="5">
        <v>2</v>
      </c>
      <c r="D192" s="5" t="s">
        <v>261</v>
      </c>
      <c r="E192" t="s">
        <v>380</v>
      </c>
      <c r="F192" t="s">
        <v>381</v>
      </c>
      <c r="G192">
        <v>0</v>
      </c>
      <c r="H192" t="s">
        <v>265</v>
      </c>
      <c r="I192" s="2">
        <v>6000</v>
      </c>
    </row>
    <row r="193" spans="1:9" x14ac:dyDescent="0.3">
      <c r="A193" s="5">
        <v>9981</v>
      </c>
      <c r="B193" s="5" t="s">
        <v>379</v>
      </c>
      <c r="C193" s="5">
        <v>2</v>
      </c>
      <c r="D193" s="5" t="s">
        <v>261</v>
      </c>
      <c r="E193" t="s">
        <v>380</v>
      </c>
      <c r="F193" t="s">
        <v>381</v>
      </c>
      <c r="G193">
        <v>0</v>
      </c>
      <c r="H193" t="s">
        <v>382</v>
      </c>
      <c r="I193" s="2">
        <v>4500</v>
      </c>
    </row>
    <row r="194" spans="1:9" x14ac:dyDescent="0.3">
      <c r="A194" s="5">
        <v>9981</v>
      </c>
      <c r="B194" s="5" t="s">
        <v>379</v>
      </c>
      <c r="C194" s="5">
        <v>2</v>
      </c>
      <c r="D194" s="5" t="s">
        <v>261</v>
      </c>
      <c r="E194" t="s">
        <v>380</v>
      </c>
      <c r="F194" t="s">
        <v>381</v>
      </c>
      <c r="G194">
        <v>0</v>
      </c>
      <c r="H194" t="s">
        <v>383</v>
      </c>
      <c r="I194" s="2">
        <v>6000</v>
      </c>
    </row>
    <row r="195" spans="1:9" x14ac:dyDescent="0.3">
      <c r="A195" s="5">
        <v>9980</v>
      </c>
      <c r="B195" s="5" t="s">
        <v>384</v>
      </c>
      <c r="C195" s="5">
        <v>1</v>
      </c>
      <c r="D195" s="5" t="s">
        <v>10</v>
      </c>
      <c r="E195" t="s">
        <v>385</v>
      </c>
      <c r="F195" t="s">
        <v>386</v>
      </c>
      <c r="G195">
        <v>0</v>
      </c>
      <c r="H195" t="s">
        <v>387</v>
      </c>
      <c r="I195" s="2">
        <v>8000</v>
      </c>
    </row>
    <row r="196" spans="1:9" x14ac:dyDescent="0.3">
      <c r="A196" s="5">
        <v>9980</v>
      </c>
      <c r="B196" s="5" t="s">
        <v>384</v>
      </c>
      <c r="C196" s="5">
        <v>1</v>
      </c>
      <c r="D196" s="5" t="s">
        <v>10</v>
      </c>
      <c r="E196" t="s">
        <v>385</v>
      </c>
      <c r="F196" t="s">
        <v>386</v>
      </c>
      <c r="G196">
        <v>0</v>
      </c>
      <c r="H196" t="s">
        <v>388</v>
      </c>
      <c r="I196" s="2">
        <v>7000</v>
      </c>
    </row>
    <row r="197" spans="1:9" x14ac:dyDescent="0.3">
      <c r="A197" s="5">
        <v>9980</v>
      </c>
      <c r="B197" s="5" t="s">
        <v>384</v>
      </c>
      <c r="C197" s="5">
        <v>1</v>
      </c>
      <c r="D197" s="5" t="s">
        <v>10</v>
      </c>
      <c r="E197" t="s">
        <v>385</v>
      </c>
      <c r="F197" t="s">
        <v>386</v>
      </c>
      <c r="G197">
        <v>0</v>
      </c>
      <c r="H197" t="s">
        <v>217</v>
      </c>
      <c r="I197" s="2">
        <v>16000</v>
      </c>
    </row>
    <row r="198" spans="1:9" x14ac:dyDescent="0.3">
      <c r="A198" s="5">
        <v>9979</v>
      </c>
      <c r="B198" s="5" t="s">
        <v>389</v>
      </c>
      <c r="C198" s="5">
        <v>1</v>
      </c>
      <c r="D198" s="5" t="s">
        <v>10</v>
      </c>
      <c r="E198" t="s">
        <v>390</v>
      </c>
      <c r="F198" t="s">
        <v>391</v>
      </c>
      <c r="G198">
        <v>0</v>
      </c>
      <c r="H198" t="s">
        <v>278</v>
      </c>
      <c r="I198" s="2">
        <v>9000</v>
      </c>
    </row>
    <row r="199" spans="1:9" x14ac:dyDescent="0.3">
      <c r="A199" s="5">
        <v>9979</v>
      </c>
      <c r="B199" s="5" t="s">
        <v>389</v>
      </c>
      <c r="C199" s="5">
        <v>1</v>
      </c>
      <c r="D199" s="5" t="s">
        <v>10</v>
      </c>
      <c r="E199" t="s">
        <v>390</v>
      </c>
      <c r="F199" t="s">
        <v>391</v>
      </c>
      <c r="G199">
        <v>0</v>
      </c>
      <c r="H199" t="s">
        <v>392</v>
      </c>
      <c r="I199" s="2">
        <v>20000</v>
      </c>
    </row>
    <row r="200" spans="1:9" x14ac:dyDescent="0.3">
      <c r="A200" s="5">
        <v>9978</v>
      </c>
      <c r="B200" s="5" t="s">
        <v>393</v>
      </c>
      <c r="C200" s="5">
        <v>1</v>
      </c>
      <c r="D200" s="5" t="s">
        <v>10</v>
      </c>
      <c r="E200" t="s">
        <v>394</v>
      </c>
      <c r="F200" t="s">
        <v>395</v>
      </c>
      <c r="G200">
        <v>0</v>
      </c>
      <c r="H200" t="s">
        <v>139</v>
      </c>
      <c r="I200" s="2">
        <v>8000</v>
      </c>
    </row>
    <row r="201" spans="1:9" x14ac:dyDescent="0.3">
      <c r="A201" s="5">
        <v>9978</v>
      </c>
      <c r="B201" s="5" t="s">
        <v>393</v>
      </c>
      <c r="C201" s="5">
        <v>1</v>
      </c>
      <c r="D201" s="5" t="s">
        <v>10</v>
      </c>
      <c r="E201" t="s">
        <v>394</v>
      </c>
      <c r="F201" t="s">
        <v>395</v>
      </c>
      <c r="G201">
        <v>0</v>
      </c>
      <c r="H201" t="s">
        <v>35</v>
      </c>
      <c r="I201" s="2">
        <v>10000</v>
      </c>
    </row>
    <row r="202" spans="1:9" x14ac:dyDescent="0.3">
      <c r="A202" s="5">
        <v>9978</v>
      </c>
      <c r="B202" s="5" t="s">
        <v>393</v>
      </c>
      <c r="C202" s="5">
        <v>1</v>
      </c>
      <c r="D202" s="5" t="s">
        <v>10</v>
      </c>
      <c r="E202" t="s">
        <v>394</v>
      </c>
      <c r="F202" t="s">
        <v>395</v>
      </c>
      <c r="G202">
        <v>0</v>
      </c>
      <c r="H202" t="s">
        <v>128</v>
      </c>
      <c r="I202" s="2">
        <v>8000</v>
      </c>
    </row>
    <row r="203" spans="1:9" x14ac:dyDescent="0.3">
      <c r="A203" s="5">
        <v>9977</v>
      </c>
      <c r="B203" s="5" t="s">
        <v>396</v>
      </c>
      <c r="C203" s="5">
        <v>4</v>
      </c>
      <c r="D203" s="5" t="s">
        <v>39</v>
      </c>
      <c r="E203" t="s">
        <v>397</v>
      </c>
      <c r="F203" t="s">
        <v>398</v>
      </c>
      <c r="G203">
        <v>0</v>
      </c>
      <c r="H203" t="s">
        <v>399</v>
      </c>
      <c r="I203" s="2">
        <v>4000</v>
      </c>
    </row>
    <row r="204" spans="1:9" x14ac:dyDescent="0.3">
      <c r="A204" s="5">
        <v>9977</v>
      </c>
      <c r="B204" s="5" t="s">
        <v>396</v>
      </c>
      <c r="C204" s="5">
        <v>4</v>
      </c>
      <c r="D204" s="5" t="s">
        <v>39</v>
      </c>
      <c r="E204" t="s">
        <v>397</v>
      </c>
      <c r="F204" t="s">
        <v>398</v>
      </c>
      <c r="G204">
        <v>0</v>
      </c>
      <c r="H204" t="s">
        <v>205</v>
      </c>
      <c r="I204" s="2">
        <v>2500</v>
      </c>
    </row>
    <row r="205" spans="1:9" x14ac:dyDescent="0.3">
      <c r="A205" s="5">
        <v>9976</v>
      </c>
      <c r="B205" s="5" t="s">
        <v>400</v>
      </c>
      <c r="C205" s="5">
        <v>1</v>
      </c>
      <c r="D205" s="5" t="s">
        <v>10</v>
      </c>
      <c r="E205" t="s">
        <v>401</v>
      </c>
      <c r="F205" t="s">
        <v>402</v>
      </c>
      <c r="G205">
        <v>0</v>
      </c>
      <c r="H205" t="s">
        <v>403</v>
      </c>
      <c r="I205" s="2">
        <v>8000</v>
      </c>
    </row>
    <row r="206" spans="1:9" x14ac:dyDescent="0.3">
      <c r="A206" s="5">
        <v>9976</v>
      </c>
      <c r="B206" s="5" t="s">
        <v>400</v>
      </c>
      <c r="C206" s="5">
        <v>1</v>
      </c>
      <c r="D206" s="5" t="s">
        <v>10</v>
      </c>
      <c r="E206" t="s">
        <v>401</v>
      </c>
      <c r="F206" t="s">
        <v>402</v>
      </c>
      <c r="G206">
        <v>0</v>
      </c>
      <c r="H206" t="s">
        <v>404</v>
      </c>
      <c r="I206" s="2">
        <v>8000</v>
      </c>
    </row>
    <row r="207" spans="1:9" x14ac:dyDescent="0.3">
      <c r="A207" s="5">
        <v>9976</v>
      </c>
      <c r="B207" s="5" t="s">
        <v>400</v>
      </c>
      <c r="C207" s="5">
        <v>1</v>
      </c>
      <c r="D207" s="5" t="s">
        <v>10</v>
      </c>
      <c r="E207" t="s">
        <v>401</v>
      </c>
      <c r="F207" t="s">
        <v>402</v>
      </c>
      <c r="G207">
        <v>0</v>
      </c>
      <c r="H207" t="s">
        <v>405</v>
      </c>
      <c r="I207" s="2">
        <v>8000</v>
      </c>
    </row>
    <row r="208" spans="1:9" x14ac:dyDescent="0.3">
      <c r="A208" s="5">
        <v>9975</v>
      </c>
      <c r="B208" s="5" t="s">
        <v>406</v>
      </c>
      <c r="C208" s="5">
        <v>1</v>
      </c>
      <c r="D208" s="5" t="s">
        <v>10</v>
      </c>
      <c r="E208" t="s">
        <v>407</v>
      </c>
      <c r="F208" t="s">
        <v>408</v>
      </c>
      <c r="G208">
        <v>0</v>
      </c>
      <c r="H208" t="s">
        <v>143</v>
      </c>
      <c r="I208" s="2">
        <v>8000</v>
      </c>
    </row>
    <row r="209" spans="1:9" x14ac:dyDescent="0.3">
      <c r="A209" s="5">
        <v>9975</v>
      </c>
      <c r="B209" s="5" t="s">
        <v>406</v>
      </c>
      <c r="C209" s="5">
        <v>1</v>
      </c>
      <c r="D209" s="5" t="s">
        <v>10</v>
      </c>
      <c r="E209" t="s">
        <v>407</v>
      </c>
      <c r="F209" t="s">
        <v>408</v>
      </c>
      <c r="G209">
        <v>0</v>
      </c>
      <c r="H209" t="s">
        <v>409</v>
      </c>
      <c r="I209" s="2">
        <v>9000</v>
      </c>
    </row>
    <row r="210" spans="1:9" x14ac:dyDescent="0.3">
      <c r="A210" s="5">
        <v>9974</v>
      </c>
      <c r="B210" s="5" t="s">
        <v>410</v>
      </c>
      <c r="C210" s="5">
        <v>1</v>
      </c>
      <c r="D210" s="5" t="s">
        <v>10</v>
      </c>
      <c r="E210" t="s">
        <v>411</v>
      </c>
      <c r="F210" t="s">
        <v>412</v>
      </c>
      <c r="G210">
        <v>0</v>
      </c>
      <c r="H210" t="s">
        <v>126</v>
      </c>
      <c r="I210" s="2">
        <v>7000</v>
      </c>
    </row>
    <row r="211" spans="1:9" x14ac:dyDescent="0.3">
      <c r="A211" s="5">
        <v>9974</v>
      </c>
      <c r="B211" s="5" t="s">
        <v>410</v>
      </c>
      <c r="C211" s="5">
        <v>1</v>
      </c>
      <c r="D211" s="5" t="s">
        <v>10</v>
      </c>
      <c r="E211" t="s">
        <v>411</v>
      </c>
      <c r="F211" t="s">
        <v>412</v>
      </c>
      <c r="G211">
        <v>0</v>
      </c>
      <c r="H211" t="s">
        <v>139</v>
      </c>
      <c r="I211" s="2">
        <v>7000</v>
      </c>
    </row>
    <row r="212" spans="1:9" x14ac:dyDescent="0.3">
      <c r="A212" s="5">
        <v>9974</v>
      </c>
      <c r="B212" s="5" t="s">
        <v>410</v>
      </c>
      <c r="C212" s="5">
        <v>1</v>
      </c>
      <c r="D212" s="5" t="s">
        <v>10</v>
      </c>
      <c r="E212" t="s">
        <v>411</v>
      </c>
      <c r="F212" t="s">
        <v>412</v>
      </c>
      <c r="G212">
        <v>0</v>
      </c>
      <c r="H212" t="s">
        <v>35</v>
      </c>
      <c r="I212" s="2">
        <v>8000</v>
      </c>
    </row>
    <row r="213" spans="1:9" x14ac:dyDescent="0.3">
      <c r="A213" s="5">
        <v>9973</v>
      </c>
      <c r="B213" s="5" t="s">
        <v>413</v>
      </c>
      <c r="C213" s="5">
        <v>1</v>
      </c>
      <c r="D213" s="5" t="s">
        <v>10</v>
      </c>
      <c r="E213" t="s">
        <v>414</v>
      </c>
      <c r="F213" t="s">
        <v>415</v>
      </c>
      <c r="G213">
        <v>0</v>
      </c>
      <c r="H213" t="s">
        <v>139</v>
      </c>
      <c r="I213" s="2">
        <v>7000</v>
      </c>
    </row>
    <row r="214" spans="1:9" x14ac:dyDescent="0.3">
      <c r="A214" s="5">
        <v>9973</v>
      </c>
      <c r="B214" s="5" t="s">
        <v>413</v>
      </c>
      <c r="C214" s="5">
        <v>1</v>
      </c>
      <c r="D214" s="5" t="s">
        <v>10</v>
      </c>
      <c r="E214" t="s">
        <v>414</v>
      </c>
      <c r="F214" t="s">
        <v>415</v>
      </c>
      <c r="G214">
        <v>0</v>
      </c>
      <c r="H214" t="s">
        <v>259</v>
      </c>
      <c r="I214" s="2">
        <v>6000</v>
      </c>
    </row>
    <row r="215" spans="1:9" x14ac:dyDescent="0.3">
      <c r="A215" s="5">
        <v>9972</v>
      </c>
      <c r="B215" s="5" t="s">
        <v>416</v>
      </c>
      <c r="C215" s="5">
        <v>1</v>
      </c>
      <c r="D215" s="5" t="s">
        <v>10</v>
      </c>
      <c r="E215" t="s">
        <v>417</v>
      </c>
      <c r="F215" t="s">
        <v>418</v>
      </c>
      <c r="G215">
        <v>0</v>
      </c>
      <c r="H215" t="s">
        <v>419</v>
      </c>
      <c r="I215" s="2">
        <v>11000</v>
      </c>
    </row>
    <row r="216" spans="1:9" x14ac:dyDescent="0.3">
      <c r="A216" s="5">
        <v>9972</v>
      </c>
      <c r="B216" s="5" t="s">
        <v>416</v>
      </c>
      <c r="C216" s="5">
        <v>1</v>
      </c>
      <c r="D216" s="5" t="s">
        <v>10</v>
      </c>
      <c r="E216" t="s">
        <v>417</v>
      </c>
      <c r="F216" t="s">
        <v>418</v>
      </c>
      <c r="G216">
        <v>0</v>
      </c>
      <c r="H216" t="s">
        <v>420</v>
      </c>
      <c r="I216" s="2">
        <v>10000</v>
      </c>
    </row>
    <row r="217" spans="1:9" x14ac:dyDescent="0.3">
      <c r="A217" s="5">
        <v>9971</v>
      </c>
      <c r="B217" s="5" t="s">
        <v>421</v>
      </c>
      <c r="C217" s="5">
        <v>13</v>
      </c>
      <c r="D217" s="5" t="s">
        <v>27</v>
      </c>
      <c r="E217" t="s">
        <v>422</v>
      </c>
      <c r="G217">
        <v>0</v>
      </c>
      <c r="H217" t="s">
        <v>423</v>
      </c>
      <c r="I217" s="2">
        <v>10000</v>
      </c>
    </row>
    <row r="218" spans="1:9" x14ac:dyDescent="0.3">
      <c r="A218" s="5">
        <v>9971</v>
      </c>
      <c r="B218" s="5" t="s">
        <v>421</v>
      </c>
      <c r="C218" s="5">
        <v>13</v>
      </c>
      <c r="D218" s="5" t="s">
        <v>27</v>
      </c>
      <c r="E218" t="s">
        <v>422</v>
      </c>
      <c r="G218">
        <v>0</v>
      </c>
      <c r="H218" t="s">
        <v>424</v>
      </c>
      <c r="I218" s="2">
        <v>15000</v>
      </c>
    </row>
    <row r="219" spans="1:9" x14ac:dyDescent="0.3">
      <c r="A219" s="5">
        <v>9970</v>
      </c>
      <c r="B219" s="5" t="s">
        <v>425</v>
      </c>
      <c r="C219" s="5">
        <v>4</v>
      </c>
      <c r="D219" s="5" t="s">
        <v>39</v>
      </c>
      <c r="E219" t="s">
        <v>426</v>
      </c>
      <c r="G219">
        <v>0</v>
      </c>
      <c r="H219" t="s">
        <v>205</v>
      </c>
      <c r="I219" s="2">
        <v>3000</v>
      </c>
    </row>
    <row r="220" spans="1:9" x14ac:dyDescent="0.3">
      <c r="A220" s="5">
        <v>9970</v>
      </c>
      <c r="B220" s="5" t="s">
        <v>425</v>
      </c>
      <c r="C220" s="5">
        <v>4</v>
      </c>
      <c r="D220" s="5" t="s">
        <v>39</v>
      </c>
      <c r="E220" t="s">
        <v>426</v>
      </c>
      <c r="G220">
        <v>0</v>
      </c>
      <c r="H220" t="s">
        <v>427</v>
      </c>
      <c r="I220" s="2">
        <v>1500</v>
      </c>
    </row>
    <row r="221" spans="1:9" x14ac:dyDescent="0.3">
      <c r="A221" s="5">
        <v>9969</v>
      </c>
      <c r="B221" s="5" t="s">
        <v>428</v>
      </c>
      <c r="C221" s="5">
        <v>1</v>
      </c>
      <c r="D221" s="5" t="s">
        <v>10</v>
      </c>
      <c r="E221" t="s">
        <v>429</v>
      </c>
      <c r="F221" t="s">
        <v>430</v>
      </c>
      <c r="G221">
        <v>0</v>
      </c>
      <c r="H221" t="s">
        <v>431</v>
      </c>
      <c r="I221" s="2">
        <v>10000</v>
      </c>
    </row>
    <row r="222" spans="1:9" x14ac:dyDescent="0.3">
      <c r="A222" s="5">
        <v>9969</v>
      </c>
      <c r="B222" s="5" t="s">
        <v>428</v>
      </c>
      <c r="C222" s="5">
        <v>1</v>
      </c>
      <c r="D222" s="5" t="s">
        <v>10</v>
      </c>
      <c r="E222" t="s">
        <v>429</v>
      </c>
      <c r="F222" t="s">
        <v>430</v>
      </c>
      <c r="G222">
        <v>0</v>
      </c>
      <c r="H222" t="s">
        <v>57</v>
      </c>
      <c r="I222" s="2">
        <v>9000</v>
      </c>
    </row>
    <row r="223" spans="1:9" x14ac:dyDescent="0.3">
      <c r="A223" s="5">
        <v>9968</v>
      </c>
      <c r="B223" s="5" t="s">
        <v>432</v>
      </c>
      <c r="C223" s="5">
        <v>2</v>
      </c>
      <c r="D223" s="5" t="s">
        <v>261</v>
      </c>
      <c r="E223" t="s">
        <v>433</v>
      </c>
      <c r="F223" t="s">
        <v>434</v>
      </c>
      <c r="G223">
        <v>0</v>
      </c>
      <c r="H223" t="s">
        <v>435</v>
      </c>
      <c r="I223" s="2">
        <v>7000</v>
      </c>
    </row>
    <row r="224" spans="1:9" x14ac:dyDescent="0.3">
      <c r="A224" s="5">
        <v>9968</v>
      </c>
      <c r="B224" s="5" t="s">
        <v>432</v>
      </c>
      <c r="C224" s="5">
        <v>2</v>
      </c>
      <c r="D224" s="5" t="s">
        <v>261</v>
      </c>
      <c r="E224" t="s">
        <v>433</v>
      </c>
      <c r="F224" t="s">
        <v>434</v>
      </c>
      <c r="G224">
        <v>0</v>
      </c>
      <c r="H224" t="s">
        <v>436</v>
      </c>
      <c r="I224" s="2">
        <v>16000</v>
      </c>
    </row>
    <row r="225" spans="1:9" x14ac:dyDescent="0.3">
      <c r="A225" s="5">
        <v>9967</v>
      </c>
      <c r="B225" s="5" t="s">
        <v>437</v>
      </c>
      <c r="C225" s="5">
        <v>1</v>
      </c>
      <c r="D225" s="5" t="s">
        <v>10</v>
      </c>
      <c r="E225" t="s">
        <v>438</v>
      </c>
      <c r="G225">
        <v>0</v>
      </c>
      <c r="H225" t="s">
        <v>439</v>
      </c>
      <c r="I225" s="2">
        <v>6000</v>
      </c>
    </row>
    <row r="226" spans="1:9" x14ac:dyDescent="0.3">
      <c r="A226" s="5">
        <v>9967</v>
      </c>
      <c r="B226" s="5" t="s">
        <v>437</v>
      </c>
      <c r="C226" s="5">
        <v>1</v>
      </c>
      <c r="D226" s="5" t="s">
        <v>10</v>
      </c>
      <c r="E226" t="s">
        <v>438</v>
      </c>
      <c r="G226">
        <v>0</v>
      </c>
      <c r="H226" t="s">
        <v>440</v>
      </c>
      <c r="I226" s="2">
        <v>3000</v>
      </c>
    </row>
    <row r="227" spans="1:9" x14ac:dyDescent="0.3">
      <c r="A227" s="5">
        <v>9967</v>
      </c>
      <c r="B227" s="5" t="s">
        <v>437</v>
      </c>
      <c r="C227" s="5">
        <v>1</v>
      </c>
      <c r="D227" s="5" t="s">
        <v>10</v>
      </c>
      <c r="E227" t="s">
        <v>438</v>
      </c>
      <c r="G227">
        <v>0</v>
      </c>
      <c r="H227" t="s">
        <v>441</v>
      </c>
      <c r="I227" s="2">
        <v>6000</v>
      </c>
    </row>
    <row r="228" spans="1:9" x14ac:dyDescent="0.3">
      <c r="A228" s="5">
        <v>9966</v>
      </c>
      <c r="B228" s="5" t="s">
        <v>442</v>
      </c>
      <c r="C228" s="5">
        <v>7</v>
      </c>
      <c r="D228" s="5" t="s">
        <v>360</v>
      </c>
      <c r="E228" t="s">
        <v>443</v>
      </c>
      <c r="F228" t="s">
        <v>444</v>
      </c>
      <c r="G228">
        <v>0</v>
      </c>
      <c r="H228" t="s">
        <v>445</v>
      </c>
      <c r="I228" s="2">
        <v>4000</v>
      </c>
    </row>
    <row r="229" spans="1:9" x14ac:dyDescent="0.3">
      <c r="A229" s="5">
        <v>9966</v>
      </c>
      <c r="B229" s="5" t="s">
        <v>442</v>
      </c>
      <c r="C229" s="5">
        <v>7</v>
      </c>
      <c r="D229" s="5" t="s">
        <v>360</v>
      </c>
      <c r="E229" t="s">
        <v>443</v>
      </c>
      <c r="F229" t="s">
        <v>444</v>
      </c>
      <c r="G229">
        <v>0</v>
      </c>
      <c r="H229" t="s">
        <v>446</v>
      </c>
      <c r="I229" s="2">
        <v>6000</v>
      </c>
    </row>
    <row r="230" spans="1:9" x14ac:dyDescent="0.3">
      <c r="A230" s="5">
        <v>9965</v>
      </c>
      <c r="B230" s="5" t="s">
        <v>447</v>
      </c>
      <c r="C230" s="5">
        <v>5</v>
      </c>
      <c r="D230" s="5" t="s">
        <v>63</v>
      </c>
      <c r="E230" t="s">
        <v>448</v>
      </c>
      <c r="F230" t="s">
        <v>449</v>
      </c>
      <c r="G230">
        <v>0</v>
      </c>
      <c r="H230" t="s">
        <v>450</v>
      </c>
      <c r="I230" s="2">
        <v>13000</v>
      </c>
    </row>
    <row r="231" spans="1:9" x14ac:dyDescent="0.3">
      <c r="A231" s="5">
        <v>9965</v>
      </c>
      <c r="B231" s="5" t="s">
        <v>447</v>
      </c>
      <c r="C231" s="5">
        <v>5</v>
      </c>
      <c r="D231" s="5" t="s">
        <v>63</v>
      </c>
      <c r="E231" t="s">
        <v>448</v>
      </c>
      <c r="F231" t="s">
        <v>449</v>
      </c>
      <c r="G231">
        <v>0</v>
      </c>
      <c r="H231" t="s">
        <v>67</v>
      </c>
      <c r="I231" s="2">
        <v>7000</v>
      </c>
    </row>
    <row r="232" spans="1:9" x14ac:dyDescent="0.3">
      <c r="A232" s="5">
        <v>9965</v>
      </c>
      <c r="B232" s="5" t="s">
        <v>447</v>
      </c>
      <c r="C232" s="5">
        <v>5</v>
      </c>
      <c r="D232" s="5" t="s">
        <v>63</v>
      </c>
      <c r="E232" t="s">
        <v>448</v>
      </c>
      <c r="F232" t="s">
        <v>449</v>
      </c>
      <c r="G232">
        <v>0</v>
      </c>
      <c r="H232" t="s">
        <v>451</v>
      </c>
      <c r="I232" s="2">
        <v>20000</v>
      </c>
    </row>
    <row r="233" spans="1:9" x14ac:dyDescent="0.3">
      <c r="A233" s="5">
        <v>9964</v>
      </c>
      <c r="B233" s="5" t="s">
        <v>452</v>
      </c>
      <c r="C233" s="5">
        <v>5</v>
      </c>
      <c r="D233" s="5" t="s">
        <v>63</v>
      </c>
      <c r="E233" t="s">
        <v>453</v>
      </c>
      <c r="F233" t="s">
        <v>454</v>
      </c>
      <c r="G233">
        <v>0</v>
      </c>
      <c r="H233" t="s">
        <v>450</v>
      </c>
      <c r="I233" s="2">
        <v>10000</v>
      </c>
    </row>
    <row r="234" spans="1:9" x14ac:dyDescent="0.3">
      <c r="A234" s="5">
        <v>9964</v>
      </c>
      <c r="B234" s="5" t="s">
        <v>452</v>
      </c>
      <c r="C234" s="5">
        <v>5</v>
      </c>
      <c r="D234" s="5" t="s">
        <v>63</v>
      </c>
      <c r="E234" t="s">
        <v>453</v>
      </c>
      <c r="F234" t="s">
        <v>454</v>
      </c>
      <c r="G234">
        <v>0</v>
      </c>
      <c r="H234" t="s">
        <v>455</v>
      </c>
      <c r="I234" s="2">
        <v>20000</v>
      </c>
    </row>
    <row r="235" spans="1:9" x14ac:dyDescent="0.3">
      <c r="A235" s="5">
        <v>9964</v>
      </c>
      <c r="B235" s="5" t="s">
        <v>452</v>
      </c>
      <c r="C235" s="5">
        <v>5</v>
      </c>
      <c r="D235" s="5" t="s">
        <v>63</v>
      </c>
      <c r="E235" t="s">
        <v>453</v>
      </c>
      <c r="F235" t="s">
        <v>454</v>
      </c>
      <c r="G235">
        <v>0</v>
      </c>
      <c r="H235" t="s">
        <v>67</v>
      </c>
      <c r="I235" s="2">
        <v>10000</v>
      </c>
    </row>
    <row r="236" spans="1:9" x14ac:dyDescent="0.3">
      <c r="A236" s="5">
        <v>9963</v>
      </c>
      <c r="B236" s="5" t="s">
        <v>456</v>
      </c>
      <c r="C236" s="5">
        <v>5</v>
      </c>
      <c r="D236" s="5" t="s">
        <v>63</v>
      </c>
      <c r="E236" t="s">
        <v>457</v>
      </c>
      <c r="F236" t="s">
        <v>74</v>
      </c>
      <c r="G236">
        <v>0</v>
      </c>
      <c r="H236" t="s">
        <v>458</v>
      </c>
      <c r="I236" s="2">
        <v>18000</v>
      </c>
    </row>
    <row r="237" spans="1:9" x14ac:dyDescent="0.3">
      <c r="A237" s="5">
        <v>9963</v>
      </c>
      <c r="B237" s="5" t="s">
        <v>456</v>
      </c>
      <c r="C237" s="5">
        <v>5</v>
      </c>
      <c r="D237" s="5" t="s">
        <v>63</v>
      </c>
      <c r="E237" t="s">
        <v>457</v>
      </c>
      <c r="F237" t="s">
        <v>74</v>
      </c>
      <c r="G237">
        <v>0</v>
      </c>
      <c r="H237" t="s">
        <v>66</v>
      </c>
      <c r="I237" s="2">
        <v>25000</v>
      </c>
    </row>
    <row r="238" spans="1:9" x14ac:dyDescent="0.3">
      <c r="A238" s="5">
        <v>9962</v>
      </c>
      <c r="B238" s="5" t="s">
        <v>459</v>
      </c>
      <c r="C238" s="5">
        <v>5</v>
      </c>
      <c r="D238" s="5" t="s">
        <v>63</v>
      </c>
      <c r="E238" t="s">
        <v>460</v>
      </c>
      <c r="F238" t="s">
        <v>461</v>
      </c>
      <c r="G238">
        <v>0</v>
      </c>
      <c r="H238" t="s">
        <v>462</v>
      </c>
      <c r="I238" s="2">
        <v>16000</v>
      </c>
    </row>
    <row r="239" spans="1:9" x14ac:dyDescent="0.3">
      <c r="A239" s="5">
        <v>9962</v>
      </c>
      <c r="B239" s="5" t="s">
        <v>459</v>
      </c>
      <c r="C239" s="5">
        <v>5</v>
      </c>
      <c r="D239" s="5" t="s">
        <v>63</v>
      </c>
      <c r="E239" t="s">
        <v>460</v>
      </c>
      <c r="F239" t="s">
        <v>461</v>
      </c>
      <c r="G239">
        <v>0</v>
      </c>
      <c r="H239" t="s">
        <v>88</v>
      </c>
      <c r="I239" s="2">
        <v>50000</v>
      </c>
    </row>
    <row r="240" spans="1:9" x14ac:dyDescent="0.3">
      <c r="A240" s="5">
        <v>9961</v>
      </c>
      <c r="B240" s="5" t="s">
        <v>463</v>
      </c>
      <c r="C240" s="5">
        <v>4</v>
      </c>
      <c r="D240" s="5" t="s">
        <v>39</v>
      </c>
      <c r="E240" t="s">
        <v>464</v>
      </c>
      <c r="F240" t="s">
        <v>74</v>
      </c>
      <c r="G240">
        <v>0</v>
      </c>
      <c r="H240" t="s">
        <v>465</v>
      </c>
      <c r="I240" s="2">
        <v>4500</v>
      </c>
    </row>
    <row r="241" spans="1:9" x14ac:dyDescent="0.3">
      <c r="A241" s="5">
        <v>9961</v>
      </c>
      <c r="B241" s="5" t="s">
        <v>463</v>
      </c>
      <c r="C241" s="5">
        <v>4</v>
      </c>
      <c r="D241" s="5" t="s">
        <v>39</v>
      </c>
      <c r="E241" t="s">
        <v>464</v>
      </c>
      <c r="F241" t="s">
        <v>74</v>
      </c>
      <c r="G241">
        <v>0</v>
      </c>
      <c r="H241" t="s">
        <v>466</v>
      </c>
      <c r="I241" s="2">
        <v>4000</v>
      </c>
    </row>
    <row r="242" spans="1:9" x14ac:dyDescent="0.3">
      <c r="A242" s="5">
        <v>9960</v>
      </c>
      <c r="B242" s="5" t="s">
        <v>467</v>
      </c>
      <c r="C242" s="5">
        <v>1</v>
      </c>
      <c r="D242" s="5" t="s">
        <v>10</v>
      </c>
      <c r="E242" t="s">
        <v>468</v>
      </c>
      <c r="F242" t="s">
        <v>469</v>
      </c>
      <c r="G242">
        <v>0</v>
      </c>
      <c r="H242" t="s">
        <v>470</v>
      </c>
      <c r="I242" s="2">
        <v>9000</v>
      </c>
    </row>
    <row r="243" spans="1:9" x14ac:dyDescent="0.3">
      <c r="A243" s="5">
        <v>9960</v>
      </c>
      <c r="B243" s="5" t="s">
        <v>467</v>
      </c>
      <c r="C243" s="5">
        <v>1</v>
      </c>
      <c r="D243" s="5" t="s">
        <v>10</v>
      </c>
      <c r="E243" t="s">
        <v>468</v>
      </c>
      <c r="F243" t="s">
        <v>469</v>
      </c>
      <c r="G243">
        <v>0</v>
      </c>
      <c r="H243" t="s">
        <v>471</v>
      </c>
      <c r="I243" s="2">
        <v>9000</v>
      </c>
    </row>
    <row r="244" spans="1:9" x14ac:dyDescent="0.3">
      <c r="A244" s="5">
        <v>9959</v>
      </c>
      <c r="B244" s="5" t="s">
        <v>472</v>
      </c>
      <c r="C244" s="5">
        <v>3</v>
      </c>
      <c r="D244" s="5" t="s">
        <v>44</v>
      </c>
      <c r="E244" t="s">
        <v>473</v>
      </c>
      <c r="F244" t="s">
        <v>474</v>
      </c>
      <c r="G244">
        <v>0</v>
      </c>
      <c r="H244" t="s">
        <v>475</v>
      </c>
      <c r="I244" s="2">
        <v>15000</v>
      </c>
    </row>
    <row r="245" spans="1:9" x14ac:dyDescent="0.3">
      <c r="A245" s="5">
        <v>9959</v>
      </c>
      <c r="B245" s="5" t="s">
        <v>472</v>
      </c>
      <c r="C245" s="5">
        <v>3</v>
      </c>
      <c r="D245" s="5" t="s">
        <v>44</v>
      </c>
      <c r="E245" t="s">
        <v>473</v>
      </c>
      <c r="F245" t="s">
        <v>474</v>
      </c>
      <c r="G245">
        <v>0</v>
      </c>
      <c r="H245" t="s">
        <v>476</v>
      </c>
      <c r="I245" s="2">
        <v>10000</v>
      </c>
    </row>
    <row r="246" spans="1:9" x14ac:dyDescent="0.3">
      <c r="A246" s="5">
        <v>9958</v>
      </c>
      <c r="B246" s="5" t="s">
        <v>477</v>
      </c>
      <c r="C246" s="5">
        <v>1</v>
      </c>
      <c r="D246" s="5" t="s">
        <v>10</v>
      </c>
      <c r="E246" t="s">
        <v>478</v>
      </c>
      <c r="F246" t="s">
        <v>74</v>
      </c>
      <c r="G246">
        <v>0</v>
      </c>
      <c r="H246" t="s">
        <v>145</v>
      </c>
      <c r="I246" s="2">
        <v>5000</v>
      </c>
    </row>
    <row r="247" spans="1:9" x14ac:dyDescent="0.3">
      <c r="A247" s="5">
        <v>9957</v>
      </c>
      <c r="B247" s="5" t="s">
        <v>479</v>
      </c>
      <c r="C247" s="5">
        <v>4</v>
      </c>
      <c r="D247" s="5" t="s">
        <v>39</v>
      </c>
      <c r="E247" t="s">
        <v>480</v>
      </c>
      <c r="F247" t="s">
        <v>74</v>
      </c>
      <c r="G247">
        <v>0</v>
      </c>
      <c r="H247" t="s">
        <v>481</v>
      </c>
      <c r="I247" s="2">
        <v>3500</v>
      </c>
    </row>
    <row r="248" spans="1:9" x14ac:dyDescent="0.3">
      <c r="A248" s="5">
        <v>9957</v>
      </c>
      <c r="B248" s="5" t="s">
        <v>479</v>
      </c>
      <c r="C248" s="5">
        <v>4</v>
      </c>
      <c r="D248" s="5" t="s">
        <v>39</v>
      </c>
      <c r="E248" t="s">
        <v>480</v>
      </c>
      <c r="F248" t="s">
        <v>74</v>
      </c>
      <c r="G248">
        <v>0</v>
      </c>
      <c r="H248" t="s">
        <v>205</v>
      </c>
      <c r="I248" s="2">
        <v>2500</v>
      </c>
    </row>
    <row r="249" spans="1:9" x14ac:dyDescent="0.3">
      <c r="A249" s="5">
        <v>9956</v>
      </c>
      <c r="B249" s="5" t="s">
        <v>482</v>
      </c>
      <c r="C249" s="5">
        <v>3</v>
      </c>
      <c r="D249" s="5" t="s">
        <v>44</v>
      </c>
      <c r="E249" t="s">
        <v>483</v>
      </c>
      <c r="F249" t="s">
        <v>484</v>
      </c>
      <c r="G249">
        <v>0</v>
      </c>
      <c r="H249" t="s">
        <v>485</v>
      </c>
      <c r="I249" s="2">
        <v>40000</v>
      </c>
    </row>
    <row r="250" spans="1:9" x14ac:dyDescent="0.3">
      <c r="A250" s="5">
        <v>9956</v>
      </c>
      <c r="B250" s="5" t="s">
        <v>482</v>
      </c>
      <c r="C250" s="5">
        <v>3</v>
      </c>
      <c r="D250" s="5" t="s">
        <v>44</v>
      </c>
      <c r="E250" t="s">
        <v>483</v>
      </c>
      <c r="F250" t="s">
        <v>484</v>
      </c>
      <c r="G250">
        <v>0</v>
      </c>
      <c r="H250" t="s">
        <v>486</v>
      </c>
      <c r="I250" s="2">
        <v>8000</v>
      </c>
    </row>
    <row r="251" spans="1:9" x14ac:dyDescent="0.3">
      <c r="A251" s="5">
        <v>9955</v>
      </c>
      <c r="B251" s="5" t="s">
        <v>487</v>
      </c>
      <c r="C251" s="5">
        <v>1</v>
      </c>
      <c r="D251" s="5" t="s">
        <v>10</v>
      </c>
      <c r="E251" t="s">
        <v>488</v>
      </c>
      <c r="F251" t="s">
        <v>489</v>
      </c>
      <c r="G251">
        <v>0</v>
      </c>
      <c r="H251" t="s">
        <v>403</v>
      </c>
      <c r="I251" s="2">
        <v>7000</v>
      </c>
    </row>
    <row r="252" spans="1:9" x14ac:dyDescent="0.3">
      <c r="A252" s="5">
        <v>9955</v>
      </c>
      <c r="B252" s="5" t="s">
        <v>487</v>
      </c>
      <c r="C252" s="5">
        <v>1</v>
      </c>
      <c r="D252" s="5" t="s">
        <v>10</v>
      </c>
      <c r="E252" t="s">
        <v>488</v>
      </c>
      <c r="F252" t="s">
        <v>489</v>
      </c>
      <c r="G252">
        <v>0</v>
      </c>
      <c r="H252" t="s">
        <v>126</v>
      </c>
      <c r="I252" s="2">
        <v>6000</v>
      </c>
    </row>
    <row r="253" spans="1:9" x14ac:dyDescent="0.3">
      <c r="A253" s="5">
        <v>9954</v>
      </c>
      <c r="B253" s="5" t="s">
        <v>490</v>
      </c>
      <c r="C253" s="5">
        <v>5</v>
      </c>
      <c r="D253" s="5" t="s">
        <v>63</v>
      </c>
      <c r="E253" t="s">
        <v>491</v>
      </c>
      <c r="F253" t="s">
        <v>492</v>
      </c>
      <c r="G253">
        <v>0</v>
      </c>
      <c r="H253" t="s">
        <v>67</v>
      </c>
      <c r="I253" s="2">
        <v>8000</v>
      </c>
    </row>
    <row r="254" spans="1:9" x14ac:dyDescent="0.3">
      <c r="A254" s="5">
        <v>9954</v>
      </c>
      <c r="B254" s="5" t="s">
        <v>490</v>
      </c>
      <c r="C254" s="5">
        <v>5</v>
      </c>
      <c r="D254" s="5" t="s">
        <v>63</v>
      </c>
      <c r="E254" t="s">
        <v>491</v>
      </c>
      <c r="F254" t="s">
        <v>492</v>
      </c>
      <c r="G254">
        <v>0</v>
      </c>
      <c r="H254" t="s">
        <v>88</v>
      </c>
      <c r="I254" s="2">
        <v>25000</v>
      </c>
    </row>
    <row r="255" spans="1:9" x14ac:dyDescent="0.3">
      <c r="A255" s="5">
        <v>9953</v>
      </c>
      <c r="B255" s="5" t="s">
        <v>493</v>
      </c>
      <c r="C255" s="5">
        <v>5</v>
      </c>
      <c r="D255" s="5" t="s">
        <v>63</v>
      </c>
      <c r="E255" t="s">
        <v>494</v>
      </c>
      <c r="F255" t="s">
        <v>495</v>
      </c>
      <c r="G255">
        <v>0</v>
      </c>
      <c r="H255" t="s">
        <v>88</v>
      </c>
      <c r="I255" s="2">
        <v>20000</v>
      </c>
    </row>
    <row r="256" spans="1:9" x14ac:dyDescent="0.3">
      <c r="A256" s="5">
        <v>9953</v>
      </c>
      <c r="B256" s="5" t="s">
        <v>493</v>
      </c>
      <c r="C256" s="5">
        <v>5</v>
      </c>
      <c r="D256" s="5" t="s">
        <v>63</v>
      </c>
      <c r="E256" t="s">
        <v>494</v>
      </c>
      <c r="F256" t="s">
        <v>495</v>
      </c>
      <c r="G256">
        <v>0</v>
      </c>
      <c r="H256" t="s">
        <v>67</v>
      </c>
      <c r="I256" s="2">
        <v>5000</v>
      </c>
    </row>
    <row r="257" spans="1:9" x14ac:dyDescent="0.3">
      <c r="A257" s="5">
        <v>9952</v>
      </c>
      <c r="B257" s="5" t="s">
        <v>496</v>
      </c>
      <c r="C257" s="5">
        <v>1</v>
      </c>
      <c r="D257" s="5" t="s">
        <v>10</v>
      </c>
      <c r="E257" t="s">
        <v>497</v>
      </c>
      <c r="F257" t="s">
        <v>498</v>
      </c>
      <c r="G257">
        <v>0</v>
      </c>
      <c r="H257" t="s">
        <v>499</v>
      </c>
      <c r="I257" s="2">
        <v>7700</v>
      </c>
    </row>
    <row r="258" spans="1:9" x14ac:dyDescent="0.3">
      <c r="A258" s="5">
        <v>9952</v>
      </c>
      <c r="B258" s="5" t="s">
        <v>496</v>
      </c>
      <c r="C258" s="5">
        <v>1</v>
      </c>
      <c r="D258" s="5" t="s">
        <v>10</v>
      </c>
      <c r="E258" t="s">
        <v>497</v>
      </c>
      <c r="F258" t="s">
        <v>498</v>
      </c>
      <c r="G258">
        <v>0</v>
      </c>
      <c r="H258" t="s">
        <v>121</v>
      </c>
      <c r="I258" s="2">
        <v>7000</v>
      </c>
    </row>
    <row r="259" spans="1:9" x14ac:dyDescent="0.3">
      <c r="A259" s="5">
        <v>9952</v>
      </c>
      <c r="B259" s="5" t="s">
        <v>496</v>
      </c>
      <c r="C259" s="5">
        <v>1</v>
      </c>
      <c r="D259" s="5" t="s">
        <v>10</v>
      </c>
      <c r="E259" t="s">
        <v>497</v>
      </c>
      <c r="F259" t="s">
        <v>498</v>
      </c>
      <c r="G259">
        <v>0</v>
      </c>
      <c r="H259" t="s">
        <v>500</v>
      </c>
      <c r="I259" s="2">
        <v>7000</v>
      </c>
    </row>
    <row r="260" spans="1:9" x14ac:dyDescent="0.3">
      <c r="A260" s="5">
        <v>9951</v>
      </c>
      <c r="B260" s="5" t="s">
        <v>501</v>
      </c>
      <c r="C260" s="5">
        <v>1</v>
      </c>
      <c r="D260" s="5" t="s">
        <v>10</v>
      </c>
      <c r="E260" t="s">
        <v>502</v>
      </c>
      <c r="F260" t="s">
        <v>503</v>
      </c>
      <c r="G260">
        <v>0</v>
      </c>
      <c r="H260" t="s">
        <v>504</v>
      </c>
      <c r="I260" s="2">
        <v>46000</v>
      </c>
    </row>
    <row r="261" spans="1:9" x14ac:dyDescent="0.3">
      <c r="A261" s="5">
        <v>9951</v>
      </c>
      <c r="B261" s="5" t="s">
        <v>501</v>
      </c>
      <c r="C261" s="5">
        <v>1</v>
      </c>
      <c r="D261" s="5" t="s">
        <v>10</v>
      </c>
      <c r="E261" t="s">
        <v>502</v>
      </c>
      <c r="F261" t="s">
        <v>503</v>
      </c>
      <c r="G261">
        <v>0</v>
      </c>
      <c r="H261" t="s">
        <v>505</v>
      </c>
      <c r="I261" s="2">
        <v>29000</v>
      </c>
    </row>
    <row r="262" spans="1:9" x14ac:dyDescent="0.3">
      <c r="A262" s="5">
        <v>9950</v>
      </c>
      <c r="B262" s="5" t="s">
        <v>506</v>
      </c>
      <c r="C262" s="5">
        <v>1</v>
      </c>
      <c r="D262" s="5" t="s">
        <v>10</v>
      </c>
      <c r="E262" t="s">
        <v>507</v>
      </c>
      <c r="F262" t="s">
        <v>508</v>
      </c>
      <c r="G262">
        <v>0</v>
      </c>
      <c r="H262" t="s">
        <v>505</v>
      </c>
      <c r="I262" s="2">
        <v>29000</v>
      </c>
    </row>
    <row r="263" spans="1:9" x14ac:dyDescent="0.3">
      <c r="A263" s="5">
        <v>9950</v>
      </c>
      <c r="B263" s="5" t="s">
        <v>506</v>
      </c>
      <c r="C263" s="5">
        <v>1</v>
      </c>
      <c r="D263" s="5" t="s">
        <v>10</v>
      </c>
      <c r="E263" t="s">
        <v>507</v>
      </c>
      <c r="F263" t="s">
        <v>508</v>
      </c>
      <c r="G263">
        <v>0</v>
      </c>
      <c r="H263" t="s">
        <v>504</v>
      </c>
      <c r="I263" s="2">
        <v>45000</v>
      </c>
    </row>
    <row r="264" spans="1:9" x14ac:dyDescent="0.3">
      <c r="A264" s="5">
        <v>9949</v>
      </c>
      <c r="B264" s="5" t="s">
        <v>509</v>
      </c>
      <c r="C264" s="5">
        <v>1</v>
      </c>
      <c r="D264" s="5" t="s">
        <v>10</v>
      </c>
      <c r="E264" t="s">
        <v>510</v>
      </c>
      <c r="F264" t="s">
        <v>511</v>
      </c>
      <c r="G264">
        <v>0</v>
      </c>
      <c r="H264" t="s">
        <v>505</v>
      </c>
      <c r="I264" s="2">
        <v>29000</v>
      </c>
    </row>
    <row r="265" spans="1:9" x14ac:dyDescent="0.3">
      <c r="A265" s="5">
        <v>9949</v>
      </c>
      <c r="B265" s="5" t="s">
        <v>509</v>
      </c>
      <c r="C265" s="5">
        <v>1</v>
      </c>
      <c r="D265" s="5" t="s">
        <v>10</v>
      </c>
      <c r="E265" t="s">
        <v>510</v>
      </c>
      <c r="F265" t="s">
        <v>511</v>
      </c>
      <c r="G265">
        <v>0</v>
      </c>
      <c r="H265" t="s">
        <v>504</v>
      </c>
      <c r="I265" s="2">
        <v>45000</v>
      </c>
    </row>
    <row r="266" spans="1:9" x14ac:dyDescent="0.3">
      <c r="A266" s="5">
        <v>9948</v>
      </c>
      <c r="B266" s="5" t="s">
        <v>512</v>
      </c>
      <c r="C266" s="5">
        <v>1</v>
      </c>
      <c r="D266" s="5" t="s">
        <v>10</v>
      </c>
      <c r="E266" t="s">
        <v>513</v>
      </c>
      <c r="F266" t="s">
        <v>514</v>
      </c>
      <c r="G266">
        <v>0</v>
      </c>
      <c r="H266" t="s">
        <v>504</v>
      </c>
      <c r="I266" s="2">
        <v>45000</v>
      </c>
    </row>
    <row r="267" spans="1:9" x14ac:dyDescent="0.3">
      <c r="A267" s="5">
        <v>9948</v>
      </c>
      <c r="B267" s="5" t="s">
        <v>512</v>
      </c>
      <c r="C267" s="5">
        <v>1</v>
      </c>
      <c r="D267" s="5" t="s">
        <v>10</v>
      </c>
      <c r="E267" t="s">
        <v>513</v>
      </c>
      <c r="F267" t="s">
        <v>514</v>
      </c>
      <c r="G267">
        <v>0</v>
      </c>
      <c r="H267" t="s">
        <v>505</v>
      </c>
      <c r="I267" s="2">
        <v>29000</v>
      </c>
    </row>
    <row r="268" spans="1:9" x14ac:dyDescent="0.3">
      <c r="A268" s="5">
        <v>9947</v>
      </c>
      <c r="B268" s="5" t="s">
        <v>515</v>
      </c>
      <c r="C268" s="5">
        <v>1</v>
      </c>
      <c r="D268" s="5" t="s">
        <v>10</v>
      </c>
      <c r="E268" t="s">
        <v>516</v>
      </c>
      <c r="F268" t="s">
        <v>517</v>
      </c>
      <c r="G268">
        <v>0</v>
      </c>
      <c r="H268" t="s">
        <v>505</v>
      </c>
      <c r="I268" s="2">
        <v>29000</v>
      </c>
    </row>
    <row r="269" spans="1:9" x14ac:dyDescent="0.3">
      <c r="A269" s="5">
        <v>9947</v>
      </c>
      <c r="B269" s="5" t="s">
        <v>515</v>
      </c>
      <c r="C269" s="5">
        <v>1</v>
      </c>
      <c r="D269" s="5" t="s">
        <v>10</v>
      </c>
      <c r="E269" t="s">
        <v>516</v>
      </c>
      <c r="F269" t="s">
        <v>517</v>
      </c>
      <c r="G269">
        <v>0</v>
      </c>
      <c r="H269" t="s">
        <v>504</v>
      </c>
      <c r="I269" s="2">
        <v>45000</v>
      </c>
    </row>
    <row r="270" spans="1:9" x14ac:dyDescent="0.3">
      <c r="A270" s="5">
        <v>9946</v>
      </c>
      <c r="B270" s="5" t="s">
        <v>518</v>
      </c>
      <c r="C270" s="5">
        <v>1</v>
      </c>
      <c r="D270" s="5" t="s">
        <v>10</v>
      </c>
      <c r="E270" t="s">
        <v>519</v>
      </c>
      <c r="F270" t="s">
        <v>520</v>
      </c>
      <c r="G270">
        <v>0</v>
      </c>
      <c r="H270" t="s">
        <v>21</v>
      </c>
      <c r="I270" s="2">
        <v>6000</v>
      </c>
    </row>
    <row r="271" spans="1:9" x14ac:dyDescent="0.3">
      <c r="A271" s="5">
        <v>9946</v>
      </c>
      <c r="B271" s="5" t="s">
        <v>518</v>
      </c>
      <c r="C271" s="5">
        <v>1</v>
      </c>
      <c r="D271" s="5" t="s">
        <v>10</v>
      </c>
      <c r="E271" t="s">
        <v>519</v>
      </c>
      <c r="F271" t="s">
        <v>520</v>
      </c>
      <c r="G271">
        <v>0</v>
      </c>
      <c r="H271" t="s">
        <v>19</v>
      </c>
      <c r="I271" s="2">
        <v>6000</v>
      </c>
    </row>
    <row r="272" spans="1:9" x14ac:dyDescent="0.3">
      <c r="A272" s="5">
        <v>9946</v>
      </c>
      <c r="B272" s="5" t="s">
        <v>518</v>
      </c>
      <c r="C272" s="5">
        <v>1</v>
      </c>
      <c r="D272" s="5" t="s">
        <v>10</v>
      </c>
      <c r="E272" t="s">
        <v>519</v>
      </c>
      <c r="F272" t="s">
        <v>520</v>
      </c>
      <c r="G272">
        <v>0</v>
      </c>
      <c r="H272" t="s">
        <v>189</v>
      </c>
      <c r="I272" s="2">
        <v>8000</v>
      </c>
    </row>
    <row r="273" spans="1:9" x14ac:dyDescent="0.3">
      <c r="A273" s="5">
        <v>9946</v>
      </c>
      <c r="B273" s="5" t="s">
        <v>518</v>
      </c>
      <c r="C273" s="5">
        <v>1</v>
      </c>
      <c r="D273" s="5" t="s">
        <v>10</v>
      </c>
      <c r="E273" t="s">
        <v>519</v>
      </c>
      <c r="F273" t="s">
        <v>520</v>
      </c>
      <c r="G273">
        <v>0</v>
      </c>
      <c r="H273" t="s">
        <v>521</v>
      </c>
      <c r="I273" s="2">
        <v>7000</v>
      </c>
    </row>
    <row r="274" spans="1:9" x14ac:dyDescent="0.3">
      <c r="A274" s="5">
        <v>9945</v>
      </c>
      <c r="B274" s="5" t="s">
        <v>522</v>
      </c>
      <c r="C274" s="5">
        <v>4</v>
      </c>
      <c r="D274" s="5" t="s">
        <v>39</v>
      </c>
      <c r="E274" t="s">
        <v>523</v>
      </c>
      <c r="F274" t="s">
        <v>524</v>
      </c>
      <c r="G274">
        <v>0</v>
      </c>
      <c r="H274" t="s">
        <v>342</v>
      </c>
      <c r="I274" s="2">
        <v>3000</v>
      </c>
    </row>
    <row r="275" spans="1:9" x14ac:dyDescent="0.3">
      <c r="A275" s="5">
        <v>9945</v>
      </c>
      <c r="B275" s="5" t="s">
        <v>522</v>
      </c>
      <c r="C275" s="5">
        <v>4</v>
      </c>
      <c r="D275" s="5" t="s">
        <v>39</v>
      </c>
      <c r="E275" t="s">
        <v>523</v>
      </c>
      <c r="F275" t="s">
        <v>524</v>
      </c>
      <c r="G275">
        <v>0</v>
      </c>
      <c r="H275" t="s">
        <v>205</v>
      </c>
      <c r="I275" s="2">
        <v>2500</v>
      </c>
    </row>
    <row r="276" spans="1:9" x14ac:dyDescent="0.3">
      <c r="A276" s="5">
        <v>9944</v>
      </c>
      <c r="B276" s="5" t="s">
        <v>525</v>
      </c>
      <c r="C276" s="5">
        <v>4</v>
      </c>
      <c r="D276" s="5" t="s">
        <v>39</v>
      </c>
      <c r="E276" t="s">
        <v>526</v>
      </c>
      <c r="F276" t="s">
        <v>527</v>
      </c>
      <c r="G276">
        <v>0</v>
      </c>
      <c r="H276" t="s">
        <v>205</v>
      </c>
      <c r="I276" s="2">
        <v>3000</v>
      </c>
    </row>
    <row r="277" spans="1:9" x14ac:dyDescent="0.3">
      <c r="A277" s="5">
        <v>9944</v>
      </c>
      <c r="B277" s="5" t="s">
        <v>525</v>
      </c>
      <c r="C277" s="5">
        <v>4</v>
      </c>
      <c r="D277" s="5" t="s">
        <v>39</v>
      </c>
      <c r="E277" t="s">
        <v>526</v>
      </c>
      <c r="F277" t="s">
        <v>527</v>
      </c>
      <c r="G277">
        <v>0</v>
      </c>
      <c r="H277" t="s">
        <v>342</v>
      </c>
      <c r="I277" s="2">
        <v>3000</v>
      </c>
    </row>
    <row r="278" spans="1:9" x14ac:dyDescent="0.3">
      <c r="A278" s="5">
        <v>9943</v>
      </c>
      <c r="B278" s="5" t="s">
        <v>528</v>
      </c>
      <c r="C278" s="5">
        <v>2</v>
      </c>
      <c r="D278" s="5" t="s">
        <v>261</v>
      </c>
      <c r="E278" t="s">
        <v>529</v>
      </c>
      <c r="F278" t="s">
        <v>530</v>
      </c>
      <c r="G278">
        <v>0</v>
      </c>
      <c r="H278" t="s">
        <v>264</v>
      </c>
      <c r="I278" s="2">
        <v>5000</v>
      </c>
    </row>
    <row r="279" spans="1:9" x14ac:dyDescent="0.3">
      <c r="A279" s="5">
        <v>9943</v>
      </c>
      <c r="B279" s="5" t="s">
        <v>528</v>
      </c>
      <c r="C279" s="5">
        <v>2</v>
      </c>
      <c r="D279" s="5" t="s">
        <v>261</v>
      </c>
      <c r="E279" t="s">
        <v>529</v>
      </c>
      <c r="F279" t="s">
        <v>530</v>
      </c>
      <c r="G279">
        <v>0</v>
      </c>
      <c r="H279" t="s">
        <v>265</v>
      </c>
      <c r="I279" s="2">
        <v>6000</v>
      </c>
    </row>
    <row r="280" spans="1:9" x14ac:dyDescent="0.3">
      <c r="A280" s="5">
        <v>9942</v>
      </c>
      <c r="B280" s="5" t="s">
        <v>531</v>
      </c>
      <c r="C280" s="5">
        <v>1</v>
      </c>
      <c r="D280" s="5" t="s">
        <v>10</v>
      </c>
      <c r="E280" t="s">
        <v>532</v>
      </c>
      <c r="F280" t="s">
        <v>533</v>
      </c>
      <c r="G280">
        <v>0</v>
      </c>
      <c r="H280" t="s">
        <v>534</v>
      </c>
      <c r="I280" s="2">
        <v>3500</v>
      </c>
    </row>
    <row r="281" spans="1:9" x14ac:dyDescent="0.3">
      <c r="A281" s="5">
        <v>9942</v>
      </c>
      <c r="B281" s="5" t="s">
        <v>531</v>
      </c>
      <c r="C281" s="5">
        <v>1</v>
      </c>
      <c r="D281" s="5" t="s">
        <v>10</v>
      </c>
      <c r="E281" t="s">
        <v>532</v>
      </c>
      <c r="F281" t="s">
        <v>533</v>
      </c>
      <c r="G281">
        <v>0</v>
      </c>
      <c r="H281" t="s">
        <v>535</v>
      </c>
      <c r="I281" s="2">
        <v>2500</v>
      </c>
    </row>
    <row r="282" spans="1:9" x14ac:dyDescent="0.3">
      <c r="A282" s="5">
        <v>9941</v>
      </c>
      <c r="B282" s="5" t="s">
        <v>536</v>
      </c>
      <c r="C282" s="5">
        <v>1</v>
      </c>
      <c r="D282" s="5" t="s">
        <v>10</v>
      </c>
      <c r="E282" t="s">
        <v>537</v>
      </c>
      <c r="F282" t="s">
        <v>538</v>
      </c>
      <c r="G282">
        <v>0</v>
      </c>
      <c r="H282" t="s">
        <v>539</v>
      </c>
      <c r="I282" s="2">
        <v>10000</v>
      </c>
    </row>
    <row r="283" spans="1:9" x14ac:dyDescent="0.3">
      <c r="A283" s="5">
        <v>9940</v>
      </c>
      <c r="B283" s="5" t="s">
        <v>540</v>
      </c>
      <c r="C283" s="5">
        <v>1</v>
      </c>
      <c r="D283" s="5" t="s">
        <v>10</v>
      </c>
      <c r="E283" t="s">
        <v>541</v>
      </c>
      <c r="F283" t="s">
        <v>542</v>
      </c>
      <c r="G283">
        <v>0</v>
      </c>
      <c r="H283" t="s">
        <v>37</v>
      </c>
      <c r="I283" s="2">
        <v>7000</v>
      </c>
    </row>
    <row r="284" spans="1:9" x14ac:dyDescent="0.3">
      <c r="A284" s="5">
        <v>9940</v>
      </c>
      <c r="B284" s="5" t="s">
        <v>540</v>
      </c>
      <c r="C284" s="5">
        <v>1</v>
      </c>
      <c r="D284" s="5" t="s">
        <v>10</v>
      </c>
      <c r="E284" t="s">
        <v>541</v>
      </c>
      <c r="F284" t="s">
        <v>542</v>
      </c>
      <c r="G284">
        <v>0</v>
      </c>
      <c r="H284" t="s">
        <v>169</v>
      </c>
      <c r="I284" s="2">
        <v>6000</v>
      </c>
    </row>
    <row r="285" spans="1:9" x14ac:dyDescent="0.3">
      <c r="A285" s="5">
        <v>9940</v>
      </c>
      <c r="B285" s="5" t="s">
        <v>540</v>
      </c>
      <c r="C285" s="5">
        <v>1</v>
      </c>
      <c r="D285" s="5" t="s">
        <v>10</v>
      </c>
      <c r="E285" t="s">
        <v>541</v>
      </c>
      <c r="F285" t="s">
        <v>542</v>
      </c>
      <c r="G285">
        <v>0</v>
      </c>
      <c r="H285" t="s">
        <v>21</v>
      </c>
      <c r="I285" s="2">
        <v>7000</v>
      </c>
    </row>
    <row r="286" spans="1:9" x14ac:dyDescent="0.3">
      <c r="A286" s="5">
        <v>9940</v>
      </c>
      <c r="B286" s="5" t="s">
        <v>540</v>
      </c>
      <c r="C286" s="5">
        <v>1</v>
      </c>
      <c r="D286" s="5" t="s">
        <v>10</v>
      </c>
      <c r="E286" t="s">
        <v>541</v>
      </c>
      <c r="F286" t="s">
        <v>542</v>
      </c>
      <c r="G286">
        <v>0</v>
      </c>
      <c r="H286" t="s">
        <v>19</v>
      </c>
      <c r="I286" s="2">
        <v>7000</v>
      </c>
    </row>
    <row r="287" spans="1:9" x14ac:dyDescent="0.3">
      <c r="A287" s="5">
        <v>9939</v>
      </c>
      <c r="B287" s="5" t="s">
        <v>543</v>
      </c>
      <c r="C287" s="5">
        <v>13</v>
      </c>
      <c r="D287" s="5" t="s">
        <v>27</v>
      </c>
      <c r="E287" t="s">
        <v>544</v>
      </c>
      <c r="F287" t="s">
        <v>545</v>
      </c>
      <c r="G287">
        <v>0</v>
      </c>
      <c r="H287" t="s">
        <v>546</v>
      </c>
      <c r="I287" s="2">
        <v>100000</v>
      </c>
    </row>
    <row r="288" spans="1:9" x14ac:dyDescent="0.3">
      <c r="A288" s="5">
        <v>9938</v>
      </c>
      <c r="B288" s="5" t="s">
        <v>547</v>
      </c>
      <c r="C288" s="5">
        <v>5</v>
      </c>
      <c r="D288" s="5" t="s">
        <v>63</v>
      </c>
      <c r="E288" t="s">
        <v>548</v>
      </c>
      <c r="F288" t="s">
        <v>549</v>
      </c>
      <c r="G288">
        <v>0</v>
      </c>
      <c r="H288" t="s">
        <v>67</v>
      </c>
      <c r="I288" s="2">
        <v>10000</v>
      </c>
    </row>
    <row r="289" spans="1:9" x14ac:dyDescent="0.3">
      <c r="A289" s="5">
        <v>9938</v>
      </c>
      <c r="B289" s="5" t="s">
        <v>547</v>
      </c>
      <c r="C289" s="5">
        <v>5</v>
      </c>
      <c r="D289" s="5" t="s">
        <v>63</v>
      </c>
      <c r="E289" t="s">
        <v>548</v>
      </c>
      <c r="F289" t="s">
        <v>549</v>
      </c>
      <c r="G289">
        <v>0</v>
      </c>
      <c r="H289" t="s">
        <v>550</v>
      </c>
      <c r="I289" s="2">
        <v>30000</v>
      </c>
    </row>
    <row r="290" spans="1:9" x14ac:dyDescent="0.3">
      <c r="A290" s="5">
        <v>9938</v>
      </c>
      <c r="B290" s="5" t="s">
        <v>547</v>
      </c>
      <c r="C290" s="5">
        <v>5</v>
      </c>
      <c r="D290" s="5" t="s">
        <v>63</v>
      </c>
      <c r="E290" t="s">
        <v>548</v>
      </c>
      <c r="F290" t="s">
        <v>549</v>
      </c>
      <c r="G290">
        <v>0</v>
      </c>
      <c r="H290" t="s">
        <v>66</v>
      </c>
      <c r="I290" s="2">
        <v>30000</v>
      </c>
    </row>
    <row r="291" spans="1:9" x14ac:dyDescent="0.3">
      <c r="A291" s="5">
        <v>9937</v>
      </c>
      <c r="B291" s="5" t="s">
        <v>551</v>
      </c>
      <c r="C291" s="5">
        <v>5</v>
      </c>
      <c r="D291" s="5" t="s">
        <v>63</v>
      </c>
      <c r="E291" t="s">
        <v>552</v>
      </c>
      <c r="F291" t="s">
        <v>553</v>
      </c>
      <c r="G291">
        <v>0</v>
      </c>
      <c r="H291" t="s">
        <v>550</v>
      </c>
      <c r="I291" s="2">
        <v>30000</v>
      </c>
    </row>
    <row r="292" spans="1:9" x14ac:dyDescent="0.3">
      <c r="A292" s="5">
        <v>9937</v>
      </c>
      <c r="B292" s="5" t="s">
        <v>551</v>
      </c>
      <c r="C292" s="5">
        <v>5</v>
      </c>
      <c r="D292" s="5" t="s">
        <v>63</v>
      </c>
      <c r="E292" t="s">
        <v>552</v>
      </c>
      <c r="F292" t="s">
        <v>553</v>
      </c>
      <c r="G292">
        <v>0</v>
      </c>
      <c r="H292" t="s">
        <v>554</v>
      </c>
      <c r="I292" s="2">
        <v>17000</v>
      </c>
    </row>
    <row r="293" spans="1:9" x14ac:dyDescent="0.3">
      <c r="A293" s="5">
        <v>9937</v>
      </c>
      <c r="B293" s="5" t="s">
        <v>551</v>
      </c>
      <c r="C293" s="5">
        <v>5</v>
      </c>
      <c r="D293" s="5" t="s">
        <v>63</v>
      </c>
      <c r="E293" t="s">
        <v>552</v>
      </c>
      <c r="F293" t="s">
        <v>553</v>
      </c>
      <c r="G293">
        <v>0</v>
      </c>
      <c r="H293" t="s">
        <v>555</v>
      </c>
      <c r="I293" s="2">
        <v>6000</v>
      </c>
    </row>
    <row r="294" spans="1:9" x14ac:dyDescent="0.3">
      <c r="A294" s="5">
        <v>9937</v>
      </c>
      <c r="B294" s="5" t="s">
        <v>551</v>
      </c>
      <c r="C294" s="5">
        <v>5</v>
      </c>
      <c r="D294" s="5" t="s">
        <v>63</v>
      </c>
      <c r="E294" t="s">
        <v>552</v>
      </c>
      <c r="F294" t="s">
        <v>553</v>
      </c>
      <c r="G294">
        <v>0</v>
      </c>
      <c r="H294" t="s">
        <v>67</v>
      </c>
      <c r="I294" s="2">
        <v>10000</v>
      </c>
    </row>
    <row r="295" spans="1:9" x14ac:dyDescent="0.3">
      <c r="A295" s="5">
        <v>9936</v>
      </c>
      <c r="B295" s="5" t="s">
        <v>556</v>
      </c>
      <c r="C295" s="5">
        <v>5</v>
      </c>
      <c r="D295" s="5" t="s">
        <v>63</v>
      </c>
      <c r="E295" t="s">
        <v>557</v>
      </c>
      <c r="F295" t="s">
        <v>558</v>
      </c>
      <c r="G295">
        <v>0</v>
      </c>
      <c r="H295" t="s">
        <v>67</v>
      </c>
      <c r="I295" s="2">
        <v>7000</v>
      </c>
    </row>
    <row r="296" spans="1:9" x14ac:dyDescent="0.3">
      <c r="A296" s="5">
        <v>9936</v>
      </c>
      <c r="B296" s="5" t="s">
        <v>556</v>
      </c>
      <c r="C296" s="5">
        <v>5</v>
      </c>
      <c r="D296" s="5" t="s">
        <v>63</v>
      </c>
      <c r="E296" t="s">
        <v>557</v>
      </c>
      <c r="F296" t="s">
        <v>558</v>
      </c>
      <c r="G296">
        <v>0</v>
      </c>
      <c r="H296" t="s">
        <v>550</v>
      </c>
      <c r="I296" s="2">
        <v>20000</v>
      </c>
    </row>
    <row r="297" spans="1:9" x14ac:dyDescent="0.3">
      <c r="A297" s="5">
        <v>9936</v>
      </c>
      <c r="B297" s="5" t="s">
        <v>556</v>
      </c>
      <c r="C297" s="5">
        <v>5</v>
      </c>
      <c r="D297" s="5" t="s">
        <v>63</v>
      </c>
      <c r="E297" t="s">
        <v>557</v>
      </c>
      <c r="F297" t="s">
        <v>558</v>
      </c>
      <c r="G297">
        <v>0</v>
      </c>
      <c r="H297" t="s">
        <v>66</v>
      </c>
      <c r="I297" s="2">
        <v>20000</v>
      </c>
    </row>
    <row r="298" spans="1:9" x14ac:dyDescent="0.3">
      <c r="A298" s="5">
        <v>9935</v>
      </c>
      <c r="B298" s="5" t="s">
        <v>559</v>
      </c>
      <c r="C298" s="5">
        <v>5</v>
      </c>
      <c r="D298" s="5" t="s">
        <v>63</v>
      </c>
      <c r="E298" t="s">
        <v>557</v>
      </c>
      <c r="F298" t="s">
        <v>560</v>
      </c>
      <c r="G298">
        <v>0</v>
      </c>
      <c r="H298" t="s">
        <v>67</v>
      </c>
      <c r="I298" s="2">
        <v>15000</v>
      </c>
    </row>
    <row r="299" spans="1:9" x14ac:dyDescent="0.3">
      <c r="A299" s="5">
        <v>9935</v>
      </c>
      <c r="B299" s="5" t="s">
        <v>559</v>
      </c>
      <c r="C299" s="5">
        <v>5</v>
      </c>
      <c r="D299" s="5" t="s">
        <v>63</v>
      </c>
      <c r="E299" t="s">
        <v>557</v>
      </c>
      <c r="F299" t="s">
        <v>560</v>
      </c>
      <c r="G299">
        <v>0</v>
      </c>
      <c r="H299" t="s">
        <v>550</v>
      </c>
      <c r="I299" s="2">
        <v>30000</v>
      </c>
    </row>
    <row r="300" spans="1:9" x14ac:dyDescent="0.3">
      <c r="A300" s="5">
        <v>9935</v>
      </c>
      <c r="B300" s="5" t="s">
        <v>559</v>
      </c>
      <c r="C300" s="5">
        <v>5</v>
      </c>
      <c r="D300" s="5" t="s">
        <v>63</v>
      </c>
      <c r="E300" t="s">
        <v>557</v>
      </c>
      <c r="F300" t="s">
        <v>560</v>
      </c>
      <c r="G300">
        <v>0</v>
      </c>
      <c r="H300" t="s">
        <v>66</v>
      </c>
      <c r="I300" s="2">
        <v>30000</v>
      </c>
    </row>
    <row r="301" spans="1:9" x14ac:dyDescent="0.3">
      <c r="A301" s="5">
        <v>9934</v>
      </c>
      <c r="B301" s="5" t="s">
        <v>561</v>
      </c>
      <c r="C301" s="5">
        <v>5</v>
      </c>
      <c r="D301" s="5" t="s">
        <v>63</v>
      </c>
      <c r="E301" t="s">
        <v>562</v>
      </c>
      <c r="G301">
        <v>0</v>
      </c>
      <c r="H301" t="s">
        <v>66</v>
      </c>
      <c r="I301" s="2">
        <v>8000</v>
      </c>
    </row>
    <row r="302" spans="1:9" x14ac:dyDescent="0.3">
      <c r="A302" s="5">
        <v>9934</v>
      </c>
      <c r="B302" s="5" t="s">
        <v>561</v>
      </c>
      <c r="C302" s="5">
        <v>5</v>
      </c>
      <c r="D302" s="5" t="s">
        <v>63</v>
      </c>
      <c r="E302" t="s">
        <v>562</v>
      </c>
      <c r="G302">
        <v>0</v>
      </c>
      <c r="H302" t="s">
        <v>563</v>
      </c>
      <c r="I302" s="2">
        <v>8000</v>
      </c>
    </row>
    <row r="303" spans="1:9" x14ac:dyDescent="0.3">
      <c r="A303" s="5">
        <v>9933</v>
      </c>
      <c r="B303" s="5" t="s">
        <v>564</v>
      </c>
      <c r="C303" s="5">
        <v>4</v>
      </c>
      <c r="D303" s="5" t="s">
        <v>39</v>
      </c>
      <c r="E303" t="s">
        <v>565</v>
      </c>
      <c r="F303" t="s">
        <v>566</v>
      </c>
      <c r="G303">
        <v>0</v>
      </c>
      <c r="H303" t="s">
        <v>567</v>
      </c>
      <c r="I303" s="2">
        <v>10000</v>
      </c>
    </row>
    <row r="304" spans="1:9" x14ac:dyDescent="0.3">
      <c r="A304" s="5">
        <v>9932</v>
      </c>
      <c r="B304" s="5" t="s">
        <v>568</v>
      </c>
      <c r="C304" s="5">
        <v>1</v>
      </c>
      <c r="D304" s="5" t="s">
        <v>10</v>
      </c>
      <c r="E304" t="s">
        <v>569</v>
      </c>
      <c r="F304" t="s">
        <v>570</v>
      </c>
      <c r="G304">
        <v>0</v>
      </c>
      <c r="H304" t="s">
        <v>571</v>
      </c>
      <c r="I304" s="2">
        <v>7500</v>
      </c>
    </row>
    <row r="305" spans="1:9" x14ac:dyDescent="0.3">
      <c r="A305" s="5">
        <v>9931</v>
      </c>
      <c r="B305" s="5" t="s">
        <v>572</v>
      </c>
      <c r="C305" s="5">
        <v>5</v>
      </c>
      <c r="D305" s="5" t="s">
        <v>63</v>
      </c>
      <c r="E305" t="s">
        <v>573</v>
      </c>
      <c r="F305" t="s">
        <v>574</v>
      </c>
      <c r="G305">
        <v>0</v>
      </c>
      <c r="H305" t="s">
        <v>550</v>
      </c>
      <c r="I305" s="2">
        <v>40000</v>
      </c>
    </row>
    <row r="306" spans="1:9" x14ac:dyDescent="0.3">
      <c r="A306" s="5">
        <v>9931</v>
      </c>
      <c r="B306" s="5" t="s">
        <v>572</v>
      </c>
      <c r="C306" s="5">
        <v>5</v>
      </c>
      <c r="D306" s="5" t="s">
        <v>63</v>
      </c>
      <c r="E306" t="s">
        <v>573</v>
      </c>
      <c r="F306" t="s">
        <v>574</v>
      </c>
      <c r="G306">
        <v>0</v>
      </c>
      <c r="H306" t="s">
        <v>67</v>
      </c>
      <c r="I306" s="2">
        <v>13000</v>
      </c>
    </row>
    <row r="307" spans="1:9" x14ac:dyDescent="0.3">
      <c r="A307" s="5">
        <v>9930</v>
      </c>
      <c r="B307" s="5" t="s">
        <v>575</v>
      </c>
      <c r="C307" s="5">
        <v>1</v>
      </c>
      <c r="D307" s="5" t="s">
        <v>10</v>
      </c>
      <c r="E307" t="s">
        <v>576</v>
      </c>
      <c r="F307" t="s">
        <v>577</v>
      </c>
      <c r="G307">
        <v>0</v>
      </c>
      <c r="H307" t="s">
        <v>229</v>
      </c>
      <c r="I307" s="2">
        <v>6000</v>
      </c>
    </row>
    <row r="308" spans="1:9" x14ac:dyDescent="0.3">
      <c r="A308" s="5">
        <v>9929</v>
      </c>
      <c r="B308" s="5" t="s">
        <v>578</v>
      </c>
      <c r="C308" s="5">
        <v>1</v>
      </c>
      <c r="D308" s="5" t="s">
        <v>10</v>
      </c>
      <c r="E308" t="s">
        <v>579</v>
      </c>
      <c r="F308" t="s">
        <v>580</v>
      </c>
      <c r="G308">
        <v>0</v>
      </c>
      <c r="H308" t="s">
        <v>280</v>
      </c>
      <c r="I308" s="2">
        <v>6000</v>
      </c>
    </row>
    <row r="309" spans="1:9" x14ac:dyDescent="0.3">
      <c r="A309" s="5">
        <v>9929</v>
      </c>
      <c r="B309" s="5" t="s">
        <v>578</v>
      </c>
      <c r="C309" s="5">
        <v>1</v>
      </c>
      <c r="D309" s="5" t="s">
        <v>10</v>
      </c>
      <c r="E309" t="s">
        <v>579</v>
      </c>
      <c r="F309" t="s">
        <v>580</v>
      </c>
      <c r="G309">
        <v>0</v>
      </c>
      <c r="H309" t="s">
        <v>581</v>
      </c>
      <c r="I309" s="2">
        <v>3500</v>
      </c>
    </row>
    <row r="310" spans="1:9" x14ac:dyDescent="0.3">
      <c r="A310" s="5">
        <v>9929</v>
      </c>
      <c r="B310" s="5" t="s">
        <v>578</v>
      </c>
      <c r="C310" s="5">
        <v>1</v>
      </c>
      <c r="D310" s="5" t="s">
        <v>10</v>
      </c>
      <c r="E310" t="s">
        <v>579</v>
      </c>
      <c r="F310" t="s">
        <v>580</v>
      </c>
      <c r="G310">
        <v>0</v>
      </c>
      <c r="H310" t="s">
        <v>582</v>
      </c>
      <c r="I310" s="2">
        <v>2500</v>
      </c>
    </row>
    <row r="311" spans="1:9" x14ac:dyDescent="0.3">
      <c r="A311" s="5">
        <v>9928</v>
      </c>
      <c r="B311" s="5" t="s">
        <v>583</v>
      </c>
      <c r="C311" s="5">
        <v>5</v>
      </c>
      <c r="D311" s="5" t="s">
        <v>63</v>
      </c>
      <c r="E311" t="s">
        <v>584</v>
      </c>
      <c r="F311" t="s">
        <v>585</v>
      </c>
      <c r="G311">
        <v>0</v>
      </c>
      <c r="H311" t="s">
        <v>586</v>
      </c>
      <c r="I311" s="2">
        <v>8000</v>
      </c>
    </row>
    <row r="312" spans="1:9" x14ac:dyDescent="0.3">
      <c r="A312" s="5">
        <v>9927</v>
      </c>
      <c r="B312" s="5" t="s">
        <v>587</v>
      </c>
      <c r="C312" s="5">
        <v>1</v>
      </c>
      <c r="D312" s="5" t="s">
        <v>10</v>
      </c>
      <c r="E312" t="s">
        <v>588</v>
      </c>
      <c r="F312" t="s">
        <v>589</v>
      </c>
      <c r="G312">
        <v>0</v>
      </c>
      <c r="H312" t="s">
        <v>133</v>
      </c>
      <c r="I312" s="2">
        <v>7000</v>
      </c>
    </row>
    <row r="313" spans="1:9" x14ac:dyDescent="0.3">
      <c r="A313" s="5">
        <v>9927</v>
      </c>
      <c r="B313" s="5" t="s">
        <v>587</v>
      </c>
      <c r="C313" s="5">
        <v>1</v>
      </c>
      <c r="D313" s="5" t="s">
        <v>10</v>
      </c>
      <c r="E313" t="s">
        <v>588</v>
      </c>
      <c r="F313" t="s">
        <v>589</v>
      </c>
      <c r="G313">
        <v>0</v>
      </c>
      <c r="H313" t="s">
        <v>149</v>
      </c>
      <c r="I313" s="2">
        <v>7000</v>
      </c>
    </row>
    <row r="314" spans="1:9" x14ac:dyDescent="0.3">
      <c r="A314" s="5">
        <v>9927</v>
      </c>
      <c r="B314" s="5" t="s">
        <v>587</v>
      </c>
      <c r="C314" s="5">
        <v>1</v>
      </c>
      <c r="D314" s="5" t="s">
        <v>10</v>
      </c>
      <c r="E314" t="s">
        <v>588</v>
      </c>
      <c r="F314" t="s">
        <v>589</v>
      </c>
      <c r="G314">
        <v>0</v>
      </c>
      <c r="H314" t="s">
        <v>139</v>
      </c>
      <c r="I314" s="2">
        <v>7000</v>
      </c>
    </row>
    <row r="315" spans="1:9" x14ac:dyDescent="0.3">
      <c r="A315" s="5">
        <v>9926</v>
      </c>
      <c r="B315" s="5" t="s">
        <v>590</v>
      </c>
      <c r="C315" s="5">
        <v>4</v>
      </c>
      <c r="D315" s="5" t="s">
        <v>39</v>
      </c>
      <c r="E315" t="s">
        <v>591</v>
      </c>
      <c r="F315" t="s">
        <v>74</v>
      </c>
      <c r="G315">
        <v>0</v>
      </c>
      <c r="H315" t="s">
        <v>592</v>
      </c>
      <c r="I315" s="2">
        <v>4000</v>
      </c>
    </row>
    <row r="316" spans="1:9" x14ac:dyDescent="0.3">
      <c r="A316" s="5">
        <v>9926</v>
      </c>
      <c r="B316" s="5" t="s">
        <v>590</v>
      </c>
      <c r="C316" s="5">
        <v>4</v>
      </c>
      <c r="D316" s="5" t="s">
        <v>39</v>
      </c>
      <c r="E316" t="s">
        <v>591</v>
      </c>
      <c r="F316" t="s">
        <v>74</v>
      </c>
      <c r="G316">
        <v>0</v>
      </c>
      <c r="H316" t="s">
        <v>593</v>
      </c>
      <c r="I316" s="2">
        <v>4000</v>
      </c>
    </row>
    <row r="317" spans="1:9" x14ac:dyDescent="0.3">
      <c r="A317" s="5">
        <v>9925</v>
      </c>
      <c r="B317" s="5" t="s">
        <v>594</v>
      </c>
      <c r="C317" s="5">
        <v>3</v>
      </c>
      <c r="D317" s="5" t="s">
        <v>44</v>
      </c>
      <c r="E317" t="s">
        <v>595</v>
      </c>
      <c r="F317" t="s">
        <v>596</v>
      </c>
      <c r="G317">
        <v>0</v>
      </c>
      <c r="H317" t="s">
        <v>597</v>
      </c>
      <c r="I317" s="2">
        <v>13000</v>
      </c>
    </row>
    <row r="318" spans="1:9" x14ac:dyDescent="0.3">
      <c r="A318" s="5">
        <v>9925</v>
      </c>
      <c r="B318" s="5" t="s">
        <v>594</v>
      </c>
      <c r="C318" s="5">
        <v>3</v>
      </c>
      <c r="D318" s="5" t="s">
        <v>44</v>
      </c>
      <c r="E318" t="s">
        <v>595</v>
      </c>
      <c r="F318" t="s">
        <v>596</v>
      </c>
      <c r="G318">
        <v>0</v>
      </c>
      <c r="H318" t="s">
        <v>598</v>
      </c>
      <c r="I318" s="2">
        <v>8000</v>
      </c>
    </row>
    <row r="319" spans="1:9" x14ac:dyDescent="0.3">
      <c r="A319" s="5">
        <v>9924</v>
      </c>
      <c r="B319" s="5" t="s">
        <v>599</v>
      </c>
      <c r="C319" s="5">
        <v>4</v>
      </c>
      <c r="D319" s="5" t="s">
        <v>39</v>
      </c>
      <c r="E319" t="s">
        <v>600</v>
      </c>
      <c r="F319" t="s">
        <v>596</v>
      </c>
      <c r="G319">
        <v>0</v>
      </c>
      <c r="H319" t="s">
        <v>205</v>
      </c>
      <c r="I319" s="2">
        <v>2500</v>
      </c>
    </row>
    <row r="320" spans="1:9" x14ac:dyDescent="0.3">
      <c r="A320" s="5">
        <v>9923</v>
      </c>
      <c r="B320" s="5" t="s">
        <v>601</v>
      </c>
      <c r="C320" s="5">
        <v>1</v>
      </c>
      <c r="D320" s="5" t="s">
        <v>10</v>
      </c>
      <c r="E320" t="s">
        <v>602</v>
      </c>
      <c r="F320" t="s">
        <v>603</v>
      </c>
      <c r="G320">
        <v>0</v>
      </c>
      <c r="H320" t="s">
        <v>21</v>
      </c>
      <c r="I320" s="2">
        <v>6500</v>
      </c>
    </row>
    <row r="321" spans="1:9" x14ac:dyDescent="0.3">
      <c r="A321" s="5">
        <v>9923</v>
      </c>
      <c r="B321" s="5" t="s">
        <v>601</v>
      </c>
      <c r="C321" s="5">
        <v>1</v>
      </c>
      <c r="D321" s="5" t="s">
        <v>10</v>
      </c>
      <c r="E321" t="s">
        <v>602</v>
      </c>
      <c r="F321" t="s">
        <v>603</v>
      </c>
      <c r="G321">
        <v>0</v>
      </c>
      <c r="H321" t="s">
        <v>20</v>
      </c>
      <c r="I321" s="2">
        <v>6500</v>
      </c>
    </row>
    <row r="322" spans="1:9" x14ac:dyDescent="0.3">
      <c r="A322" s="5">
        <v>9922</v>
      </c>
      <c r="B322" s="5" t="s">
        <v>604</v>
      </c>
      <c r="C322" s="5">
        <v>4</v>
      </c>
      <c r="D322" s="5" t="s">
        <v>39</v>
      </c>
      <c r="E322" t="s">
        <v>605</v>
      </c>
      <c r="F322" t="s">
        <v>606</v>
      </c>
      <c r="G322">
        <v>0</v>
      </c>
      <c r="H322" t="s">
        <v>607</v>
      </c>
      <c r="I322" s="2">
        <v>12000</v>
      </c>
    </row>
    <row r="323" spans="1:9" x14ac:dyDescent="0.3">
      <c r="A323" s="5">
        <v>9921</v>
      </c>
      <c r="B323" s="5" t="s">
        <v>608</v>
      </c>
      <c r="C323" s="5">
        <v>4</v>
      </c>
      <c r="D323" s="5" t="s">
        <v>39</v>
      </c>
      <c r="E323" t="s">
        <v>609</v>
      </c>
      <c r="F323" t="s">
        <v>610</v>
      </c>
      <c r="G323">
        <v>0</v>
      </c>
      <c r="H323" t="s">
        <v>611</v>
      </c>
      <c r="I323" s="2">
        <v>12000</v>
      </c>
    </row>
    <row r="324" spans="1:9" x14ac:dyDescent="0.3">
      <c r="A324" s="5">
        <v>9921</v>
      </c>
      <c r="B324" s="5" t="s">
        <v>608</v>
      </c>
      <c r="C324" s="5">
        <v>4</v>
      </c>
      <c r="D324" s="5" t="s">
        <v>39</v>
      </c>
      <c r="E324" t="s">
        <v>609</v>
      </c>
      <c r="F324" t="s">
        <v>610</v>
      </c>
      <c r="G324">
        <v>0</v>
      </c>
      <c r="H324" t="s">
        <v>612</v>
      </c>
      <c r="I324" s="2">
        <v>14000</v>
      </c>
    </row>
    <row r="325" spans="1:9" x14ac:dyDescent="0.3">
      <c r="A325" s="5">
        <v>9920</v>
      </c>
      <c r="B325" s="5" t="s">
        <v>613</v>
      </c>
      <c r="C325" s="5">
        <v>1</v>
      </c>
      <c r="D325" s="5" t="s">
        <v>10</v>
      </c>
      <c r="E325" t="s">
        <v>614</v>
      </c>
      <c r="F325" t="s">
        <v>615</v>
      </c>
      <c r="G325">
        <v>0</v>
      </c>
      <c r="H325" t="s">
        <v>126</v>
      </c>
      <c r="I325" s="2">
        <v>3000</v>
      </c>
    </row>
    <row r="326" spans="1:9" x14ac:dyDescent="0.3">
      <c r="A326" s="5">
        <v>9919</v>
      </c>
      <c r="B326" s="5" t="s">
        <v>616</v>
      </c>
      <c r="C326" s="5">
        <v>1</v>
      </c>
      <c r="D326" s="5" t="s">
        <v>10</v>
      </c>
      <c r="E326" t="s">
        <v>617</v>
      </c>
      <c r="F326" t="s">
        <v>618</v>
      </c>
      <c r="G326">
        <v>0</v>
      </c>
      <c r="H326" t="s">
        <v>619</v>
      </c>
      <c r="I326" s="2">
        <v>9000</v>
      </c>
    </row>
    <row r="327" spans="1:9" x14ac:dyDescent="0.3">
      <c r="A327" s="5">
        <v>9918</v>
      </c>
      <c r="B327" s="5" t="s">
        <v>620</v>
      </c>
      <c r="C327" s="5">
        <v>2</v>
      </c>
      <c r="D327" s="5" t="s">
        <v>261</v>
      </c>
      <c r="E327" t="s">
        <v>621</v>
      </c>
      <c r="F327" t="s">
        <v>622</v>
      </c>
      <c r="G327">
        <v>0</v>
      </c>
      <c r="H327" t="s">
        <v>264</v>
      </c>
      <c r="I327" s="2">
        <v>2000</v>
      </c>
    </row>
    <row r="328" spans="1:9" x14ac:dyDescent="0.3">
      <c r="A328" s="5">
        <v>9918</v>
      </c>
      <c r="B328" s="5" t="s">
        <v>620</v>
      </c>
      <c r="C328" s="5">
        <v>2</v>
      </c>
      <c r="D328" s="5" t="s">
        <v>261</v>
      </c>
      <c r="E328" t="s">
        <v>621</v>
      </c>
      <c r="F328" t="s">
        <v>622</v>
      </c>
      <c r="G328">
        <v>0</v>
      </c>
      <c r="H328" t="s">
        <v>372</v>
      </c>
      <c r="I328" s="2">
        <v>3500</v>
      </c>
    </row>
    <row r="329" spans="1:9" x14ac:dyDescent="0.3">
      <c r="A329" s="5">
        <v>9918</v>
      </c>
      <c r="B329" s="5" t="s">
        <v>620</v>
      </c>
      <c r="C329" s="5">
        <v>2</v>
      </c>
      <c r="D329" s="5" t="s">
        <v>261</v>
      </c>
      <c r="E329" t="s">
        <v>621</v>
      </c>
      <c r="F329" t="s">
        <v>622</v>
      </c>
      <c r="G329">
        <v>0</v>
      </c>
      <c r="H329" t="s">
        <v>265</v>
      </c>
      <c r="I329" s="2">
        <v>4000</v>
      </c>
    </row>
    <row r="330" spans="1:9" x14ac:dyDescent="0.3">
      <c r="A330" s="5">
        <v>9917</v>
      </c>
      <c r="B330" s="5" t="s">
        <v>623</v>
      </c>
      <c r="C330" s="5">
        <v>2</v>
      </c>
      <c r="D330" s="5" t="s">
        <v>261</v>
      </c>
      <c r="E330" t="s">
        <v>624</v>
      </c>
      <c r="F330" t="s">
        <v>625</v>
      </c>
      <c r="G330">
        <v>0</v>
      </c>
      <c r="H330" t="s">
        <v>264</v>
      </c>
      <c r="I330" s="2">
        <v>5000</v>
      </c>
    </row>
    <row r="331" spans="1:9" x14ac:dyDescent="0.3">
      <c r="A331" s="5">
        <v>9917</v>
      </c>
      <c r="B331" s="5" t="s">
        <v>623</v>
      </c>
      <c r="C331" s="5">
        <v>2</v>
      </c>
      <c r="D331" s="5" t="s">
        <v>261</v>
      </c>
      <c r="E331" t="s">
        <v>624</v>
      </c>
      <c r="F331" t="s">
        <v>625</v>
      </c>
      <c r="G331">
        <v>0</v>
      </c>
      <c r="H331" t="s">
        <v>383</v>
      </c>
      <c r="I331" s="2">
        <v>6000</v>
      </c>
    </row>
    <row r="332" spans="1:9" x14ac:dyDescent="0.3">
      <c r="A332" s="5">
        <v>9916</v>
      </c>
      <c r="B332" s="5" t="s">
        <v>626</v>
      </c>
      <c r="C332" s="5">
        <v>1</v>
      </c>
      <c r="D332" s="5" t="s">
        <v>10</v>
      </c>
      <c r="E332" t="s">
        <v>627</v>
      </c>
      <c r="F332" t="s">
        <v>628</v>
      </c>
      <c r="G332">
        <v>0</v>
      </c>
      <c r="H332" t="s">
        <v>629</v>
      </c>
      <c r="I332" s="2">
        <v>7000</v>
      </c>
    </row>
    <row r="333" spans="1:9" x14ac:dyDescent="0.3">
      <c r="A333" s="5">
        <v>9916</v>
      </c>
      <c r="B333" s="5" t="s">
        <v>626</v>
      </c>
      <c r="C333" s="5">
        <v>1</v>
      </c>
      <c r="D333" s="5" t="s">
        <v>10</v>
      </c>
      <c r="E333" t="s">
        <v>627</v>
      </c>
      <c r="F333" t="s">
        <v>628</v>
      </c>
      <c r="G333">
        <v>0</v>
      </c>
      <c r="H333" t="s">
        <v>21</v>
      </c>
      <c r="I333" s="2">
        <v>7000</v>
      </c>
    </row>
    <row r="334" spans="1:9" x14ac:dyDescent="0.3">
      <c r="A334" s="5">
        <v>9915</v>
      </c>
      <c r="B334" s="5" t="s">
        <v>630</v>
      </c>
      <c r="C334" s="5">
        <v>13</v>
      </c>
      <c r="D334" s="5" t="s">
        <v>27</v>
      </c>
      <c r="E334" t="s">
        <v>631</v>
      </c>
      <c r="F334" t="s">
        <v>632</v>
      </c>
      <c r="G334">
        <v>0</v>
      </c>
      <c r="H334" t="s">
        <v>633</v>
      </c>
      <c r="I334" s="2">
        <v>15000</v>
      </c>
    </row>
    <row r="335" spans="1:9" x14ac:dyDescent="0.3">
      <c r="A335" s="5">
        <v>9914</v>
      </c>
      <c r="B335" s="5" t="s">
        <v>634</v>
      </c>
      <c r="C335" s="5">
        <v>4</v>
      </c>
      <c r="D335" s="5" t="s">
        <v>39</v>
      </c>
      <c r="E335" t="s">
        <v>635</v>
      </c>
      <c r="F335" t="s">
        <v>636</v>
      </c>
      <c r="G335">
        <v>0</v>
      </c>
      <c r="H335" t="s">
        <v>637</v>
      </c>
      <c r="I335" s="2">
        <v>2500</v>
      </c>
    </row>
    <row r="336" spans="1:9" x14ac:dyDescent="0.3">
      <c r="A336" s="5">
        <v>9914</v>
      </c>
      <c r="B336" s="5" t="s">
        <v>634</v>
      </c>
      <c r="C336" s="5">
        <v>4</v>
      </c>
      <c r="D336" s="5" t="s">
        <v>39</v>
      </c>
      <c r="E336" t="s">
        <v>635</v>
      </c>
      <c r="F336" t="s">
        <v>636</v>
      </c>
      <c r="G336">
        <v>0</v>
      </c>
      <c r="H336" t="s">
        <v>80</v>
      </c>
      <c r="I336" s="2">
        <v>2000</v>
      </c>
    </row>
    <row r="337" spans="1:9" x14ac:dyDescent="0.3">
      <c r="A337" s="5">
        <v>9913</v>
      </c>
      <c r="B337" s="5" t="s">
        <v>638</v>
      </c>
      <c r="C337" s="5">
        <v>2</v>
      </c>
      <c r="D337" s="5" t="s">
        <v>261</v>
      </c>
      <c r="E337" t="s">
        <v>639</v>
      </c>
      <c r="F337" t="s">
        <v>640</v>
      </c>
      <c r="G337">
        <v>0</v>
      </c>
      <c r="H337" t="s">
        <v>641</v>
      </c>
      <c r="I337" s="2">
        <v>15000</v>
      </c>
    </row>
    <row r="338" spans="1:9" x14ac:dyDescent="0.3">
      <c r="A338" s="5">
        <v>9913</v>
      </c>
      <c r="B338" s="5" t="s">
        <v>638</v>
      </c>
      <c r="C338" s="5">
        <v>2</v>
      </c>
      <c r="D338" s="5" t="s">
        <v>261</v>
      </c>
      <c r="E338" t="s">
        <v>639</v>
      </c>
      <c r="F338" t="s">
        <v>640</v>
      </c>
      <c r="G338">
        <v>0</v>
      </c>
      <c r="H338" t="s">
        <v>642</v>
      </c>
      <c r="I338" s="2">
        <v>4500</v>
      </c>
    </row>
    <row r="339" spans="1:9" x14ac:dyDescent="0.3">
      <c r="A339" s="5">
        <v>9913</v>
      </c>
      <c r="B339" s="5" t="s">
        <v>638</v>
      </c>
      <c r="C339" s="5">
        <v>2</v>
      </c>
      <c r="D339" s="5" t="s">
        <v>261</v>
      </c>
      <c r="E339" t="s">
        <v>639</v>
      </c>
      <c r="F339" t="s">
        <v>640</v>
      </c>
      <c r="G339">
        <v>0</v>
      </c>
      <c r="H339" t="s">
        <v>265</v>
      </c>
      <c r="I339" s="2">
        <v>6000</v>
      </c>
    </row>
    <row r="340" spans="1:9" x14ac:dyDescent="0.3">
      <c r="A340" s="5">
        <v>9912</v>
      </c>
      <c r="B340" s="5" t="s">
        <v>643</v>
      </c>
      <c r="C340" s="5">
        <v>1</v>
      </c>
      <c r="D340" s="5" t="s">
        <v>10</v>
      </c>
      <c r="E340" t="s">
        <v>644</v>
      </c>
      <c r="F340" t="s">
        <v>645</v>
      </c>
      <c r="G340">
        <v>0</v>
      </c>
      <c r="H340" t="s">
        <v>646</v>
      </c>
      <c r="I340" s="2">
        <v>5000</v>
      </c>
    </row>
    <row r="341" spans="1:9" x14ac:dyDescent="0.3">
      <c r="A341" s="5">
        <v>9911</v>
      </c>
      <c r="B341" s="5" t="s">
        <v>647</v>
      </c>
      <c r="C341" s="5">
        <v>1</v>
      </c>
      <c r="D341" s="5" t="s">
        <v>10</v>
      </c>
      <c r="E341" t="s">
        <v>648</v>
      </c>
      <c r="F341" t="s">
        <v>649</v>
      </c>
      <c r="G341">
        <v>0</v>
      </c>
      <c r="H341" t="s">
        <v>650</v>
      </c>
      <c r="I341" s="2">
        <v>8000</v>
      </c>
    </row>
    <row r="342" spans="1:9" x14ac:dyDescent="0.3">
      <c r="A342" s="5">
        <v>9911</v>
      </c>
      <c r="B342" s="5" t="s">
        <v>647</v>
      </c>
      <c r="C342" s="5">
        <v>1</v>
      </c>
      <c r="D342" s="5" t="s">
        <v>10</v>
      </c>
      <c r="E342" t="s">
        <v>648</v>
      </c>
      <c r="F342" t="s">
        <v>649</v>
      </c>
      <c r="G342">
        <v>0</v>
      </c>
      <c r="H342" t="s">
        <v>650</v>
      </c>
      <c r="I342" s="2">
        <v>8000</v>
      </c>
    </row>
    <row r="343" spans="1:9" x14ac:dyDescent="0.3">
      <c r="A343" s="5">
        <v>9910</v>
      </c>
      <c r="B343" s="5" t="s">
        <v>651</v>
      </c>
      <c r="C343" s="5">
        <v>1</v>
      </c>
      <c r="D343" s="5" t="s">
        <v>10</v>
      </c>
      <c r="E343" t="s">
        <v>652</v>
      </c>
      <c r="F343" t="s">
        <v>653</v>
      </c>
      <c r="G343">
        <v>0</v>
      </c>
      <c r="H343" t="s">
        <v>654</v>
      </c>
      <c r="I343" s="2">
        <v>10000</v>
      </c>
    </row>
    <row r="344" spans="1:9" x14ac:dyDescent="0.3">
      <c r="A344" s="5">
        <v>9910</v>
      </c>
      <c r="B344" s="5" t="s">
        <v>651</v>
      </c>
      <c r="C344" s="5">
        <v>1</v>
      </c>
      <c r="D344" s="5" t="s">
        <v>10</v>
      </c>
      <c r="E344" t="s">
        <v>652</v>
      </c>
      <c r="F344" t="s">
        <v>653</v>
      </c>
      <c r="G344">
        <v>0</v>
      </c>
      <c r="H344" t="s">
        <v>655</v>
      </c>
      <c r="I344" s="2">
        <v>10000</v>
      </c>
    </row>
    <row r="345" spans="1:9" x14ac:dyDescent="0.3">
      <c r="A345" s="5">
        <v>9909</v>
      </c>
      <c r="B345" s="5" t="s">
        <v>656</v>
      </c>
      <c r="C345" s="5">
        <v>1</v>
      </c>
      <c r="D345" s="5" t="s">
        <v>10</v>
      </c>
      <c r="E345" t="s">
        <v>657</v>
      </c>
      <c r="F345" t="s">
        <v>658</v>
      </c>
      <c r="G345">
        <v>0</v>
      </c>
      <c r="H345" t="s">
        <v>659</v>
      </c>
      <c r="I345" s="2">
        <v>10000</v>
      </c>
    </row>
    <row r="346" spans="1:9" x14ac:dyDescent="0.3">
      <c r="A346" s="5">
        <v>9909</v>
      </c>
      <c r="B346" s="5" t="s">
        <v>656</v>
      </c>
      <c r="C346" s="5">
        <v>1</v>
      </c>
      <c r="D346" s="5" t="s">
        <v>10</v>
      </c>
      <c r="E346" t="s">
        <v>657</v>
      </c>
      <c r="F346" t="s">
        <v>658</v>
      </c>
      <c r="G346">
        <v>0</v>
      </c>
      <c r="H346" t="s">
        <v>660</v>
      </c>
      <c r="I346" s="2">
        <v>10000</v>
      </c>
    </row>
    <row r="347" spans="1:9" x14ac:dyDescent="0.3">
      <c r="A347" s="5">
        <v>9909</v>
      </c>
      <c r="B347" s="5" t="s">
        <v>656</v>
      </c>
      <c r="C347" s="5">
        <v>1</v>
      </c>
      <c r="D347" s="5" t="s">
        <v>10</v>
      </c>
      <c r="E347" t="s">
        <v>657</v>
      </c>
      <c r="F347" t="s">
        <v>658</v>
      </c>
      <c r="G347">
        <v>0</v>
      </c>
      <c r="H347" t="s">
        <v>661</v>
      </c>
      <c r="I347" s="2">
        <v>10000</v>
      </c>
    </row>
    <row r="348" spans="1:9" x14ac:dyDescent="0.3">
      <c r="A348" s="5">
        <v>9908</v>
      </c>
      <c r="B348" s="5" t="s">
        <v>662</v>
      </c>
      <c r="C348" s="5">
        <v>1</v>
      </c>
      <c r="D348" s="5" t="s">
        <v>10</v>
      </c>
      <c r="E348" t="s">
        <v>663</v>
      </c>
      <c r="F348" t="s">
        <v>664</v>
      </c>
      <c r="G348">
        <v>0</v>
      </c>
      <c r="H348" t="s">
        <v>665</v>
      </c>
      <c r="I348" s="2">
        <v>6000</v>
      </c>
    </row>
    <row r="349" spans="1:9" x14ac:dyDescent="0.3">
      <c r="A349" s="5">
        <v>9908</v>
      </c>
      <c r="B349" s="5" t="s">
        <v>662</v>
      </c>
      <c r="C349" s="5">
        <v>1</v>
      </c>
      <c r="D349" s="5" t="s">
        <v>10</v>
      </c>
      <c r="E349" t="s">
        <v>663</v>
      </c>
      <c r="F349" t="s">
        <v>664</v>
      </c>
      <c r="G349">
        <v>0</v>
      </c>
      <c r="H349" t="s">
        <v>175</v>
      </c>
      <c r="I349" s="2">
        <v>6000</v>
      </c>
    </row>
    <row r="350" spans="1:9" x14ac:dyDescent="0.3">
      <c r="A350" s="5">
        <v>9908</v>
      </c>
      <c r="B350" s="5" t="s">
        <v>662</v>
      </c>
      <c r="C350" s="5">
        <v>1</v>
      </c>
      <c r="D350" s="5" t="s">
        <v>10</v>
      </c>
      <c r="E350" t="s">
        <v>663</v>
      </c>
      <c r="F350" t="s">
        <v>664</v>
      </c>
      <c r="G350">
        <v>0</v>
      </c>
      <c r="H350" t="s">
        <v>241</v>
      </c>
      <c r="I350" s="2">
        <v>8000</v>
      </c>
    </row>
    <row r="351" spans="1:9" x14ac:dyDescent="0.3">
      <c r="A351" s="5">
        <v>9907</v>
      </c>
      <c r="B351" s="5" t="s">
        <v>666</v>
      </c>
      <c r="C351" s="5">
        <v>1</v>
      </c>
      <c r="D351" s="5" t="s">
        <v>10</v>
      </c>
      <c r="E351" t="s">
        <v>667</v>
      </c>
      <c r="F351" t="s">
        <v>668</v>
      </c>
      <c r="G351">
        <v>0</v>
      </c>
      <c r="H351" t="s">
        <v>669</v>
      </c>
      <c r="I351" s="2">
        <v>13000</v>
      </c>
    </row>
    <row r="352" spans="1:9" x14ac:dyDescent="0.3">
      <c r="A352" s="5">
        <v>9907</v>
      </c>
      <c r="B352" s="5" t="s">
        <v>666</v>
      </c>
      <c r="C352" s="5">
        <v>1</v>
      </c>
      <c r="D352" s="5" t="s">
        <v>10</v>
      </c>
      <c r="E352" t="s">
        <v>667</v>
      </c>
      <c r="F352" t="s">
        <v>668</v>
      </c>
      <c r="G352">
        <v>0</v>
      </c>
      <c r="H352" t="s">
        <v>352</v>
      </c>
      <c r="I352" s="2">
        <v>13000</v>
      </c>
    </row>
    <row r="353" spans="1:9" x14ac:dyDescent="0.3">
      <c r="A353" s="5">
        <v>9906</v>
      </c>
      <c r="B353" s="5" t="s">
        <v>670</v>
      </c>
      <c r="C353" s="5">
        <v>5</v>
      </c>
      <c r="D353" s="5" t="s">
        <v>63</v>
      </c>
      <c r="E353" t="s">
        <v>671</v>
      </c>
      <c r="F353" t="s">
        <v>672</v>
      </c>
      <c r="G353">
        <v>0</v>
      </c>
      <c r="H353" t="s">
        <v>88</v>
      </c>
      <c r="I353" s="2">
        <v>20000</v>
      </c>
    </row>
    <row r="354" spans="1:9" x14ac:dyDescent="0.3">
      <c r="A354" s="5">
        <v>9906</v>
      </c>
      <c r="B354" s="5" t="s">
        <v>670</v>
      </c>
      <c r="C354" s="5">
        <v>5</v>
      </c>
      <c r="D354" s="5" t="s">
        <v>63</v>
      </c>
      <c r="E354" t="s">
        <v>671</v>
      </c>
      <c r="F354" t="s">
        <v>672</v>
      </c>
      <c r="G354">
        <v>0</v>
      </c>
      <c r="H354" t="s">
        <v>673</v>
      </c>
      <c r="I354" s="2">
        <v>10000</v>
      </c>
    </row>
    <row r="355" spans="1:9" x14ac:dyDescent="0.3">
      <c r="A355" s="5">
        <v>9906</v>
      </c>
      <c r="B355" s="5" t="s">
        <v>670</v>
      </c>
      <c r="C355" s="5">
        <v>5</v>
      </c>
      <c r="D355" s="5" t="s">
        <v>63</v>
      </c>
      <c r="E355" t="s">
        <v>671</v>
      </c>
      <c r="F355" t="s">
        <v>672</v>
      </c>
      <c r="G355">
        <v>0</v>
      </c>
      <c r="H355" t="s">
        <v>66</v>
      </c>
      <c r="I355" s="2">
        <v>20000</v>
      </c>
    </row>
    <row r="356" spans="1:9" x14ac:dyDescent="0.3">
      <c r="A356" s="5">
        <v>9905</v>
      </c>
      <c r="B356" s="5" t="s">
        <v>674</v>
      </c>
      <c r="C356" s="5">
        <v>1</v>
      </c>
      <c r="D356" s="5" t="s">
        <v>10</v>
      </c>
      <c r="E356" t="s">
        <v>675</v>
      </c>
      <c r="F356" t="s">
        <v>676</v>
      </c>
      <c r="G356">
        <v>0</v>
      </c>
      <c r="H356" t="s">
        <v>143</v>
      </c>
      <c r="I356" s="2">
        <v>7000</v>
      </c>
    </row>
    <row r="357" spans="1:9" x14ac:dyDescent="0.3">
      <c r="A357" s="5">
        <v>9904</v>
      </c>
      <c r="B357" s="5" t="s">
        <v>677</v>
      </c>
      <c r="C357" s="5">
        <v>1</v>
      </c>
      <c r="D357" s="5" t="s">
        <v>10</v>
      </c>
      <c r="E357" t="s">
        <v>276</v>
      </c>
      <c r="F357" t="s">
        <v>678</v>
      </c>
      <c r="G357">
        <v>0</v>
      </c>
      <c r="H357" t="s">
        <v>679</v>
      </c>
      <c r="I357" s="2">
        <v>4000</v>
      </c>
    </row>
    <row r="358" spans="1:9" x14ac:dyDescent="0.3">
      <c r="A358" s="5">
        <v>9903</v>
      </c>
      <c r="B358" s="5" t="s">
        <v>680</v>
      </c>
      <c r="C358" s="5">
        <v>1</v>
      </c>
      <c r="D358" s="5" t="s">
        <v>10</v>
      </c>
      <c r="E358" t="s">
        <v>681</v>
      </c>
      <c r="F358" t="s">
        <v>682</v>
      </c>
      <c r="G358">
        <v>0</v>
      </c>
      <c r="H358" t="s">
        <v>683</v>
      </c>
      <c r="I358" s="2">
        <v>4900</v>
      </c>
    </row>
    <row r="359" spans="1:9" x14ac:dyDescent="0.3">
      <c r="A359" s="5">
        <v>9902</v>
      </c>
      <c r="B359" s="5" t="s">
        <v>684</v>
      </c>
      <c r="C359" s="5">
        <v>4</v>
      </c>
      <c r="D359" s="5" t="s">
        <v>39</v>
      </c>
      <c r="E359" t="s">
        <v>685</v>
      </c>
      <c r="F359" t="s">
        <v>686</v>
      </c>
      <c r="G359">
        <v>0</v>
      </c>
      <c r="H359" t="s">
        <v>687</v>
      </c>
      <c r="I359" s="2">
        <v>2500</v>
      </c>
    </row>
    <row r="360" spans="1:9" x14ac:dyDescent="0.3">
      <c r="A360" s="5">
        <v>9901</v>
      </c>
      <c r="B360" s="5" t="s">
        <v>688</v>
      </c>
      <c r="C360" s="5">
        <v>1</v>
      </c>
      <c r="D360" s="5" t="s">
        <v>10</v>
      </c>
      <c r="E360" t="s">
        <v>689</v>
      </c>
      <c r="F360" t="s">
        <v>690</v>
      </c>
      <c r="G360">
        <v>0</v>
      </c>
      <c r="H360" t="s">
        <v>175</v>
      </c>
      <c r="I360" s="2">
        <v>5000</v>
      </c>
    </row>
    <row r="361" spans="1:9" x14ac:dyDescent="0.3">
      <c r="A361" s="5">
        <v>9900</v>
      </c>
      <c r="B361" s="5" t="s">
        <v>691</v>
      </c>
      <c r="C361" s="5">
        <v>1</v>
      </c>
      <c r="D361" s="5" t="s">
        <v>10</v>
      </c>
      <c r="E361" t="s">
        <v>692</v>
      </c>
      <c r="F361" t="s">
        <v>693</v>
      </c>
      <c r="G361">
        <v>0</v>
      </c>
      <c r="H361" t="s">
        <v>126</v>
      </c>
      <c r="I361" s="2">
        <v>5000</v>
      </c>
    </row>
    <row r="362" spans="1:9" x14ac:dyDescent="0.3">
      <c r="A362" s="5">
        <v>9899</v>
      </c>
      <c r="B362" s="5" t="s">
        <v>694</v>
      </c>
      <c r="C362" s="5">
        <v>5</v>
      </c>
      <c r="D362" s="5" t="s">
        <v>63</v>
      </c>
      <c r="E362" t="s">
        <v>695</v>
      </c>
      <c r="F362" t="s">
        <v>696</v>
      </c>
      <c r="G362">
        <v>0</v>
      </c>
      <c r="H362" t="s">
        <v>67</v>
      </c>
      <c r="I362" s="2">
        <v>8000</v>
      </c>
    </row>
    <row r="363" spans="1:9" x14ac:dyDescent="0.3">
      <c r="A363" s="5">
        <v>9898</v>
      </c>
      <c r="B363" s="5" t="s">
        <v>697</v>
      </c>
      <c r="C363" s="5">
        <v>1</v>
      </c>
      <c r="D363" s="5" t="s">
        <v>10</v>
      </c>
      <c r="E363" t="s">
        <v>698</v>
      </c>
      <c r="F363" t="s">
        <v>699</v>
      </c>
      <c r="G363">
        <v>0</v>
      </c>
      <c r="H363" t="s">
        <v>700</v>
      </c>
      <c r="I363" s="2">
        <v>9000</v>
      </c>
    </row>
    <row r="364" spans="1:9" x14ac:dyDescent="0.3">
      <c r="A364" s="5">
        <v>9897</v>
      </c>
      <c r="B364" s="5" t="s">
        <v>701</v>
      </c>
      <c r="C364" s="5">
        <v>1</v>
      </c>
      <c r="D364" s="5" t="s">
        <v>10</v>
      </c>
      <c r="E364" t="s">
        <v>702</v>
      </c>
      <c r="G364">
        <v>0</v>
      </c>
      <c r="H364" t="s">
        <v>703</v>
      </c>
      <c r="I364" s="2">
        <v>4000</v>
      </c>
    </row>
    <row r="365" spans="1:9" x14ac:dyDescent="0.3">
      <c r="A365" s="5">
        <v>9896</v>
      </c>
      <c r="B365" s="5" t="s">
        <v>704</v>
      </c>
      <c r="C365" s="5">
        <v>1</v>
      </c>
      <c r="D365" s="5" t="s">
        <v>10</v>
      </c>
      <c r="E365" t="s">
        <v>705</v>
      </c>
      <c r="F365" t="s">
        <v>706</v>
      </c>
      <c r="G365">
        <v>0</v>
      </c>
      <c r="H365" t="s">
        <v>169</v>
      </c>
      <c r="I365" s="2">
        <v>5000</v>
      </c>
    </row>
    <row r="366" spans="1:9" x14ac:dyDescent="0.3">
      <c r="A366" s="5">
        <v>9895</v>
      </c>
      <c r="B366" s="5" t="s">
        <v>707</v>
      </c>
      <c r="C366" s="5">
        <v>5</v>
      </c>
      <c r="D366" s="5" t="s">
        <v>63</v>
      </c>
      <c r="E366" t="s">
        <v>708</v>
      </c>
      <c r="F366">
        <v>226359596</v>
      </c>
      <c r="G366">
        <v>0</v>
      </c>
      <c r="H366" t="s">
        <v>709</v>
      </c>
      <c r="I366" s="2">
        <v>14000</v>
      </c>
    </row>
    <row r="367" spans="1:9" x14ac:dyDescent="0.3">
      <c r="A367" s="5">
        <v>9895</v>
      </c>
      <c r="B367" s="5" t="s">
        <v>707</v>
      </c>
      <c r="C367" s="5">
        <v>5</v>
      </c>
      <c r="D367" s="5" t="s">
        <v>63</v>
      </c>
      <c r="E367" t="s">
        <v>708</v>
      </c>
      <c r="F367">
        <v>226359596</v>
      </c>
      <c r="G367">
        <v>0</v>
      </c>
      <c r="H367" t="s">
        <v>710</v>
      </c>
      <c r="I367" s="2">
        <v>49000</v>
      </c>
    </row>
    <row r="368" spans="1:9" x14ac:dyDescent="0.3">
      <c r="A368" s="5">
        <v>9895</v>
      </c>
      <c r="B368" s="5" t="s">
        <v>707</v>
      </c>
      <c r="C368" s="5">
        <v>5</v>
      </c>
      <c r="D368" s="5" t="s">
        <v>63</v>
      </c>
      <c r="E368" t="s">
        <v>708</v>
      </c>
      <c r="F368">
        <v>226359596</v>
      </c>
      <c r="G368">
        <v>0</v>
      </c>
      <c r="H368" t="s">
        <v>711</v>
      </c>
      <c r="I368" s="2">
        <v>49000</v>
      </c>
    </row>
    <row r="369" spans="1:9" x14ac:dyDescent="0.3">
      <c r="A369" s="5">
        <v>9895</v>
      </c>
      <c r="B369" s="5" t="s">
        <v>707</v>
      </c>
      <c r="C369" s="5">
        <v>5</v>
      </c>
      <c r="D369" s="5" t="s">
        <v>63</v>
      </c>
      <c r="E369" t="s">
        <v>708</v>
      </c>
      <c r="F369">
        <v>226359596</v>
      </c>
      <c r="G369">
        <v>0</v>
      </c>
      <c r="H369" t="s">
        <v>712</v>
      </c>
      <c r="I369" s="2">
        <v>55000</v>
      </c>
    </row>
    <row r="370" spans="1:9" x14ac:dyDescent="0.3">
      <c r="A370" s="5">
        <v>9894</v>
      </c>
      <c r="B370" s="5" t="s">
        <v>713</v>
      </c>
      <c r="C370" s="5">
        <v>7</v>
      </c>
      <c r="D370" s="5" t="s">
        <v>360</v>
      </c>
      <c r="E370" t="s">
        <v>714</v>
      </c>
      <c r="F370" t="s">
        <v>715</v>
      </c>
      <c r="G370">
        <v>0</v>
      </c>
      <c r="H370" t="s">
        <v>716</v>
      </c>
      <c r="I370" s="2">
        <v>4000</v>
      </c>
    </row>
    <row r="371" spans="1:9" x14ac:dyDescent="0.3">
      <c r="A371" s="5">
        <v>9894</v>
      </c>
      <c r="B371" s="5" t="s">
        <v>713</v>
      </c>
      <c r="C371" s="5">
        <v>7</v>
      </c>
      <c r="D371" s="5" t="s">
        <v>360</v>
      </c>
      <c r="E371" t="s">
        <v>714</v>
      </c>
      <c r="F371" t="s">
        <v>715</v>
      </c>
      <c r="G371">
        <v>0</v>
      </c>
      <c r="H371" t="s">
        <v>363</v>
      </c>
      <c r="I371" s="2">
        <v>7500</v>
      </c>
    </row>
    <row r="372" spans="1:9" x14ac:dyDescent="0.3">
      <c r="A372" s="5">
        <v>9893</v>
      </c>
      <c r="B372" s="5" t="s">
        <v>717</v>
      </c>
      <c r="C372" s="5">
        <v>1</v>
      </c>
      <c r="D372" s="5" t="s">
        <v>10</v>
      </c>
      <c r="E372" t="s">
        <v>718</v>
      </c>
      <c r="F372" t="s">
        <v>719</v>
      </c>
      <c r="G372">
        <v>0</v>
      </c>
      <c r="H372" t="s">
        <v>720</v>
      </c>
      <c r="I372" s="2">
        <v>6900</v>
      </c>
    </row>
    <row r="373" spans="1:9" x14ac:dyDescent="0.3">
      <c r="A373" s="5">
        <v>9893</v>
      </c>
      <c r="B373" s="5" t="s">
        <v>717</v>
      </c>
      <c r="C373" s="5">
        <v>1</v>
      </c>
      <c r="D373" s="5" t="s">
        <v>10</v>
      </c>
      <c r="E373" t="s">
        <v>718</v>
      </c>
      <c r="F373" t="s">
        <v>719</v>
      </c>
      <c r="G373">
        <v>0</v>
      </c>
      <c r="H373" t="s">
        <v>646</v>
      </c>
      <c r="I373" s="2">
        <v>5900</v>
      </c>
    </row>
    <row r="374" spans="1:9" x14ac:dyDescent="0.3">
      <c r="A374" s="5">
        <v>9892</v>
      </c>
      <c r="B374" s="5" t="s">
        <v>721</v>
      </c>
      <c r="C374" s="5">
        <v>1</v>
      </c>
      <c r="D374" s="5" t="s">
        <v>10</v>
      </c>
      <c r="E374" t="s">
        <v>722</v>
      </c>
      <c r="F374" t="s">
        <v>723</v>
      </c>
      <c r="G374">
        <v>0</v>
      </c>
      <c r="H374" t="s">
        <v>724</v>
      </c>
      <c r="I374" s="2">
        <v>14000</v>
      </c>
    </row>
    <row r="375" spans="1:9" x14ac:dyDescent="0.3">
      <c r="A375" s="5">
        <v>9892</v>
      </c>
      <c r="B375" s="5" t="s">
        <v>721</v>
      </c>
      <c r="C375" s="5">
        <v>1</v>
      </c>
      <c r="D375" s="5" t="s">
        <v>10</v>
      </c>
      <c r="E375" t="s">
        <v>722</v>
      </c>
      <c r="F375" t="s">
        <v>723</v>
      </c>
      <c r="G375">
        <v>0</v>
      </c>
      <c r="H375" t="s">
        <v>725</v>
      </c>
      <c r="I375" s="2">
        <v>14000</v>
      </c>
    </row>
    <row r="376" spans="1:9" x14ac:dyDescent="0.3">
      <c r="A376" s="5">
        <v>9891</v>
      </c>
      <c r="B376" s="5" t="s">
        <v>726</v>
      </c>
      <c r="C376" s="5">
        <v>1</v>
      </c>
      <c r="D376" s="5" t="s">
        <v>10</v>
      </c>
      <c r="E376" t="s">
        <v>727</v>
      </c>
      <c r="F376" t="s">
        <v>728</v>
      </c>
      <c r="G376">
        <v>0</v>
      </c>
      <c r="H376" t="s">
        <v>163</v>
      </c>
      <c r="I376" s="2">
        <v>11000</v>
      </c>
    </row>
    <row r="377" spans="1:9" x14ac:dyDescent="0.3">
      <c r="A377" s="5">
        <v>9891</v>
      </c>
      <c r="B377" s="5" t="s">
        <v>726</v>
      </c>
      <c r="C377" s="5">
        <v>1</v>
      </c>
      <c r="D377" s="5" t="s">
        <v>10</v>
      </c>
      <c r="E377" t="s">
        <v>727</v>
      </c>
      <c r="F377" t="s">
        <v>728</v>
      </c>
      <c r="G377">
        <v>0</v>
      </c>
      <c r="H377" t="s">
        <v>729</v>
      </c>
      <c r="I377" s="2">
        <v>12000</v>
      </c>
    </row>
    <row r="378" spans="1:9" x14ac:dyDescent="0.3">
      <c r="A378" s="5">
        <v>9890</v>
      </c>
      <c r="B378" s="5" t="s">
        <v>730</v>
      </c>
      <c r="C378" s="5">
        <v>3</v>
      </c>
      <c r="D378" s="5" t="s">
        <v>44</v>
      </c>
      <c r="E378" t="s">
        <v>731</v>
      </c>
      <c r="F378" t="s">
        <v>732</v>
      </c>
      <c r="G378">
        <v>0</v>
      </c>
      <c r="H378" t="s">
        <v>730</v>
      </c>
      <c r="I378" s="2">
        <v>11000</v>
      </c>
    </row>
    <row r="379" spans="1:9" x14ac:dyDescent="0.3">
      <c r="A379" s="5">
        <v>9890</v>
      </c>
      <c r="B379" s="5" t="s">
        <v>730</v>
      </c>
      <c r="C379" s="5">
        <v>3</v>
      </c>
      <c r="D379" s="5" t="s">
        <v>44</v>
      </c>
      <c r="E379" t="s">
        <v>731</v>
      </c>
      <c r="F379" t="s">
        <v>732</v>
      </c>
      <c r="G379">
        <v>0</v>
      </c>
      <c r="H379" t="s">
        <v>733</v>
      </c>
      <c r="I379" s="2">
        <v>14000</v>
      </c>
    </row>
    <row r="380" spans="1:9" x14ac:dyDescent="0.3">
      <c r="A380" s="5">
        <v>9889</v>
      </c>
      <c r="B380" s="5" t="s">
        <v>734</v>
      </c>
      <c r="C380" s="5">
        <v>1</v>
      </c>
      <c r="D380" s="5" t="s">
        <v>10</v>
      </c>
      <c r="E380" t="s">
        <v>735</v>
      </c>
      <c r="F380" t="s">
        <v>736</v>
      </c>
      <c r="G380">
        <v>0</v>
      </c>
      <c r="H380" t="s">
        <v>737</v>
      </c>
      <c r="I380" s="2">
        <v>8000</v>
      </c>
    </row>
    <row r="381" spans="1:9" x14ac:dyDescent="0.3">
      <c r="A381" s="5">
        <v>9889</v>
      </c>
      <c r="B381" s="5" t="s">
        <v>734</v>
      </c>
      <c r="C381" s="5">
        <v>1</v>
      </c>
      <c r="D381" s="5" t="s">
        <v>10</v>
      </c>
      <c r="E381" t="s">
        <v>735</v>
      </c>
      <c r="F381" t="s">
        <v>736</v>
      </c>
      <c r="G381">
        <v>0</v>
      </c>
      <c r="H381" t="s">
        <v>738</v>
      </c>
      <c r="I381" s="2">
        <v>7000</v>
      </c>
    </row>
    <row r="382" spans="1:9" x14ac:dyDescent="0.3">
      <c r="A382" s="5">
        <v>9888</v>
      </c>
      <c r="B382" s="5" t="s">
        <v>739</v>
      </c>
      <c r="C382" s="5">
        <v>1</v>
      </c>
      <c r="D382" s="5" t="s">
        <v>10</v>
      </c>
      <c r="E382" t="s">
        <v>740</v>
      </c>
      <c r="F382" t="s">
        <v>741</v>
      </c>
      <c r="G382">
        <v>0</v>
      </c>
      <c r="H382" t="s">
        <v>139</v>
      </c>
      <c r="I382" s="2">
        <v>7000</v>
      </c>
    </row>
    <row r="383" spans="1:9" x14ac:dyDescent="0.3">
      <c r="A383" s="5">
        <v>9888</v>
      </c>
      <c r="B383" s="5" t="s">
        <v>739</v>
      </c>
      <c r="C383" s="5">
        <v>1</v>
      </c>
      <c r="D383" s="5" t="s">
        <v>10</v>
      </c>
      <c r="E383" t="s">
        <v>740</v>
      </c>
      <c r="F383" t="s">
        <v>741</v>
      </c>
      <c r="G383">
        <v>0</v>
      </c>
      <c r="H383" t="s">
        <v>742</v>
      </c>
      <c r="I383" s="2">
        <v>7000</v>
      </c>
    </row>
    <row r="384" spans="1:9" x14ac:dyDescent="0.3">
      <c r="A384" s="5">
        <v>9887</v>
      </c>
      <c r="B384" s="5" t="s">
        <v>743</v>
      </c>
      <c r="C384" s="5">
        <v>1</v>
      </c>
      <c r="D384" s="5" t="s">
        <v>10</v>
      </c>
      <c r="E384" t="s">
        <v>744</v>
      </c>
      <c r="F384" t="s">
        <v>745</v>
      </c>
      <c r="G384">
        <v>0</v>
      </c>
      <c r="H384" t="s">
        <v>746</v>
      </c>
      <c r="I384" s="2">
        <v>9900</v>
      </c>
    </row>
    <row r="385" spans="1:9" x14ac:dyDescent="0.3">
      <c r="A385" s="5">
        <v>9886</v>
      </c>
      <c r="B385" s="5" t="s">
        <v>747</v>
      </c>
      <c r="C385" s="5">
        <v>2</v>
      </c>
      <c r="D385" s="5" t="s">
        <v>261</v>
      </c>
      <c r="E385" t="s">
        <v>748</v>
      </c>
      <c r="F385" t="s">
        <v>749</v>
      </c>
      <c r="G385">
        <v>0</v>
      </c>
      <c r="H385" t="s">
        <v>750</v>
      </c>
      <c r="I385" s="2">
        <v>8000</v>
      </c>
    </row>
    <row r="386" spans="1:9" x14ac:dyDescent="0.3">
      <c r="A386" s="5">
        <v>9886</v>
      </c>
      <c r="B386" s="5" t="s">
        <v>747</v>
      </c>
      <c r="C386" s="5">
        <v>2</v>
      </c>
      <c r="D386" s="5" t="s">
        <v>261</v>
      </c>
      <c r="E386" t="s">
        <v>748</v>
      </c>
      <c r="F386" t="s">
        <v>749</v>
      </c>
      <c r="G386">
        <v>0</v>
      </c>
      <c r="H386" t="s">
        <v>751</v>
      </c>
      <c r="I386" s="2">
        <v>7000</v>
      </c>
    </row>
    <row r="387" spans="1:9" x14ac:dyDescent="0.3">
      <c r="A387" s="5">
        <v>9886</v>
      </c>
      <c r="B387" s="5" t="s">
        <v>747</v>
      </c>
      <c r="C387" s="5">
        <v>2</v>
      </c>
      <c r="D387" s="5" t="s">
        <v>261</v>
      </c>
      <c r="E387" t="s">
        <v>748</v>
      </c>
      <c r="F387" t="s">
        <v>749</v>
      </c>
      <c r="G387">
        <v>0</v>
      </c>
      <c r="H387" t="s">
        <v>752</v>
      </c>
      <c r="I387" s="2">
        <v>8000</v>
      </c>
    </row>
    <row r="388" spans="1:9" x14ac:dyDescent="0.3">
      <c r="A388" s="5">
        <v>9886</v>
      </c>
      <c r="B388" s="5" t="s">
        <v>747</v>
      </c>
      <c r="C388" s="5">
        <v>2</v>
      </c>
      <c r="D388" s="5" t="s">
        <v>261</v>
      </c>
      <c r="E388" t="s">
        <v>748</v>
      </c>
      <c r="F388" t="s">
        <v>749</v>
      </c>
      <c r="G388">
        <v>0</v>
      </c>
      <c r="H388" t="s">
        <v>753</v>
      </c>
      <c r="I388" s="2">
        <v>13000</v>
      </c>
    </row>
    <row r="389" spans="1:9" x14ac:dyDescent="0.3">
      <c r="A389" s="5">
        <v>9886</v>
      </c>
      <c r="B389" s="5" t="s">
        <v>747</v>
      </c>
      <c r="C389" s="5">
        <v>2</v>
      </c>
      <c r="D389" s="5" t="s">
        <v>261</v>
      </c>
      <c r="E389" t="s">
        <v>748</v>
      </c>
      <c r="F389" t="s">
        <v>749</v>
      </c>
      <c r="G389">
        <v>0</v>
      </c>
      <c r="H389" t="s">
        <v>754</v>
      </c>
      <c r="I389" s="2">
        <v>8000</v>
      </c>
    </row>
    <row r="390" spans="1:9" x14ac:dyDescent="0.3">
      <c r="A390" s="5">
        <v>9886</v>
      </c>
      <c r="B390" s="5" t="s">
        <v>747</v>
      </c>
      <c r="C390" s="5">
        <v>2</v>
      </c>
      <c r="D390" s="5" t="s">
        <v>261</v>
      </c>
      <c r="E390" t="s">
        <v>748</v>
      </c>
      <c r="F390" t="s">
        <v>749</v>
      </c>
      <c r="G390">
        <v>0</v>
      </c>
      <c r="H390" t="s">
        <v>755</v>
      </c>
      <c r="I390" s="2">
        <v>8000</v>
      </c>
    </row>
    <row r="391" spans="1:9" x14ac:dyDescent="0.3">
      <c r="A391" s="5">
        <v>9886</v>
      </c>
      <c r="B391" s="5" t="s">
        <v>747</v>
      </c>
      <c r="C391" s="5">
        <v>2</v>
      </c>
      <c r="D391" s="5" t="s">
        <v>261</v>
      </c>
      <c r="E391" t="s">
        <v>748</v>
      </c>
      <c r="F391" t="s">
        <v>749</v>
      </c>
      <c r="G391">
        <v>0</v>
      </c>
      <c r="H391" t="s">
        <v>756</v>
      </c>
      <c r="I391" s="2">
        <v>8000</v>
      </c>
    </row>
    <row r="392" spans="1:9" x14ac:dyDescent="0.3">
      <c r="A392" s="5">
        <v>9886</v>
      </c>
      <c r="B392" s="5" t="s">
        <v>747</v>
      </c>
      <c r="C392" s="5">
        <v>2</v>
      </c>
      <c r="D392" s="5" t="s">
        <v>261</v>
      </c>
      <c r="E392" t="s">
        <v>748</v>
      </c>
      <c r="F392" t="s">
        <v>749</v>
      </c>
      <c r="G392">
        <v>0</v>
      </c>
      <c r="H392" t="s">
        <v>757</v>
      </c>
      <c r="I392" s="2">
        <v>17000</v>
      </c>
    </row>
    <row r="393" spans="1:9" x14ac:dyDescent="0.3">
      <c r="A393" s="5">
        <v>9886</v>
      </c>
      <c r="B393" s="5" t="s">
        <v>747</v>
      </c>
      <c r="C393" s="5">
        <v>2</v>
      </c>
      <c r="D393" s="5" t="s">
        <v>261</v>
      </c>
      <c r="E393" t="s">
        <v>748</v>
      </c>
      <c r="F393" t="s">
        <v>749</v>
      </c>
      <c r="G393">
        <v>0</v>
      </c>
      <c r="H393" t="s">
        <v>265</v>
      </c>
      <c r="I393" s="2">
        <v>8000</v>
      </c>
    </row>
    <row r="394" spans="1:9" x14ac:dyDescent="0.3">
      <c r="A394" s="5">
        <v>9870</v>
      </c>
      <c r="B394" s="5" t="s">
        <v>758</v>
      </c>
      <c r="C394" s="5">
        <v>13</v>
      </c>
      <c r="D394" s="5" t="s">
        <v>27</v>
      </c>
      <c r="E394" t="s">
        <v>759</v>
      </c>
      <c r="F394" t="s">
        <v>760</v>
      </c>
      <c r="G394">
        <v>0</v>
      </c>
      <c r="H394" t="s">
        <v>761</v>
      </c>
      <c r="I394" s="2">
        <v>20000</v>
      </c>
    </row>
    <row r="395" spans="1:9" x14ac:dyDescent="0.3">
      <c r="A395" s="5">
        <v>9869</v>
      </c>
      <c r="B395" s="5" t="s">
        <v>762</v>
      </c>
      <c r="C395" s="5">
        <v>1</v>
      </c>
      <c r="D395" s="5" t="s">
        <v>10</v>
      </c>
      <c r="E395" t="s">
        <v>763</v>
      </c>
      <c r="F395" t="s">
        <v>764</v>
      </c>
      <c r="G395">
        <v>0</v>
      </c>
      <c r="H395" t="s">
        <v>765</v>
      </c>
      <c r="I395" s="2">
        <v>9000</v>
      </c>
    </row>
    <row r="396" spans="1:9" x14ac:dyDescent="0.3">
      <c r="A396" s="5">
        <v>9869</v>
      </c>
      <c r="B396" s="5" t="s">
        <v>762</v>
      </c>
      <c r="C396" s="5">
        <v>1</v>
      </c>
      <c r="D396" s="5" t="s">
        <v>10</v>
      </c>
      <c r="E396" t="s">
        <v>763</v>
      </c>
      <c r="F396" t="s">
        <v>764</v>
      </c>
      <c r="G396">
        <v>0</v>
      </c>
      <c r="H396" t="s">
        <v>127</v>
      </c>
      <c r="I396" s="2">
        <v>9000</v>
      </c>
    </row>
    <row r="397" spans="1:9" x14ac:dyDescent="0.3">
      <c r="A397" s="5">
        <v>9868</v>
      </c>
      <c r="B397" s="5" t="s">
        <v>766</v>
      </c>
      <c r="C397" s="5">
        <v>1</v>
      </c>
      <c r="D397" s="5" t="s">
        <v>10</v>
      </c>
      <c r="E397" t="s">
        <v>767</v>
      </c>
      <c r="F397" t="s">
        <v>768</v>
      </c>
      <c r="G397">
        <v>0</v>
      </c>
      <c r="H397" t="s">
        <v>769</v>
      </c>
      <c r="I397" s="2">
        <v>4000</v>
      </c>
    </row>
    <row r="398" spans="1:9" x14ac:dyDescent="0.3">
      <c r="A398" s="5">
        <v>9868</v>
      </c>
      <c r="B398" s="5" t="s">
        <v>766</v>
      </c>
      <c r="C398" s="5">
        <v>1</v>
      </c>
      <c r="D398" s="5" t="s">
        <v>10</v>
      </c>
      <c r="E398" t="s">
        <v>767</v>
      </c>
      <c r="F398" t="s">
        <v>768</v>
      </c>
      <c r="G398">
        <v>0</v>
      </c>
      <c r="H398" t="s">
        <v>770</v>
      </c>
      <c r="I398" s="2">
        <v>13500</v>
      </c>
    </row>
    <row r="399" spans="1:9" x14ac:dyDescent="0.3">
      <c r="A399" s="5">
        <v>9867</v>
      </c>
      <c r="B399" s="5" t="s">
        <v>771</v>
      </c>
      <c r="C399" s="5">
        <v>2</v>
      </c>
      <c r="D399" s="5" t="s">
        <v>261</v>
      </c>
      <c r="E399" t="s">
        <v>772</v>
      </c>
      <c r="F399" t="s">
        <v>773</v>
      </c>
      <c r="G399">
        <v>0</v>
      </c>
      <c r="H399" t="s">
        <v>771</v>
      </c>
      <c r="I399" s="2">
        <v>7000</v>
      </c>
    </row>
    <row r="400" spans="1:9" x14ac:dyDescent="0.3">
      <c r="A400" s="5">
        <v>9867</v>
      </c>
      <c r="B400" s="5" t="s">
        <v>771</v>
      </c>
      <c r="C400" s="5">
        <v>2</v>
      </c>
      <c r="D400" s="5" t="s">
        <v>261</v>
      </c>
      <c r="E400" t="s">
        <v>772</v>
      </c>
      <c r="F400" t="s">
        <v>773</v>
      </c>
      <c r="G400">
        <v>0</v>
      </c>
      <c r="H400" t="s">
        <v>264</v>
      </c>
      <c r="I400" s="2">
        <v>6000</v>
      </c>
    </row>
    <row r="401" spans="1:9" x14ac:dyDescent="0.3">
      <c r="A401" s="5">
        <v>9867</v>
      </c>
      <c r="B401" s="5" t="s">
        <v>771</v>
      </c>
      <c r="C401" s="5">
        <v>2</v>
      </c>
      <c r="D401" s="5" t="s">
        <v>261</v>
      </c>
      <c r="E401" t="s">
        <v>772</v>
      </c>
      <c r="F401" t="s">
        <v>773</v>
      </c>
      <c r="G401">
        <v>0</v>
      </c>
      <c r="H401" t="s">
        <v>641</v>
      </c>
      <c r="I401" s="2">
        <v>16000</v>
      </c>
    </row>
    <row r="402" spans="1:9" x14ac:dyDescent="0.3">
      <c r="A402" s="5">
        <v>9866</v>
      </c>
      <c r="B402" s="5" t="s">
        <v>774</v>
      </c>
      <c r="C402" s="5">
        <v>1</v>
      </c>
      <c r="D402" s="5" t="s">
        <v>10</v>
      </c>
      <c r="E402" t="s">
        <v>775</v>
      </c>
      <c r="F402" t="s">
        <v>776</v>
      </c>
      <c r="G402">
        <v>0</v>
      </c>
      <c r="H402" t="s">
        <v>777</v>
      </c>
      <c r="I402" s="2">
        <v>7000</v>
      </c>
    </row>
    <row r="403" spans="1:9" x14ac:dyDescent="0.3">
      <c r="A403" s="5">
        <v>9865</v>
      </c>
      <c r="B403" s="5" t="s">
        <v>778</v>
      </c>
      <c r="C403" s="5">
        <v>2</v>
      </c>
      <c r="D403" s="5" t="s">
        <v>261</v>
      </c>
      <c r="E403" t="s">
        <v>779</v>
      </c>
      <c r="F403" t="s">
        <v>780</v>
      </c>
      <c r="G403">
        <v>0</v>
      </c>
      <c r="H403" t="s">
        <v>265</v>
      </c>
      <c r="I403" s="2">
        <v>7000</v>
      </c>
    </row>
    <row r="404" spans="1:9" x14ac:dyDescent="0.3">
      <c r="A404" s="5">
        <v>9865</v>
      </c>
      <c r="B404" s="5" t="s">
        <v>778</v>
      </c>
      <c r="C404" s="5">
        <v>2</v>
      </c>
      <c r="D404" s="5" t="s">
        <v>261</v>
      </c>
      <c r="E404" t="s">
        <v>779</v>
      </c>
      <c r="F404" t="s">
        <v>780</v>
      </c>
      <c r="G404">
        <v>0</v>
      </c>
      <c r="H404" t="s">
        <v>642</v>
      </c>
      <c r="I404" s="2">
        <v>6000</v>
      </c>
    </row>
    <row r="405" spans="1:9" x14ac:dyDescent="0.3">
      <c r="A405" s="5">
        <v>9864</v>
      </c>
      <c r="B405" s="5" t="s">
        <v>781</v>
      </c>
      <c r="C405" s="5">
        <v>4</v>
      </c>
      <c r="D405" s="5" t="s">
        <v>39</v>
      </c>
      <c r="E405" t="s">
        <v>782</v>
      </c>
      <c r="F405" t="s">
        <v>783</v>
      </c>
      <c r="G405">
        <v>0</v>
      </c>
      <c r="H405" t="s">
        <v>304</v>
      </c>
      <c r="I405" s="2">
        <v>6500</v>
      </c>
    </row>
    <row r="406" spans="1:9" x14ac:dyDescent="0.3">
      <c r="A406" s="5">
        <v>9864</v>
      </c>
      <c r="B406" s="5" t="s">
        <v>781</v>
      </c>
      <c r="C406" s="5">
        <v>4</v>
      </c>
      <c r="D406" s="5" t="s">
        <v>39</v>
      </c>
      <c r="E406" t="s">
        <v>782</v>
      </c>
      <c r="F406" t="s">
        <v>783</v>
      </c>
      <c r="G406">
        <v>0</v>
      </c>
      <c r="H406" t="s">
        <v>374</v>
      </c>
      <c r="I406" s="2">
        <v>2500</v>
      </c>
    </row>
    <row r="407" spans="1:9" x14ac:dyDescent="0.3">
      <c r="A407" s="5">
        <v>9864</v>
      </c>
      <c r="B407" s="5" t="s">
        <v>781</v>
      </c>
      <c r="C407" s="5">
        <v>4</v>
      </c>
      <c r="D407" s="5" t="s">
        <v>39</v>
      </c>
      <c r="E407" t="s">
        <v>782</v>
      </c>
      <c r="F407" t="s">
        <v>783</v>
      </c>
      <c r="G407">
        <v>0</v>
      </c>
      <c r="H407" t="s">
        <v>126</v>
      </c>
      <c r="I407" s="2">
        <v>5500</v>
      </c>
    </row>
    <row r="408" spans="1:9" x14ac:dyDescent="0.3">
      <c r="A408" s="5">
        <v>9864</v>
      </c>
      <c r="B408" s="5" t="s">
        <v>781</v>
      </c>
      <c r="C408" s="5">
        <v>4</v>
      </c>
      <c r="D408" s="5" t="s">
        <v>39</v>
      </c>
      <c r="E408" t="s">
        <v>782</v>
      </c>
      <c r="F408" t="s">
        <v>783</v>
      </c>
      <c r="G408">
        <v>0</v>
      </c>
      <c r="H408" t="s">
        <v>374</v>
      </c>
      <c r="I408" s="2">
        <v>2500</v>
      </c>
    </row>
    <row r="409" spans="1:9" x14ac:dyDescent="0.3">
      <c r="A409" s="5">
        <v>9863</v>
      </c>
      <c r="B409" s="5" t="s">
        <v>784</v>
      </c>
      <c r="C409" s="5">
        <v>1</v>
      </c>
      <c r="D409" s="5" t="s">
        <v>10</v>
      </c>
      <c r="E409" t="s">
        <v>785</v>
      </c>
      <c r="F409" t="s">
        <v>786</v>
      </c>
      <c r="G409">
        <v>0</v>
      </c>
      <c r="H409" t="s">
        <v>217</v>
      </c>
      <c r="I409" s="2">
        <v>14000</v>
      </c>
    </row>
    <row r="410" spans="1:9" x14ac:dyDescent="0.3">
      <c r="A410" s="5">
        <v>9863</v>
      </c>
      <c r="B410" s="5" t="s">
        <v>784</v>
      </c>
      <c r="C410" s="5">
        <v>1</v>
      </c>
      <c r="D410" s="5" t="s">
        <v>10</v>
      </c>
      <c r="E410" t="s">
        <v>785</v>
      </c>
      <c r="F410" t="s">
        <v>786</v>
      </c>
      <c r="G410">
        <v>0</v>
      </c>
      <c r="H410" t="s">
        <v>139</v>
      </c>
      <c r="I410" s="2">
        <v>7000</v>
      </c>
    </row>
    <row r="411" spans="1:9" x14ac:dyDescent="0.3">
      <c r="A411" s="5">
        <v>9862</v>
      </c>
      <c r="B411" s="5" t="s">
        <v>787</v>
      </c>
      <c r="C411" s="5">
        <v>1</v>
      </c>
      <c r="D411" s="5" t="s">
        <v>10</v>
      </c>
      <c r="E411" t="s">
        <v>788</v>
      </c>
      <c r="F411" t="s">
        <v>789</v>
      </c>
      <c r="G411">
        <v>0</v>
      </c>
      <c r="H411" t="s">
        <v>258</v>
      </c>
      <c r="I411" s="2">
        <v>3000</v>
      </c>
    </row>
    <row r="412" spans="1:9" x14ac:dyDescent="0.3">
      <c r="A412" s="5">
        <v>9862</v>
      </c>
      <c r="B412" s="5" t="s">
        <v>787</v>
      </c>
      <c r="C412" s="5">
        <v>1</v>
      </c>
      <c r="D412" s="5" t="s">
        <v>10</v>
      </c>
      <c r="E412" t="s">
        <v>788</v>
      </c>
      <c r="F412" t="s">
        <v>789</v>
      </c>
      <c r="G412">
        <v>0</v>
      </c>
      <c r="H412" t="s">
        <v>19</v>
      </c>
      <c r="I412" s="2">
        <v>6000</v>
      </c>
    </row>
    <row r="413" spans="1:9" x14ac:dyDescent="0.3">
      <c r="A413" s="5">
        <v>9861</v>
      </c>
      <c r="B413" s="5" t="s">
        <v>790</v>
      </c>
      <c r="C413" s="5">
        <v>3</v>
      </c>
      <c r="D413" s="5" t="s">
        <v>44</v>
      </c>
      <c r="E413" t="s">
        <v>791</v>
      </c>
      <c r="F413" t="s">
        <v>792</v>
      </c>
      <c r="G413">
        <v>0</v>
      </c>
      <c r="H413" t="s">
        <v>793</v>
      </c>
      <c r="I413" s="2">
        <v>7500</v>
      </c>
    </row>
    <row r="414" spans="1:9" x14ac:dyDescent="0.3">
      <c r="A414" s="5">
        <v>9861</v>
      </c>
      <c r="B414" s="5" t="s">
        <v>790</v>
      </c>
      <c r="C414" s="5">
        <v>3</v>
      </c>
      <c r="D414" s="5" t="s">
        <v>44</v>
      </c>
      <c r="E414" t="s">
        <v>791</v>
      </c>
      <c r="F414" t="s">
        <v>792</v>
      </c>
      <c r="G414">
        <v>0</v>
      </c>
      <c r="H414" t="s">
        <v>794</v>
      </c>
      <c r="I414" s="2">
        <v>7500</v>
      </c>
    </row>
    <row r="415" spans="1:9" x14ac:dyDescent="0.3">
      <c r="A415" s="5">
        <v>9860</v>
      </c>
      <c r="B415" s="5" t="s">
        <v>795</v>
      </c>
      <c r="C415" s="5">
        <v>1</v>
      </c>
      <c r="D415" s="5" t="s">
        <v>10</v>
      </c>
      <c r="E415" t="s">
        <v>796</v>
      </c>
      <c r="F415" t="s">
        <v>797</v>
      </c>
      <c r="G415">
        <v>0</v>
      </c>
      <c r="H415" t="s">
        <v>139</v>
      </c>
      <c r="I415" s="2">
        <v>5500</v>
      </c>
    </row>
    <row r="416" spans="1:9" x14ac:dyDescent="0.3">
      <c r="A416" s="5">
        <v>9860</v>
      </c>
      <c r="B416" s="5" t="s">
        <v>795</v>
      </c>
      <c r="C416" s="5">
        <v>1</v>
      </c>
      <c r="D416" s="5" t="s">
        <v>10</v>
      </c>
      <c r="E416" t="s">
        <v>796</v>
      </c>
      <c r="F416" t="s">
        <v>797</v>
      </c>
      <c r="G416">
        <v>0</v>
      </c>
      <c r="H416" t="s">
        <v>374</v>
      </c>
      <c r="I416" s="2">
        <v>2500</v>
      </c>
    </row>
    <row r="417" spans="1:9" x14ac:dyDescent="0.3">
      <c r="A417" s="5">
        <v>9859</v>
      </c>
      <c r="B417" s="5" t="s">
        <v>798</v>
      </c>
      <c r="C417" s="5">
        <v>1</v>
      </c>
      <c r="D417" s="5" t="s">
        <v>10</v>
      </c>
      <c r="E417" t="s">
        <v>799</v>
      </c>
      <c r="F417" t="s">
        <v>800</v>
      </c>
      <c r="G417">
        <v>0</v>
      </c>
      <c r="H417" t="s">
        <v>374</v>
      </c>
      <c r="I417" s="2">
        <v>3000</v>
      </c>
    </row>
    <row r="418" spans="1:9" x14ac:dyDescent="0.3">
      <c r="A418" s="5">
        <v>9859</v>
      </c>
      <c r="B418" s="5" t="s">
        <v>798</v>
      </c>
      <c r="C418" s="5">
        <v>1</v>
      </c>
      <c r="D418" s="5" t="s">
        <v>10</v>
      </c>
      <c r="E418" t="s">
        <v>799</v>
      </c>
      <c r="F418" t="s">
        <v>800</v>
      </c>
      <c r="G418">
        <v>0</v>
      </c>
      <c r="H418" t="s">
        <v>801</v>
      </c>
      <c r="I418" s="2">
        <v>4000</v>
      </c>
    </row>
    <row r="419" spans="1:9" x14ac:dyDescent="0.3">
      <c r="A419" s="5">
        <v>9858</v>
      </c>
      <c r="B419" s="5" t="s">
        <v>802</v>
      </c>
      <c r="C419" s="5">
        <v>3</v>
      </c>
      <c r="D419" s="5" t="s">
        <v>44</v>
      </c>
      <c r="E419" t="s">
        <v>803</v>
      </c>
      <c r="F419" t="s">
        <v>804</v>
      </c>
      <c r="G419">
        <v>0</v>
      </c>
      <c r="H419" t="s">
        <v>805</v>
      </c>
      <c r="I419" s="2">
        <v>9000</v>
      </c>
    </row>
    <row r="420" spans="1:9" x14ac:dyDescent="0.3">
      <c r="A420" s="5">
        <v>9858</v>
      </c>
      <c r="B420" s="5" t="s">
        <v>802</v>
      </c>
      <c r="C420" s="5">
        <v>3</v>
      </c>
      <c r="D420" s="5" t="s">
        <v>44</v>
      </c>
      <c r="E420" t="s">
        <v>803</v>
      </c>
      <c r="F420" t="s">
        <v>804</v>
      </c>
      <c r="G420">
        <v>0</v>
      </c>
      <c r="H420" t="s">
        <v>806</v>
      </c>
      <c r="I420" s="2">
        <v>17000</v>
      </c>
    </row>
    <row r="421" spans="1:9" x14ac:dyDescent="0.3">
      <c r="A421" s="5">
        <v>9857</v>
      </c>
      <c r="B421" s="5" t="s">
        <v>807</v>
      </c>
      <c r="C421" s="5">
        <v>1</v>
      </c>
      <c r="D421" s="5" t="s">
        <v>10</v>
      </c>
      <c r="E421" t="s">
        <v>808</v>
      </c>
      <c r="F421" t="s">
        <v>809</v>
      </c>
      <c r="G421">
        <v>0</v>
      </c>
      <c r="H421" t="s">
        <v>126</v>
      </c>
      <c r="I421" s="2">
        <v>3000</v>
      </c>
    </row>
    <row r="422" spans="1:9" x14ac:dyDescent="0.3">
      <c r="A422" s="5">
        <v>9856</v>
      </c>
      <c r="B422" s="5" t="s">
        <v>810</v>
      </c>
      <c r="C422" s="5">
        <v>13</v>
      </c>
      <c r="D422" s="5" t="s">
        <v>27</v>
      </c>
      <c r="E422" t="s">
        <v>811</v>
      </c>
      <c r="F422" t="s">
        <v>812</v>
      </c>
      <c r="G422">
        <v>0</v>
      </c>
      <c r="H422" t="s">
        <v>813</v>
      </c>
      <c r="I422" s="2">
        <v>100000</v>
      </c>
    </row>
    <row r="423" spans="1:9" x14ac:dyDescent="0.3">
      <c r="A423" s="5">
        <v>9855</v>
      </c>
      <c r="B423" s="5" t="s">
        <v>814</v>
      </c>
      <c r="C423" s="5">
        <v>1</v>
      </c>
      <c r="D423" s="5" t="s">
        <v>10</v>
      </c>
      <c r="E423" t="s">
        <v>815</v>
      </c>
      <c r="F423" t="s">
        <v>816</v>
      </c>
      <c r="G423">
        <v>0</v>
      </c>
      <c r="H423" t="s">
        <v>21</v>
      </c>
      <c r="I423" s="2">
        <v>5000</v>
      </c>
    </row>
    <row r="424" spans="1:9" x14ac:dyDescent="0.3">
      <c r="A424" s="5">
        <v>9855</v>
      </c>
      <c r="B424" s="5" t="s">
        <v>814</v>
      </c>
      <c r="C424" s="5">
        <v>1</v>
      </c>
      <c r="D424" s="5" t="s">
        <v>10</v>
      </c>
      <c r="E424" t="s">
        <v>815</v>
      </c>
      <c r="F424" t="s">
        <v>816</v>
      </c>
      <c r="G424">
        <v>0</v>
      </c>
      <c r="H424" t="s">
        <v>817</v>
      </c>
      <c r="I424" s="2">
        <v>6000</v>
      </c>
    </row>
    <row r="425" spans="1:9" x14ac:dyDescent="0.3">
      <c r="A425" s="5">
        <v>9854</v>
      </c>
      <c r="B425" s="5" t="s">
        <v>818</v>
      </c>
      <c r="C425" s="5">
        <v>5</v>
      </c>
      <c r="D425" s="5" t="s">
        <v>63</v>
      </c>
      <c r="E425" t="s">
        <v>819</v>
      </c>
      <c r="F425" t="s">
        <v>820</v>
      </c>
      <c r="G425">
        <v>0</v>
      </c>
      <c r="H425" t="s">
        <v>821</v>
      </c>
      <c r="I425" s="2">
        <v>8000</v>
      </c>
    </row>
    <row r="426" spans="1:9" x14ac:dyDescent="0.3">
      <c r="A426" s="5">
        <v>9854</v>
      </c>
      <c r="B426" s="5" t="s">
        <v>818</v>
      </c>
      <c r="C426" s="5">
        <v>5</v>
      </c>
      <c r="D426" s="5" t="s">
        <v>63</v>
      </c>
      <c r="E426" t="s">
        <v>819</v>
      </c>
      <c r="F426" t="s">
        <v>820</v>
      </c>
      <c r="G426">
        <v>0</v>
      </c>
      <c r="H426" t="s">
        <v>822</v>
      </c>
      <c r="I426" s="2">
        <v>15000</v>
      </c>
    </row>
    <row r="427" spans="1:9" x14ac:dyDescent="0.3">
      <c r="A427" s="5">
        <v>9854</v>
      </c>
      <c r="B427" s="5" t="s">
        <v>818</v>
      </c>
      <c r="C427" s="5">
        <v>5</v>
      </c>
      <c r="D427" s="5" t="s">
        <v>63</v>
      </c>
      <c r="E427" t="s">
        <v>819</v>
      </c>
      <c r="F427" t="s">
        <v>820</v>
      </c>
      <c r="G427">
        <v>0</v>
      </c>
      <c r="H427" t="s">
        <v>823</v>
      </c>
      <c r="I427" s="2">
        <v>6000</v>
      </c>
    </row>
    <row r="428" spans="1:9" x14ac:dyDescent="0.3">
      <c r="A428" s="5">
        <v>9854</v>
      </c>
      <c r="B428" s="5" t="s">
        <v>818</v>
      </c>
      <c r="C428" s="5">
        <v>5</v>
      </c>
      <c r="D428" s="5" t="s">
        <v>63</v>
      </c>
      <c r="E428" t="s">
        <v>819</v>
      </c>
      <c r="F428" t="s">
        <v>820</v>
      </c>
      <c r="G428">
        <v>0</v>
      </c>
      <c r="H428" t="s">
        <v>821</v>
      </c>
      <c r="I428" s="2">
        <v>8000</v>
      </c>
    </row>
    <row r="429" spans="1:9" x14ac:dyDescent="0.3">
      <c r="A429" s="5">
        <v>9853</v>
      </c>
      <c r="B429" s="5" t="s">
        <v>824</v>
      </c>
      <c r="C429" s="5">
        <v>5</v>
      </c>
      <c r="D429" s="5" t="s">
        <v>63</v>
      </c>
      <c r="E429" t="s">
        <v>825</v>
      </c>
      <c r="F429" t="s">
        <v>826</v>
      </c>
      <c r="G429">
        <v>0</v>
      </c>
      <c r="H429" t="s">
        <v>67</v>
      </c>
      <c r="I429" s="2">
        <v>10000</v>
      </c>
    </row>
    <row r="430" spans="1:9" x14ac:dyDescent="0.3">
      <c r="A430" s="5">
        <v>9853</v>
      </c>
      <c r="B430" s="5" t="s">
        <v>824</v>
      </c>
      <c r="C430" s="5">
        <v>5</v>
      </c>
      <c r="D430" s="5" t="s">
        <v>63</v>
      </c>
      <c r="E430" t="s">
        <v>825</v>
      </c>
      <c r="F430" t="s">
        <v>826</v>
      </c>
      <c r="G430">
        <v>0</v>
      </c>
      <c r="H430" t="s">
        <v>66</v>
      </c>
      <c r="I430" s="2">
        <v>20000</v>
      </c>
    </row>
    <row r="431" spans="1:9" x14ac:dyDescent="0.3">
      <c r="A431" s="5">
        <v>9853</v>
      </c>
      <c r="B431" s="5" t="s">
        <v>824</v>
      </c>
      <c r="C431" s="5">
        <v>5</v>
      </c>
      <c r="D431" s="5" t="s">
        <v>63</v>
      </c>
      <c r="E431" t="s">
        <v>825</v>
      </c>
      <c r="F431" t="s">
        <v>826</v>
      </c>
      <c r="G431">
        <v>0</v>
      </c>
      <c r="H431" t="s">
        <v>88</v>
      </c>
      <c r="I431" s="2">
        <v>20000</v>
      </c>
    </row>
    <row r="432" spans="1:9" x14ac:dyDescent="0.3">
      <c r="A432" s="5">
        <v>9852</v>
      </c>
      <c r="B432" s="5" t="s">
        <v>827</v>
      </c>
      <c r="C432" s="5">
        <v>5</v>
      </c>
      <c r="D432" s="5" t="s">
        <v>63</v>
      </c>
      <c r="E432" t="s">
        <v>828</v>
      </c>
      <c r="F432">
        <v>226436110</v>
      </c>
      <c r="G432">
        <v>0</v>
      </c>
      <c r="H432" t="s">
        <v>67</v>
      </c>
      <c r="I432" s="2">
        <v>4000</v>
      </c>
    </row>
    <row r="433" spans="1:9" x14ac:dyDescent="0.3">
      <c r="A433" s="5">
        <v>9852</v>
      </c>
      <c r="B433" s="5" t="s">
        <v>827</v>
      </c>
      <c r="C433" s="5">
        <v>5</v>
      </c>
      <c r="D433" s="5" t="s">
        <v>63</v>
      </c>
      <c r="E433" t="s">
        <v>828</v>
      </c>
      <c r="F433">
        <v>226436110</v>
      </c>
      <c r="G433">
        <v>0</v>
      </c>
      <c r="H433" t="s">
        <v>66</v>
      </c>
      <c r="I433" s="2">
        <v>10000</v>
      </c>
    </row>
    <row r="434" spans="1:9" x14ac:dyDescent="0.3">
      <c r="A434" s="5">
        <v>9852</v>
      </c>
      <c r="B434" s="5" t="s">
        <v>827</v>
      </c>
      <c r="C434" s="5">
        <v>5</v>
      </c>
      <c r="D434" s="5" t="s">
        <v>63</v>
      </c>
      <c r="E434" t="s">
        <v>828</v>
      </c>
      <c r="F434">
        <v>226436110</v>
      </c>
      <c r="G434">
        <v>0</v>
      </c>
      <c r="H434" t="s">
        <v>88</v>
      </c>
      <c r="I434" s="2">
        <v>15000</v>
      </c>
    </row>
    <row r="435" spans="1:9" x14ac:dyDescent="0.3">
      <c r="A435" s="5">
        <v>9851</v>
      </c>
      <c r="B435" s="5" t="s">
        <v>829</v>
      </c>
      <c r="C435" s="5">
        <v>1</v>
      </c>
      <c r="D435" s="5" t="s">
        <v>10</v>
      </c>
      <c r="E435" t="s">
        <v>830</v>
      </c>
      <c r="F435">
        <v>28386088</v>
      </c>
      <c r="G435">
        <v>0</v>
      </c>
      <c r="H435" t="s">
        <v>133</v>
      </c>
      <c r="I435" s="2">
        <v>7000</v>
      </c>
    </row>
    <row r="436" spans="1:9" x14ac:dyDescent="0.3">
      <c r="A436" s="5">
        <v>9851</v>
      </c>
      <c r="B436" s="5" t="s">
        <v>829</v>
      </c>
      <c r="C436" s="5">
        <v>1</v>
      </c>
      <c r="D436" s="5" t="s">
        <v>10</v>
      </c>
      <c r="E436" t="s">
        <v>830</v>
      </c>
      <c r="F436">
        <v>28386088</v>
      </c>
      <c r="G436">
        <v>0</v>
      </c>
      <c r="H436" t="s">
        <v>139</v>
      </c>
      <c r="I436" s="2">
        <v>7000</v>
      </c>
    </row>
    <row r="437" spans="1:9" x14ac:dyDescent="0.3">
      <c r="A437" s="5">
        <v>9851</v>
      </c>
      <c r="B437" s="5" t="s">
        <v>829</v>
      </c>
      <c r="C437" s="5">
        <v>1</v>
      </c>
      <c r="D437" s="5" t="s">
        <v>10</v>
      </c>
      <c r="E437" t="s">
        <v>830</v>
      </c>
      <c r="F437">
        <v>28386088</v>
      </c>
      <c r="G437">
        <v>0</v>
      </c>
      <c r="H437" t="s">
        <v>143</v>
      </c>
      <c r="I437" s="2">
        <v>7000</v>
      </c>
    </row>
    <row r="438" spans="1:9" x14ac:dyDescent="0.3">
      <c r="A438" s="5">
        <v>9851</v>
      </c>
      <c r="B438" s="5" t="s">
        <v>829</v>
      </c>
      <c r="C438" s="5">
        <v>1</v>
      </c>
      <c r="D438" s="5" t="s">
        <v>10</v>
      </c>
      <c r="E438" t="s">
        <v>830</v>
      </c>
      <c r="F438">
        <v>28386088</v>
      </c>
      <c r="G438">
        <v>0</v>
      </c>
      <c r="H438" t="s">
        <v>149</v>
      </c>
      <c r="I438" s="2">
        <v>7000</v>
      </c>
    </row>
    <row r="439" spans="1:9" x14ac:dyDescent="0.3">
      <c r="A439" s="5">
        <v>9850</v>
      </c>
      <c r="B439" s="5" t="s">
        <v>831</v>
      </c>
      <c r="C439" s="5">
        <v>1</v>
      </c>
      <c r="D439" s="5" t="s">
        <v>10</v>
      </c>
      <c r="E439" t="s">
        <v>832</v>
      </c>
      <c r="F439" t="s">
        <v>833</v>
      </c>
      <c r="G439">
        <v>0</v>
      </c>
      <c r="H439" t="s">
        <v>153</v>
      </c>
      <c r="I439" s="2">
        <v>8000</v>
      </c>
    </row>
    <row r="440" spans="1:9" x14ac:dyDescent="0.3">
      <c r="A440" s="5">
        <v>9850</v>
      </c>
      <c r="B440" s="5" t="s">
        <v>831</v>
      </c>
      <c r="C440" s="5">
        <v>1</v>
      </c>
      <c r="D440" s="5" t="s">
        <v>10</v>
      </c>
      <c r="E440" t="s">
        <v>832</v>
      </c>
      <c r="F440" t="s">
        <v>833</v>
      </c>
      <c r="G440">
        <v>0</v>
      </c>
      <c r="H440" t="s">
        <v>834</v>
      </c>
      <c r="I440" s="2">
        <v>32000</v>
      </c>
    </row>
    <row r="441" spans="1:9" x14ac:dyDescent="0.3">
      <c r="A441" s="5">
        <v>9850</v>
      </c>
      <c r="B441" s="5" t="s">
        <v>831</v>
      </c>
      <c r="C441" s="5">
        <v>1</v>
      </c>
      <c r="D441" s="5" t="s">
        <v>10</v>
      </c>
      <c r="E441" t="s">
        <v>832</v>
      </c>
      <c r="F441" t="s">
        <v>833</v>
      </c>
      <c r="G441">
        <v>0</v>
      </c>
      <c r="H441" t="s">
        <v>835</v>
      </c>
      <c r="I441" s="2">
        <v>25000</v>
      </c>
    </row>
    <row r="442" spans="1:9" x14ac:dyDescent="0.3">
      <c r="A442" s="5">
        <v>9849</v>
      </c>
      <c r="B442" s="5" t="s">
        <v>836</v>
      </c>
      <c r="C442" s="5">
        <v>13</v>
      </c>
      <c r="D442" s="5" t="s">
        <v>27</v>
      </c>
      <c r="E442" t="s">
        <v>837</v>
      </c>
      <c r="F442" t="s">
        <v>838</v>
      </c>
      <c r="G442">
        <v>0</v>
      </c>
      <c r="H442" t="s">
        <v>839</v>
      </c>
      <c r="I442" s="2">
        <v>1300</v>
      </c>
    </row>
    <row r="443" spans="1:9" x14ac:dyDescent="0.3">
      <c r="A443" s="5">
        <v>9849</v>
      </c>
      <c r="B443" s="5" t="s">
        <v>836</v>
      </c>
      <c r="C443" s="5">
        <v>13</v>
      </c>
      <c r="D443" s="5" t="s">
        <v>27</v>
      </c>
      <c r="E443" t="s">
        <v>837</v>
      </c>
      <c r="F443" t="s">
        <v>838</v>
      </c>
      <c r="G443">
        <v>0</v>
      </c>
      <c r="H443" t="s">
        <v>840</v>
      </c>
      <c r="I443" s="2">
        <v>1300</v>
      </c>
    </row>
    <row r="444" spans="1:9" x14ac:dyDescent="0.3">
      <c r="A444" s="5">
        <v>9848</v>
      </c>
      <c r="B444" s="5" t="s">
        <v>841</v>
      </c>
      <c r="C444" s="5">
        <v>1</v>
      </c>
      <c r="D444" s="5" t="s">
        <v>10</v>
      </c>
      <c r="E444" t="s">
        <v>842</v>
      </c>
      <c r="F444" t="s">
        <v>74</v>
      </c>
      <c r="G444">
        <v>0</v>
      </c>
      <c r="H444" t="s">
        <v>843</v>
      </c>
      <c r="I444" s="2">
        <v>7000</v>
      </c>
    </row>
    <row r="445" spans="1:9" x14ac:dyDescent="0.3">
      <c r="A445" s="5">
        <v>9848</v>
      </c>
      <c r="B445" s="5" t="s">
        <v>841</v>
      </c>
      <c r="C445" s="5">
        <v>1</v>
      </c>
      <c r="D445" s="5" t="s">
        <v>10</v>
      </c>
      <c r="E445" t="s">
        <v>842</v>
      </c>
      <c r="F445" t="s">
        <v>74</v>
      </c>
      <c r="G445">
        <v>0</v>
      </c>
      <c r="H445" t="s">
        <v>844</v>
      </c>
      <c r="I445" s="2">
        <v>6000</v>
      </c>
    </row>
    <row r="446" spans="1:9" x14ac:dyDescent="0.3">
      <c r="A446" s="5">
        <v>9847</v>
      </c>
      <c r="B446" s="5" t="s">
        <v>845</v>
      </c>
      <c r="C446" s="5">
        <v>5</v>
      </c>
      <c r="D446" s="5" t="s">
        <v>63</v>
      </c>
      <c r="E446" t="s">
        <v>846</v>
      </c>
      <c r="F446" t="s">
        <v>74</v>
      </c>
      <c r="G446">
        <v>0</v>
      </c>
      <c r="H446" t="s">
        <v>67</v>
      </c>
      <c r="I446" s="2">
        <v>10000</v>
      </c>
    </row>
    <row r="447" spans="1:9" x14ac:dyDescent="0.3">
      <c r="A447" s="5">
        <v>9847</v>
      </c>
      <c r="B447" s="5" t="s">
        <v>845</v>
      </c>
      <c r="C447" s="5">
        <v>5</v>
      </c>
      <c r="D447" s="5" t="s">
        <v>63</v>
      </c>
      <c r="E447" t="s">
        <v>846</v>
      </c>
      <c r="F447" t="s">
        <v>74</v>
      </c>
      <c r="G447">
        <v>0</v>
      </c>
      <c r="H447" t="s">
        <v>88</v>
      </c>
      <c r="I447" s="2">
        <v>30000</v>
      </c>
    </row>
    <row r="448" spans="1:9" x14ac:dyDescent="0.3">
      <c r="A448" s="5">
        <v>9846</v>
      </c>
      <c r="B448" s="5" t="s">
        <v>847</v>
      </c>
      <c r="C448" s="5">
        <v>2</v>
      </c>
      <c r="D448" s="5" t="s">
        <v>261</v>
      </c>
      <c r="E448" t="s">
        <v>848</v>
      </c>
      <c r="F448" t="s">
        <v>849</v>
      </c>
      <c r="G448">
        <v>0</v>
      </c>
      <c r="H448" t="s">
        <v>264</v>
      </c>
      <c r="I448" s="2">
        <v>4500</v>
      </c>
    </row>
    <row r="449" spans="1:9" x14ac:dyDescent="0.3">
      <c r="A449" s="5">
        <v>9846</v>
      </c>
      <c r="B449" s="5" t="s">
        <v>847</v>
      </c>
      <c r="C449" s="5">
        <v>2</v>
      </c>
      <c r="D449" s="5" t="s">
        <v>261</v>
      </c>
      <c r="E449" t="s">
        <v>848</v>
      </c>
      <c r="F449" t="s">
        <v>849</v>
      </c>
      <c r="G449">
        <v>0</v>
      </c>
      <c r="H449" t="s">
        <v>850</v>
      </c>
      <c r="I449" s="2">
        <v>13000</v>
      </c>
    </row>
    <row r="450" spans="1:9" x14ac:dyDescent="0.3">
      <c r="A450" s="5">
        <v>9846</v>
      </c>
      <c r="B450" s="5" t="s">
        <v>847</v>
      </c>
      <c r="C450" s="5">
        <v>2</v>
      </c>
      <c r="D450" s="5" t="s">
        <v>261</v>
      </c>
      <c r="E450" t="s">
        <v>848</v>
      </c>
      <c r="F450" t="s">
        <v>849</v>
      </c>
      <c r="G450">
        <v>0</v>
      </c>
      <c r="H450" t="s">
        <v>265</v>
      </c>
      <c r="I450" s="2">
        <v>6000</v>
      </c>
    </row>
    <row r="451" spans="1:9" x14ac:dyDescent="0.3">
      <c r="A451" s="5">
        <v>9845</v>
      </c>
      <c r="B451" s="5" t="s">
        <v>851</v>
      </c>
      <c r="C451" s="5">
        <v>13</v>
      </c>
      <c r="D451" s="5" t="s">
        <v>27</v>
      </c>
      <c r="E451" t="s">
        <v>852</v>
      </c>
      <c r="F451" t="s">
        <v>853</v>
      </c>
      <c r="G451">
        <v>0</v>
      </c>
      <c r="H451" t="s">
        <v>854</v>
      </c>
      <c r="I451" s="2">
        <v>69000</v>
      </c>
    </row>
    <row r="452" spans="1:9" x14ac:dyDescent="0.3">
      <c r="A452" s="5">
        <v>9845</v>
      </c>
      <c r="B452" s="5" t="s">
        <v>851</v>
      </c>
      <c r="C452" s="5">
        <v>13</v>
      </c>
      <c r="D452" s="5" t="s">
        <v>27</v>
      </c>
      <c r="E452" t="s">
        <v>852</v>
      </c>
      <c r="F452" t="s">
        <v>853</v>
      </c>
      <c r="G452">
        <v>0</v>
      </c>
      <c r="H452" t="s">
        <v>855</v>
      </c>
      <c r="I452" s="2">
        <v>10000</v>
      </c>
    </row>
    <row r="453" spans="1:9" x14ac:dyDescent="0.3">
      <c r="A453" s="5">
        <v>9844</v>
      </c>
      <c r="B453" s="5" t="s">
        <v>856</v>
      </c>
      <c r="C453" s="5">
        <v>3</v>
      </c>
      <c r="D453" s="5" t="s">
        <v>44</v>
      </c>
      <c r="E453" t="s">
        <v>857</v>
      </c>
      <c r="F453" t="s">
        <v>858</v>
      </c>
      <c r="G453">
        <v>0</v>
      </c>
      <c r="H453" t="s">
        <v>859</v>
      </c>
      <c r="I453" s="2">
        <v>7000</v>
      </c>
    </row>
    <row r="454" spans="1:9" x14ac:dyDescent="0.3">
      <c r="A454" s="5">
        <v>9844</v>
      </c>
      <c r="B454" s="5" t="s">
        <v>856</v>
      </c>
      <c r="C454" s="5">
        <v>3</v>
      </c>
      <c r="D454" s="5" t="s">
        <v>44</v>
      </c>
      <c r="E454" t="s">
        <v>857</v>
      </c>
      <c r="F454" t="s">
        <v>858</v>
      </c>
      <c r="G454">
        <v>0</v>
      </c>
      <c r="H454" t="s">
        <v>860</v>
      </c>
      <c r="I454" s="2">
        <v>13000</v>
      </c>
    </row>
    <row r="455" spans="1:9" x14ac:dyDescent="0.3">
      <c r="A455" s="5">
        <v>9844</v>
      </c>
      <c r="B455" s="5" t="s">
        <v>856</v>
      </c>
      <c r="C455" s="5">
        <v>3</v>
      </c>
      <c r="D455" s="5" t="s">
        <v>44</v>
      </c>
      <c r="E455" t="s">
        <v>857</v>
      </c>
      <c r="F455" t="s">
        <v>858</v>
      </c>
      <c r="G455">
        <v>0</v>
      </c>
      <c r="H455" t="s">
        <v>861</v>
      </c>
      <c r="I455" s="2">
        <v>8000</v>
      </c>
    </row>
    <row r="456" spans="1:9" x14ac:dyDescent="0.3">
      <c r="A456" s="5">
        <v>9843</v>
      </c>
      <c r="B456" s="5" t="s">
        <v>862</v>
      </c>
      <c r="C456" s="5">
        <v>2</v>
      </c>
      <c r="D456" s="5" t="s">
        <v>261</v>
      </c>
      <c r="E456" t="s">
        <v>863</v>
      </c>
      <c r="F456" t="s">
        <v>864</v>
      </c>
      <c r="G456">
        <v>0</v>
      </c>
      <c r="H456" t="s">
        <v>264</v>
      </c>
      <c r="I456" s="2">
        <v>6000</v>
      </c>
    </row>
    <row r="457" spans="1:9" x14ac:dyDescent="0.3">
      <c r="A457" s="5">
        <v>9843</v>
      </c>
      <c r="B457" s="5" t="s">
        <v>862</v>
      </c>
      <c r="C457" s="5">
        <v>2</v>
      </c>
      <c r="D457" s="5" t="s">
        <v>261</v>
      </c>
      <c r="E457" t="s">
        <v>863</v>
      </c>
      <c r="F457" t="s">
        <v>864</v>
      </c>
      <c r="G457">
        <v>0</v>
      </c>
      <c r="H457" t="s">
        <v>265</v>
      </c>
      <c r="I457" s="2">
        <v>7000</v>
      </c>
    </row>
    <row r="458" spans="1:9" x14ac:dyDescent="0.3">
      <c r="A458" s="5">
        <v>9843</v>
      </c>
      <c r="B458" s="5" t="s">
        <v>862</v>
      </c>
      <c r="C458" s="5">
        <v>2</v>
      </c>
      <c r="D458" s="5" t="s">
        <v>261</v>
      </c>
      <c r="E458" t="s">
        <v>863</v>
      </c>
      <c r="F458" t="s">
        <v>864</v>
      </c>
      <c r="G458">
        <v>0</v>
      </c>
      <c r="H458" t="s">
        <v>641</v>
      </c>
      <c r="I458" s="2">
        <v>22000</v>
      </c>
    </row>
    <row r="459" spans="1:9" x14ac:dyDescent="0.3">
      <c r="A459" s="5">
        <v>9842</v>
      </c>
      <c r="B459" s="5" t="s">
        <v>865</v>
      </c>
      <c r="C459" s="5">
        <v>1</v>
      </c>
      <c r="D459" s="5" t="s">
        <v>10</v>
      </c>
      <c r="E459" t="s">
        <v>866</v>
      </c>
      <c r="F459" t="s">
        <v>867</v>
      </c>
      <c r="G459">
        <v>0</v>
      </c>
      <c r="H459" t="s">
        <v>868</v>
      </c>
      <c r="I459" s="2">
        <v>7000</v>
      </c>
    </row>
    <row r="460" spans="1:9" x14ac:dyDescent="0.3">
      <c r="A460" s="5">
        <v>9842</v>
      </c>
      <c r="B460" s="5" t="s">
        <v>865</v>
      </c>
      <c r="C460" s="5">
        <v>1</v>
      </c>
      <c r="D460" s="5" t="s">
        <v>10</v>
      </c>
      <c r="E460" t="s">
        <v>866</v>
      </c>
      <c r="F460" t="s">
        <v>867</v>
      </c>
      <c r="G460">
        <v>0</v>
      </c>
      <c r="H460" t="s">
        <v>869</v>
      </c>
      <c r="I460" s="2">
        <v>9000</v>
      </c>
    </row>
    <row r="461" spans="1:9" x14ac:dyDescent="0.3">
      <c r="A461" s="5">
        <v>9842</v>
      </c>
      <c r="B461" s="5" t="s">
        <v>865</v>
      </c>
      <c r="C461" s="5">
        <v>1</v>
      </c>
      <c r="D461" s="5" t="s">
        <v>10</v>
      </c>
      <c r="E461" t="s">
        <v>866</v>
      </c>
      <c r="F461" t="s">
        <v>867</v>
      </c>
      <c r="G461">
        <v>0</v>
      </c>
      <c r="H461" t="s">
        <v>35</v>
      </c>
      <c r="I461" s="2">
        <v>8000</v>
      </c>
    </row>
    <row r="462" spans="1:9" x14ac:dyDescent="0.3">
      <c r="A462" s="5">
        <v>9841</v>
      </c>
      <c r="B462" s="5" t="s">
        <v>870</v>
      </c>
      <c r="C462" s="5">
        <v>5</v>
      </c>
      <c r="D462" s="5" t="s">
        <v>63</v>
      </c>
      <c r="E462" t="s">
        <v>871</v>
      </c>
      <c r="F462" t="s">
        <v>872</v>
      </c>
      <c r="G462">
        <v>0</v>
      </c>
      <c r="H462" t="s">
        <v>88</v>
      </c>
      <c r="I462" s="2">
        <v>33000</v>
      </c>
    </row>
    <row r="463" spans="1:9" x14ac:dyDescent="0.3">
      <c r="A463" s="5">
        <v>9841</v>
      </c>
      <c r="B463" s="5" t="s">
        <v>870</v>
      </c>
      <c r="C463" s="5">
        <v>5</v>
      </c>
      <c r="D463" s="5" t="s">
        <v>63</v>
      </c>
      <c r="E463" t="s">
        <v>871</v>
      </c>
      <c r="F463" t="s">
        <v>872</v>
      </c>
      <c r="G463">
        <v>0</v>
      </c>
      <c r="H463" t="s">
        <v>67</v>
      </c>
      <c r="I463" s="2">
        <v>13000</v>
      </c>
    </row>
    <row r="464" spans="1:9" x14ac:dyDescent="0.3">
      <c r="A464" s="5">
        <v>9840</v>
      </c>
      <c r="B464" s="5" t="s">
        <v>873</v>
      </c>
      <c r="C464" s="5">
        <v>1</v>
      </c>
      <c r="D464" s="5" t="s">
        <v>10</v>
      </c>
      <c r="E464" t="s">
        <v>874</v>
      </c>
      <c r="F464" t="s">
        <v>74</v>
      </c>
      <c r="G464">
        <v>0</v>
      </c>
      <c r="H464" t="s">
        <v>35</v>
      </c>
      <c r="I464" s="2">
        <v>7000</v>
      </c>
    </row>
    <row r="465" spans="1:9" x14ac:dyDescent="0.3">
      <c r="A465" s="5">
        <v>9840</v>
      </c>
      <c r="B465" s="5" t="s">
        <v>873</v>
      </c>
      <c r="C465" s="5">
        <v>1</v>
      </c>
      <c r="D465" s="5" t="s">
        <v>10</v>
      </c>
      <c r="E465" t="s">
        <v>874</v>
      </c>
      <c r="F465" t="s">
        <v>74</v>
      </c>
      <c r="G465">
        <v>0</v>
      </c>
      <c r="H465" t="s">
        <v>875</v>
      </c>
      <c r="I465" s="2">
        <v>7000</v>
      </c>
    </row>
    <row r="466" spans="1:9" x14ac:dyDescent="0.3">
      <c r="A466" s="5">
        <v>9840</v>
      </c>
      <c r="B466" s="5" t="s">
        <v>873</v>
      </c>
      <c r="C466" s="5">
        <v>1</v>
      </c>
      <c r="D466" s="5" t="s">
        <v>10</v>
      </c>
      <c r="E466" t="s">
        <v>874</v>
      </c>
      <c r="F466" t="s">
        <v>74</v>
      </c>
      <c r="G466">
        <v>0</v>
      </c>
      <c r="H466" t="s">
        <v>876</v>
      </c>
      <c r="I466" s="2">
        <v>6500</v>
      </c>
    </row>
    <row r="467" spans="1:9" x14ac:dyDescent="0.3">
      <c r="A467" s="5">
        <v>9839</v>
      </c>
      <c r="B467" s="5" t="s">
        <v>877</v>
      </c>
      <c r="C467" s="5">
        <v>1</v>
      </c>
      <c r="D467" s="5" t="s">
        <v>10</v>
      </c>
      <c r="E467" t="s">
        <v>878</v>
      </c>
      <c r="F467" t="s">
        <v>74</v>
      </c>
      <c r="G467">
        <v>0</v>
      </c>
      <c r="H467" t="s">
        <v>126</v>
      </c>
      <c r="I467" s="2">
        <v>6500</v>
      </c>
    </row>
    <row r="468" spans="1:9" x14ac:dyDescent="0.3">
      <c r="A468" s="5">
        <v>9839</v>
      </c>
      <c r="B468" s="5" t="s">
        <v>877</v>
      </c>
      <c r="C468" s="5">
        <v>1</v>
      </c>
      <c r="D468" s="5" t="s">
        <v>10</v>
      </c>
      <c r="E468" t="s">
        <v>878</v>
      </c>
      <c r="F468" t="s">
        <v>74</v>
      </c>
      <c r="G468">
        <v>0</v>
      </c>
      <c r="H468" t="s">
        <v>869</v>
      </c>
      <c r="I468" s="2">
        <v>8000</v>
      </c>
    </row>
    <row r="469" spans="1:9" x14ac:dyDescent="0.3">
      <c r="A469" s="5">
        <v>9839</v>
      </c>
      <c r="B469" s="5" t="s">
        <v>877</v>
      </c>
      <c r="C469" s="5">
        <v>1</v>
      </c>
      <c r="D469" s="5" t="s">
        <v>10</v>
      </c>
      <c r="E469" t="s">
        <v>878</v>
      </c>
      <c r="F469" t="s">
        <v>74</v>
      </c>
      <c r="G469">
        <v>0</v>
      </c>
      <c r="H469" t="s">
        <v>879</v>
      </c>
      <c r="I469" s="2">
        <v>7000</v>
      </c>
    </row>
    <row r="470" spans="1:9" x14ac:dyDescent="0.3">
      <c r="A470" s="5">
        <v>9838</v>
      </c>
      <c r="B470" s="5" t="s">
        <v>880</v>
      </c>
      <c r="C470" s="5">
        <v>13</v>
      </c>
      <c r="D470" s="5" t="s">
        <v>27</v>
      </c>
      <c r="E470" t="s">
        <v>881</v>
      </c>
      <c r="F470" t="s">
        <v>882</v>
      </c>
      <c r="G470">
        <v>0</v>
      </c>
      <c r="H470" t="s">
        <v>883</v>
      </c>
      <c r="I470" s="2">
        <v>700</v>
      </c>
    </row>
    <row r="471" spans="1:9" x14ac:dyDescent="0.3">
      <c r="A471" s="5">
        <v>9838</v>
      </c>
      <c r="B471" s="5" t="s">
        <v>880</v>
      </c>
      <c r="C471" s="5">
        <v>13</v>
      </c>
      <c r="D471" s="5" t="s">
        <v>27</v>
      </c>
      <c r="E471" t="s">
        <v>881</v>
      </c>
      <c r="F471" t="s">
        <v>882</v>
      </c>
      <c r="G471">
        <v>0</v>
      </c>
      <c r="H471" t="s">
        <v>884</v>
      </c>
      <c r="I471" s="2">
        <v>700</v>
      </c>
    </row>
    <row r="472" spans="1:9" x14ac:dyDescent="0.3">
      <c r="A472" s="5">
        <v>9838</v>
      </c>
      <c r="B472" s="5" t="s">
        <v>880</v>
      </c>
      <c r="C472" s="5">
        <v>13</v>
      </c>
      <c r="D472" s="5" t="s">
        <v>27</v>
      </c>
      <c r="E472" t="s">
        <v>881</v>
      </c>
      <c r="F472" t="s">
        <v>882</v>
      </c>
      <c r="G472">
        <v>0</v>
      </c>
      <c r="H472" t="s">
        <v>885</v>
      </c>
      <c r="I472" s="2">
        <v>700</v>
      </c>
    </row>
    <row r="473" spans="1:9" x14ac:dyDescent="0.3">
      <c r="A473" s="5">
        <v>9837</v>
      </c>
      <c r="B473" s="5" t="s">
        <v>886</v>
      </c>
      <c r="C473" s="5">
        <v>1</v>
      </c>
      <c r="D473" s="5" t="s">
        <v>10</v>
      </c>
      <c r="E473" t="s">
        <v>887</v>
      </c>
      <c r="F473" t="s">
        <v>888</v>
      </c>
      <c r="G473">
        <v>0</v>
      </c>
      <c r="H473" t="s">
        <v>889</v>
      </c>
      <c r="I473" s="2">
        <v>8000</v>
      </c>
    </row>
    <row r="474" spans="1:9" x14ac:dyDescent="0.3">
      <c r="A474" s="5">
        <v>9837</v>
      </c>
      <c r="B474" s="5" t="s">
        <v>886</v>
      </c>
      <c r="C474" s="5">
        <v>1</v>
      </c>
      <c r="D474" s="5" t="s">
        <v>10</v>
      </c>
      <c r="E474" t="s">
        <v>887</v>
      </c>
      <c r="F474" t="s">
        <v>888</v>
      </c>
      <c r="G474">
        <v>0</v>
      </c>
      <c r="H474" t="s">
        <v>890</v>
      </c>
      <c r="I474" s="2">
        <v>6500</v>
      </c>
    </row>
    <row r="475" spans="1:9" x14ac:dyDescent="0.3">
      <c r="A475" s="5">
        <v>9837</v>
      </c>
      <c r="B475" s="5" t="s">
        <v>886</v>
      </c>
      <c r="C475" s="5">
        <v>1</v>
      </c>
      <c r="D475" s="5" t="s">
        <v>10</v>
      </c>
      <c r="E475" t="s">
        <v>887</v>
      </c>
      <c r="F475" t="s">
        <v>888</v>
      </c>
      <c r="G475">
        <v>0</v>
      </c>
      <c r="H475" t="s">
        <v>879</v>
      </c>
      <c r="I475" s="2">
        <v>5000</v>
      </c>
    </row>
    <row r="476" spans="1:9" x14ac:dyDescent="0.3">
      <c r="A476" s="5">
        <v>9836</v>
      </c>
      <c r="B476" s="5" t="s">
        <v>891</v>
      </c>
      <c r="C476" s="5">
        <v>1</v>
      </c>
      <c r="D476" s="5" t="s">
        <v>10</v>
      </c>
      <c r="E476" t="s">
        <v>892</v>
      </c>
      <c r="F476" t="s">
        <v>893</v>
      </c>
      <c r="G476">
        <v>0</v>
      </c>
      <c r="H476" t="s">
        <v>894</v>
      </c>
      <c r="I476" s="2">
        <v>5000</v>
      </c>
    </row>
    <row r="477" spans="1:9" x14ac:dyDescent="0.3">
      <c r="A477" s="5">
        <v>9836</v>
      </c>
      <c r="B477" s="5" t="s">
        <v>891</v>
      </c>
      <c r="C477" s="5">
        <v>1</v>
      </c>
      <c r="D477" s="5" t="s">
        <v>10</v>
      </c>
      <c r="E477" t="s">
        <v>892</v>
      </c>
      <c r="F477" t="s">
        <v>893</v>
      </c>
      <c r="G477">
        <v>0</v>
      </c>
      <c r="H477" t="s">
        <v>895</v>
      </c>
      <c r="I477" s="2">
        <v>4000</v>
      </c>
    </row>
    <row r="478" spans="1:9" x14ac:dyDescent="0.3">
      <c r="A478" s="5">
        <v>9836</v>
      </c>
      <c r="B478" s="5" t="s">
        <v>891</v>
      </c>
      <c r="C478" s="5">
        <v>1</v>
      </c>
      <c r="D478" s="5" t="s">
        <v>10</v>
      </c>
      <c r="E478" t="s">
        <v>892</v>
      </c>
      <c r="F478" t="s">
        <v>893</v>
      </c>
      <c r="G478">
        <v>0</v>
      </c>
      <c r="H478" t="s">
        <v>134</v>
      </c>
      <c r="I478" s="2">
        <v>6000</v>
      </c>
    </row>
    <row r="479" spans="1:9" x14ac:dyDescent="0.3">
      <c r="A479" s="5">
        <v>9835</v>
      </c>
      <c r="B479" s="5" t="s">
        <v>896</v>
      </c>
      <c r="C479" s="5">
        <v>1</v>
      </c>
      <c r="D479" s="5" t="s">
        <v>10</v>
      </c>
      <c r="E479" t="s">
        <v>897</v>
      </c>
      <c r="F479" t="s">
        <v>898</v>
      </c>
      <c r="G479">
        <v>0</v>
      </c>
      <c r="H479" t="s">
        <v>899</v>
      </c>
      <c r="I479" s="2">
        <v>16000</v>
      </c>
    </row>
    <row r="480" spans="1:9" x14ac:dyDescent="0.3">
      <c r="A480" s="5">
        <v>9835</v>
      </c>
      <c r="B480" s="5" t="s">
        <v>896</v>
      </c>
      <c r="C480" s="5">
        <v>1</v>
      </c>
      <c r="D480" s="5" t="s">
        <v>10</v>
      </c>
      <c r="E480" t="s">
        <v>897</v>
      </c>
      <c r="F480" t="s">
        <v>898</v>
      </c>
      <c r="G480">
        <v>0</v>
      </c>
      <c r="H480" t="s">
        <v>900</v>
      </c>
      <c r="I480" s="2">
        <v>15000</v>
      </c>
    </row>
    <row r="481" spans="1:9" x14ac:dyDescent="0.3">
      <c r="A481" s="5">
        <v>9834</v>
      </c>
      <c r="B481" s="5" t="s">
        <v>901</v>
      </c>
      <c r="C481" s="5">
        <v>5</v>
      </c>
      <c r="D481" s="5" t="s">
        <v>63</v>
      </c>
      <c r="E481" t="s">
        <v>902</v>
      </c>
      <c r="F481" t="s">
        <v>903</v>
      </c>
      <c r="G481">
        <v>0</v>
      </c>
      <c r="H481" t="s">
        <v>67</v>
      </c>
      <c r="I481" s="2">
        <v>18000</v>
      </c>
    </row>
    <row r="482" spans="1:9" x14ac:dyDescent="0.3">
      <c r="A482" s="5">
        <v>9834</v>
      </c>
      <c r="B482" s="5" t="s">
        <v>901</v>
      </c>
      <c r="C482" s="5">
        <v>5</v>
      </c>
      <c r="D482" s="5" t="s">
        <v>63</v>
      </c>
      <c r="E482" t="s">
        <v>902</v>
      </c>
      <c r="F482" t="s">
        <v>903</v>
      </c>
      <c r="G482">
        <v>0</v>
      </c>
      <c r="H482" t="s">
        <v>66</v>
      </c>
      <c r="I482" s="2">
        <v>50000</v>
      </c>
    </row>
    <row r="483" spans="1:9" x14ac:dyDescent="0.3">
      <c r="A483" s="5">
        <v>9834</v>
      </c>
      <c r="B483" s="5" t="s">
        <v>901</v>
      </c>
      <c r="C483" s="5">
        <v>5</v>
      </c>
      <c r="D483" s="5" t="s">
        <v>63</v>
      </c>
      <c r="E483" t="s">
        <v>902</v>
      </c>
      <c r="F483" t="s">
        <v>903</v>
      </c>
      <c r="G483">
        <v>0</v>
      </c>
      <c r="H483" t="s">
        <v>904</v>
      </c>
      <c r="I483" s="2">
        <v>10000</v>
      </c>
    </row>
    <row r="484" spans="1:9" x14ac:dyDescent="0.3">
      <c r="A484" s="5">
        <v>9834</v>
      </c>
      <c r="B484" s="5" t="s">
        <v>901</v>
      </c>
      <c r="C484" s="5">
        <v>5</v>
      </c>
      <c r="D484" s="5" t="s">
        <v>63</v>
      </c>
      <c r="E484" t="s">
        <v>902</v>
      </c>
      <c r="F484" t="s">
        <v>903</v>
      </c>
      <c r="G484">
        <v>0</v>
      </c>
      <c r="H484" t="s">
        <v>905</v>
      </c>
      <c r="I484" s="2">
        <v>30000</v>
      </c>
    </row>
    <row r="485" spans="1:9" x14ac:dyDescent="0.3">
      <c r="A485" s="5">
        <v>9833</v>
      </c>
      <c r="B485" s="5" t="s">
        <v>906</v>
      </c>
      <c r="C485" s="5">
        <v>5</v>
      </c>
      <c r="D485" s="5" t="s">
        <v>63</v>
      </c>
      <c r="E485" t="s">
        <v>907</v>
      </c>
      <c r="F485" t="s">
        <v>908</v>
      </c>
      <c r="G485">
        <v>0</v>
      </c>
      <c r="H485" t="s">
        <v>458</v>
      </c>
      <c r="I485" s="2">
        <v>33000</v>
      </c>
    </row>
    <row r="486" spans="1:9" x14ac:dyDescent="0.3">
      <c r="A486" s="5">
        <v>9833</v>
      </c>
      <c r="B486" s="5" t="s">
        <v>906</v>
      </c>
      <c r="C486" s="5">
        <v>5</v>
      </c>
      <c r="D486" s="5" t="s">
        <v>63</v>
      </c>
      <c r="E486" t="s">
        <v>907</v>
      </c>
      <c r="F486" t="s">
        <v>908</v>
      </c>
      <c r="G486">
        <v>0</v>
      </c>
      <c r="H486" t="s">
        <v>909</v>
      </c>
      <c r="I486" s="2">
        <v>15000</v>
      </c>
    </row>
    <row r="487" spans="1:9" x14ac:dyDescent="0.3">
      <c r="A487" s="5">
        <v>9833</v>
      </c>
      <c r="B487" s="5" t="s">
        <v>906</v>
      </c>
      <c r="C487" s="5">
        <v>5</v>
      </c>
      <c r="D487" s="5" t="s">
        <v>63</v>
      </c>
      <c r="E487" t="s">
        <v>907</v>
      </c>
      <c r="F487" t="s">
        <v>908</v>
      </c>
      <c r="G487">
        <v>0</v>
      </c>
      <c r="H487" t="s">
        <v>67</v>
      </c>
      <c r="I487" s="2">
        <v>16000</v>
      </c>
    </row>
    <row r="488" spans="1:9" x14ac:dyDescent="0.3">
      <c r="A488" s="5">
        <v>9833</v>
      </c>
      <c r="B488" s="5" t="s">
        <v>906</v>
      </c>
      <c r="C488" s="5">
        <v>5</v>
      </c>
      <c r="D488" s="5" t="s">
        <v>63</v>
      </c>
      <c r="E488" t="s">
        <v>907</v>
      </c>
      <c r="F488" t="s">
        <v>908</v>
      </c>
      <c r="G488">
        <v>0</v>
      </c>
      <c r="H488" t="s">
        <v>550</v>
      </c>
      <c r="I488" s="2">
        <v>50000</v>
      </c>
    </row>
    <row r="489" spans="1:9" x14ac:dyDescent="0.3">
      <c r="A489" s="5">
        <v>9832</v>
      </c>
      <c r="B489" s="5" t="s">
        <v>910</v>
      </c>
      <c r="C489" s="5">
        <v>1</v>
      </c>
      <c r="D489" s="5" t="s">
        <v>10</v>
      </c>
      <c r="E489" t="s">
        <v>911</v>
      </c>
      <c r="F489" t="s">
        <v>912</v>
      </c>
      <c r="G489">
        <v>0</v>
      </c>
      <c r="H489" t="s">
        <v>217</v>
      </c>
      <c r="I489" s="2">
        <v>14000</v>
      </c>
    </row>
    <row r="490" spans="1:9" x14ac:dyDescent="0.3">
      <c r="A490" s="5">
        <v>9832</v>
      </c>
      <c r="B490" s="5" t="s">
        <v>910</v>
      </c>
      <c r="C490" s="5">
        <v>1</v>
      </c>
      <c r="D490" s="5" t="s">
        <v>10</v>
      </c>
      <c r="E490" t="s">
        <v>911</v>
      </c>
      <c r="F490" t="s">
        <v>912</v>
      </c>
      <c r="G490">
        <v>0</v>
      </c>
      <c r="H490" t="s">
        <v>189</v>
      </c>
      <c r="I490" s="2">
        <v>12000</v>
      </c>
    </row>
    <row r="491" spans="1:9" x14ac:dyDescent="0.3">
      <c r="A491" s="5">
        <v>9832</v>
      </c>
      <c r="B491" s="5" t="s">
        <v>910</v>
      </c>
      <c r="C491" s="5">
        <v>1</v>
      </c>
      <c r="D491" s="5" t="s">
        <v>10</v>
      </c>
      <c r="E491" t="s">
        <v>911</v>
      </c>
      <c r="F491" t="s">
        <v>912</v>
      </c>
      <c r="G491">
        <v>0</v>
      </c>
      <c r="H491" t="s">
        <v>139</v>
      </c>
      <c r="I491" s="2">
        <v>7000</v>
      </c>
    </row>
    <row r="492" spans="1:9" x14ac:dyDescent="0.3">
      <c r="A492" s="5">
        <v>9832</v>
      </c>
      <c r="B492" s="5" t="s">
        <v>910</v>
      </c>
      <c r="C492" s="5">
        <v>1</v>
      </c>
      <c r="D492" s="5" t="s">
        <v>10</v>
      </c>
      <c r="E492" t="s">
        <v>911</v>
      </c>
      <c r="F492" t="s">
        <v>912</v>
      </c>
      <c r="G492">
        <v>0</v>
      </c>
      <c r="H492" t="s">
        <v>189</v>
      </c>
      <c r="I492" s="2">
        <v>12000</v>
      </c>
    </row>
    <row r="493" spans="1:9" x14ac:dyDescent="0.3">
      <c r="A493" s="5">
        <v>9831</v>
      </c>
      <c r="B493" s="5" t="s">
        <v>913</v>
      </c>
      <c r="C493" s="5">
        <v>5</v>
      </c>
      <c r="D493" s="5" t="s">
        <v>63</v>
      </c>
      <c r="E493" t="s">
        <v>914</v>
      </c>
      <c r="F493" t="s">
        <v>915</v>
      </c>
      <c r="G493">
        <v>0</v>
      </c>
      <c r="H493" t="s">
        <v>67</v>
      </c>
      <c r="I493" s="2">
        <v>7000</v>
      </c>
    </row>
    <row r="494" spans="1:9" x14ac:dyDescent="0.3">
      <c r="A494" s="5">
        <v>9830</v>
      </c>
      <c r="B494" s="5" t="s">
        <v>916</v>
      </c>
      <c r="C494" s="5">
        <v>4</v>
      </c>
      <c r="D494" s="5" t="s">
        <v>39</v>
      </c>
      <c r="E494" t="s">
        <v>917</v>
      </c>
      <c r="F494" t="s">
        <v>918</v>
      </c>
      <c r="G494">
        <v>0</v>
      </c>
      <c r="H494" t="s">
        <v>109</v>
      </c>
      <c r="I494" s="2">
        <v>2000</v>
      </c>
    </row>
    <row r="495" spans="1:9" x14ac:dyDescent="0.3">
      <c r="A495" s="5">
        <v>9830</v>
      </c>
      <c r="B495" s="5" t="s">
        <v>916</v>
      </c>
      <c r="C495" s="5">
        <v>4</v>
      </c>
      <c r="D495" s="5" t="s">
        <v>39</v>
      </c>
      <c r="E495" t="s">
        <v>917</v>
      </c>
      <c r="F495" t="s">
        <v>918</v>
      </c>
      <c r="G495">
        <v>0</v>
      </c>
      <c r="H495" t="s">
        <v>80</v>
      </c>
      <c r="I495" s="2">
        <v>2500</v>
      </c>
    </row>
    <row r="496" spans="1:9" x14ac:dyDescent="0.3">
      <c r="A496" s="5">
        <v>9829</v>
      </c>
      <c r="B496" s="5" t="s">
        <v>919</v>
      </c>
      <c r="C496" s="5">
        <v>1</v>
      </c>
      <c r="D496" s="5" t="s">
        <v>10</v>
      </c>
      <c r="E496" t="s">
        <v>920</v>
      </c>
      <c r="F496" t="s">
        <v>921</v>
      </c>
      <c r="G496">
        <v>0</v>
      </c>
      <c r="H496" t="s">
        <v>922</v>
      </c>
      <c r="I496" s="2">
        <v>3500</v>
      </c>
    </row>
    <row r="497" spans="1:9" x14ac:dyDescent="0.3">
      <c r="A497" s="5">
        <v>9829</v>
      </c>
      <c r="B497" s="5" t="s">
        <v>919</v>
      </c>
      <c r="C497" s="5">
        <v>1</v>
      </c>
      <c r="D497" s="5" t="s">
        <v>10</v>
      </c>
      <c r="E497" t="s">
        <v>920</v>
      </c>
      <c r="F497" t="s">
        <v>921</v>
      </c>
      <c r="G497">
        <v>0</v>
      </c>
      <c r="H497" t="s">
        <v>126</v>
      </c>
      <c r="I497" s="2">
        <v>7000</v>
      </c>
    </row>
    <row r="498" spans="1:9" x14ac:dyDescent="0.3">
      <c r="A498" s="5">
        <v>9829</v>
      </c>
      <c r="B498" s="5" t="s">
        <v>919</v>
      </c>
      <c r="C498" s="5">
        <v>1</v>
      </c>
      <c r="D498" s="5" t="s">
        <v>10</v>
      </c>
      <c r="E498" t="s">
        <v>920</v>
      </c>
      <c r="F498" t="s">
        <v>921</v>
      </c>
      <c r="G498">
        <v>0</v>
      </c>
      <c r="H498" t="s">
        <v>139</v>
      </c>
      <c r="I498" s="2">
        <v>7000</v>
      </c>
    </row>
    <row r="499" spans="1:9" x14ac:dyDescent="0.3">
      <c r="A499" s="5">
        <v>9829</v>
      </c>
      <c r="B499" s="5" t="s">
        <v>919</v>
      </c>
      <c r="C499" s="5">
        <v>1</v>
      </c>
      <c r="D499" s="5" t="s">
        <v>10</v>
      </c>
      <c r="E499" t="s">
        <v>920</v>
      </c>
      <c r="F499" t="s">
        <v>921</v>
      </c>
      <c r="G499">
        <v>0</v>
      </c>
      <c r="H499" t="s">
        <v>801</v>
      </c>
      <c r="I499" s="2">
        <v>3500</v>
      </c>
    </row>
    <row r="500" spans="1:9" x14ac:dyDescent="0.3">
      <c r="A500" s="5">
        <v>9828</v>
      </c>
      <c r="B500" s="5" t="s">
        <v>923</v>
      </c>
      <c r="C500" s="5">
        <v>1</v>
      </c>
      <c r="D500" s="5" t="s">
        <v>10</v>
      </c>
      <c r="E500" t="s">
        <v>924</v>
      </c>
      <c r="F500" t="s">
        <v>925</v>
      </c>
      <c r="G500">
        <v>0</v>
      </c>
      <c r="H500" t="s">
        <v>175</v>
      </c>
      <c r="I500" s="2">
        <v>6000</v>
      </c>
    </row>
    <row r="501" spans="1:9" x14ac:dyDescent="0.3">
      <c r="A501" s="5">
        <v>9828</v>
      </c>
      <c r="B501" s="5" t="s">
        <v>923</v>
      </c>
      <c r="C501" s="5">
        <v>1</v>
      </c>
      <c r="D501" s="5" t="s">
        <v>10</v>
      </c>
      <c r="E501" t="s">
        <v>924</v>
      </c>
      <c r="F501" t="s">
        <v>925</v>
      </c>
      <c r="G501">
        <v>0</v>
      </c>
      <c r="H501" t="s">
        <v>21</v>
      </c>
      <c r="I501" s="2">
        <v>6000</v>
      </c>
    </row>
    <row r="502" spans="1:9" x14ac:dyDescent="0.3">
      <c r="A502" s="5">
        <v>9828</v>
      </c>
      <c r="B502" s="5" t="s">
        <v>923</v>
      </c>
      <c r="C502" s="5">
        <v>1</v>
      </c>
      <c r="D502" s="5" t="s">
        <v>10</v>
      </c>
      <c r="E502" t="s">
        <v>924</v>
      </c>
      <c r="F502" t="s">
        <v>925</v>
      </c>
      <c r="G502">
        <v>0</v>
      </c>
      <c r="H502" t="s">
        <v>337</v>
      </c>
      <c r="I502" s="2">
        <v>7000</v>
      </c>
    </row>
    <row r="503" spans="1:9" x14ac:dyDescent="0.3">
      <c r="A503" s="5">
        <v>9828</v>
      </c>
      <c r="B503" s="5" t="s">
        <v>923</v>
      </c>
      <c r="C503" s="5">
        <v>1</v>
      </c>
      <c r="D503" s="5" t="s">
        <v>10</v>
      </c>
      <c r="E503" t="s">
        <v>924</v>
      </c>
      <c r="F503" t="s">
        <v>925</v>
      </c>
      <c r="G503">
        <v>0</v>
      </c>
      <c r="H503" t="s">
        <v>18</v>
      </c>
      <c r="I503" s="2">
        <v>7000</v>
      </c>
    </row>
    <row r="504" spans="1:9" x14ac:dyDescent="0.3">
      <c r="A504" s="5">
        <v>9827</v>
      </c>
      <c r="B504" s="5" t="s">
        <v>926</v>
      </c>
      <c r="C504" s="5">
        <v>1</v>
      </c>
      <c r="D504" s="5" t="s">
        <v>10</v>
      </c>
      <c r="E504" t="s">
        <v>927</v>
      </c>
      <c r="F504" t="s">
        <v>928</v>
      </c>
      <c r="G504">
        <v>0</v>
      </c>
      <c r="H504" t="s">
        <v>929</v>
      </c>
      <c r="I504" s="2">
        <v>7000</v>
      </c>
    </row>
    <row r="505" spans="1:9" x14ac:dyDescent="0.3">
      <c r="A505" s="5">
        <v>9827</v>
      </c>
      <c r="B505" s="5" t="s">
        <v>926</v>
      </c>
      <c r="C505" s="5">
        <v>1</v>
      </c>
      <c r="D505" s="5" t="s">
        <v>10</v>
      </c>
      <c r="E505" t="s">
        <v>927</v>
      </c>
      <c r="F505" t="s">
        <v>928</v>
      </c>
      <c r="G505">
        <v>0</v>
      </c>
      <c r="H505" t="s">
        <v>930</v>
      </c>
      <c r="I505" s="2">
        <v>5500</v>
      </c>
    </row>
    <row r="506" spans="1:9" x14ac:dyDescent="0.3">
      <c r="A506" s="5">
        <v>9827</v>
      </c>
      <c r="B506" s="5" t="s">
        <v>926</v>
      </c>
      <c r="C506" s="5">
        <v>1</v>
      </c>
      <c r="D506" s="5" t="s">
        <v>10</v>
      </c>
      <c r="E506" t="s">
        <v>927</v>
      </c>
      <c r="F506" t="s">
        <v>928</v>
      </c>
      <c r="G506">
        <v>0</v>
      </c>
      <c r="H506" t="s">
        <v>126</v>
      </c>
      <c r="I506" s="2">
        <v>7000</v>
      </c>
    </row>
    <row r="507" spans="1:9" x14ac:dyDescent="0.3">
      <c r="A507" s="5">
        <v>9827</v>
      </c>
      <c r="B507" s="5" t="s">
        <v>926</v>
      </c>
      <c r="C507" s="5">
        <v>1</v>
      </c>
      <c r="D507" s="5" t="s">
        <v>10</v>
      </c>
      <c r="E507" t="s">
        <v>927</v>
      </c>
      <c r="F507" t="s">
        <v>928</v>
      </c>
      <c r="G507">
        <v>0</v>
      </c>
      <c r="H507" t="s">
        <v>356</v>
      </c>
      <c r="I507" s="2">
        <v>8000</v>
      </c>
    </row>
    <row r="508" spans="1:9" x14ac:dyDescent="0.3">
      <c r="A508" s="5">
        <v>9826</v>
      </c>
      <c r="B508" s="5" t="s">
        <v>931</v>
      </c>
      <c r="C508" s="5">
        <v>1</v>
      </c>
      <c r="D508" s="5" t="s">
        <v>10</v>
      </c>
      <c r="E508" t="s">
        <v>932</v>
      </c>
      <c r="F508" t="s">
        <v>933</v>
      </c>
      <c r="G508">
        <v>0</v>
      </c>
      <c r="H508" t="s">
        <v>337</v>
      </c>
      <c r="I508" s="2">
        <v>5000</v>
      </c>
    </row>
    <row r="509" spans="1:9" x14ac:dyDescent="0.3">
      <c r="A509" s="5">
        <v>9826</v>
      </c>
      <c r="B509" s="5" t="s">
        <v>931</v>
      </c>
      <c r="C509" s="5">
        <v>1</v>
      </c>
      <c r="D509" s="5" t="s">
        <v>10</v>
      </c>
      <c r="E509" t="s">
        <v>932</v>
      </c>
      <c r="F509" t="s">
        <v>933</v>
      </c>
      <c r="G509">
        <v>0</v>
      </c>
      <c r="H509" t="s">
        <v>145</v>
      </c>
      <c r="I509" s="2">
        <v>5000</v>
      </c>
    </row>
    <row r="510" spans="1:9" x14ac:dyDescent="0.3">
      <c r="A510" s="5">
        <v>9826</v>
      </c>
      <c r="B510" s="5" t="s">
        <v>931</v>
      </c>
      <c r="C510" s="5">
        <v>1</v>
      </c>
      <c r="D510" s="5" t="s">
        <v>10</v>
      </c>
      <c r="E510" t="s">
        <v>932</v>
      </c>
      <c r="F510" t="s">
        <v>933</v>
      </c>
      <c r="G510">
        <v>0</v>
      </c>
      <c r="H510" t="s">
        <v>175</v>
      </c>
      <c r="I510" s="2">
        <v>3000</v>
      </c>
    </row>
    <row r="511" spans="1:9" x14ac:dyDescent="0.3">
      <c r="A511" s="5">
        <v>9826</v>
      </c>
      <c r="B511" s="5" t="s">
        <v>931</v>
      </c>
      <c r="C511" s="5">
        <v>1</v>
      </c>
      <c r="D511" s="5" t="s">
        <v>10</v>
      </c>
      <c r="E511" t="s">
        <v>932</v>
      </c>
      <c r="F511" t="s">
        <v>933</v>
      </c>
      <c r="G511">
        <v>0</v>
      </c>
      <c r="H511" t="s">
        <v>934</v>
      </c>
      <c r="I511" s="2">
        <v>5000</v>
      </c>
    </row>
    <row r="512" spans="1:9" x14ac:dyDescent="0.3">
      <c r="A512" s="5">
        <v>9825</v>
      </c>
      <c r="B512" s="5" t="s">
        <v>935</v>
      </c>
      <c r="C512" s="5">
        <v>3</v>
      </c>
      <c r="D512" s="5" t="s">
        <v>44</v>
      </c>
      <c r="E512" t="s">
        <v>936</v>
      </c>
      <c r="G512">
        <v>0</v>
      </c>
      <c r="H512" t="s">
        <v>937</v>
      </c>
      <c r="I512" s="2">
        <v>8500</v>
      </c>
    </row>
    <row r="513" spans="1:9" x14ac:dyDescent="0.3">
      <c r="A513" s="5">
        <v>9825</v>
      </c>
      <c r="B513" s="5" t="s">
        <v>935</v>
      </c>
      <c r="C513" s="5">
        <v>3</v>
      </c>
      <c r="D513" s="5" t="s">
        <v>44</v>
      </c>
      <c r="E513" t="s">
        <v>936</v>
      </c>
      <c r="G513">
        <v>0</v>
      </c>
      <c r="H513" t="s">
        <v>938</v>
      </c>
      <c r="I513" s="2">
        <v>7500</v>
      </c>
    </row>
    <row r="514" spans="1:9" x14ac:dyDescent="0.3">
      <c r="A514" s="5">
        <v>9825</v>
      </c>
      <c r="B514" s="5" t="s">
        <v>935</v>
      </c>
      <c r="C514" s="5">
        <v>3</v>
      </c>
      <c r="D514" s="5" t="s">
        <v>44</v>
      </c>
      <c r="E514" t="s">
        <v>936</v>
      </c>
      <c r="G514">
        <v>0</v>
      </c>
      <c r="H514" t="s">
        <v>939</v>
      </c>
      <c r="I514" s="2">
        <v>8000</v>
      </c>
    </row>
    <row r="515" spans="1:9" x14ac:dyDescent="0.3">
      <c r="A515" s="5">
        <v>9824</v>
      </c>
      <c r="B515" s="5" t="s">
        <v>940</v>
      </c>
      <c r="C515" s="5">
        <v>1</v>
      </c>
      <c r="D515" s="5" t="s">
        <v>10</v>
      </c>
      <c r="E515" t="s">
        <v>941</v>
      </c>
      <c r="F515" t="s">
        <v>942</v>
      </c>
      <c r="G515">
        <v>0</v>
      </c>
      <c r="H515" t="s">
        <v>943</v>
      </c>
      <c r="I515" s="2">
        <v>7000</v>
      </c>
    </row>
    <row r="516" spans="1:9" x14ac:dyDescent="0.3">
      <c r="A516" s="5">
        <v>9824</v>
      </c>
      <c r="B516" s="5" t="s">
        <v>940</v>
      </c>
      <c r="C516" s="5">
        <v>1</v>
      </c>
      <c r="D516" s="5" t="s">
        <v>10</v>
      </c>
      <c r="E516" t="s">
        <v>941</v>
      </c>
      <c r="F516" t="s">
        <v>942</v>
      </c>
      <c r="G516">
        <v>0</v>
      </c>
      <c r="H516" t="s">
        <v>229</v>
      </c>
      <c r="I516" s="2">
        <v>6000</v>
      </c>
    </row>
    <row r="517" spans="1:9" x14ac:dyDescent="0.3">
      <c r="A517" s="5">
        <v>9823</v>
      </c>
      <c r="B517" s="5" t="s">
        <v>944</v>
      </c>
      <c r="C517" s="5">
        <v>1</v>
      </c>
      <c r="D517" s="5" t="s">
        <v>10</v>
      </c>
      <c r="E517" t="s">
        <v>945</v>
      </c>
      <c r="F517" t="s">
        <v>946</v>
      </c>
      <c r="G517">
        <v>0</v>
      </c>
      <c r="H517" t="s">
        <v>35</v>
      </c>
      <c r="I517" s="2">
        <v>8000</v>
      </c>
    </row>
    <row r="518" spans="1:9" x14ac:dyDescent="0.3">
      <c r="A518" s="5">
        <v>9823</v>
      </c>
      <c r="B518" s="5" t="s">
        <v>944</v>
      </c>
      <c r="C518" s="5">
        <v>1</v>
      </c>
      <c r="D518" s="5" t="s">
        <v>10</v>
      </c>
      <c r="E518" t="s">
        <v>945</v>
      </c>
      <c r="F518" t="s">
        <v>946</v>
      </c>
      <c r="G518">
        <v>0</v>
      </c>
      <c r="H518" t="s">
        <v>947</v>
      </c>
      <c r="I518" s="2">
        <v>8000</v>
      </c>
    </row>
    <row r="519" spans="1:9" x14ac:dyDescent="0.3">
      <c r="A519" s="5">
        <v>9823</v>
      </c>
      <c r="B519" s="5" t="s">
        <v>944</v>
      </c>
      <c r="C519" s="5">
        <v>1</v>
      </c>
      <c r="D519" s="5" t="s">
        <v>10</v>
      </c>
      <c r="E519" t="s">
        <v>945</v>
      </c>
      <c r="F519" t="s">
        <v>946</v>
      </c>
      <c r="G519">
        <v>0</v>
      </c>
      <c r="H519" t="s">
        <v>128</v>
      </c>
      <c r="I519" s="2">
        <v>8000</v>
      </c>
    </row>
    <row r="520" spans="1:9" x14ac:dyDescent="0.3">
      <c r="A520" s="5">
        <v>9822</v>
      </c>
      <c r="B520" s="5" t="s">
        <v>948</v>
      </c>
      <c r="C520" s="5">
        <v>1</v>
      </c>
      <c r="D520" s="5" t="s">
        <v>10</v>
      </c>
      <c r="E520" t="s">
        <v>949</v>
      </c>
      <c r="F520" t="s">
        <v>950</v>
      </c>
      <c r="G520">
        <v>0</v>
      </c>
      <c r="H520" t="s">
        <v>133</v>
      </c>
      <c r="I520" s="2">
        <v>6000</v>
      </c>
    </row>
    <row r="521" spans="1:9" x14ac:dyDescent="0.3">
      <c r="A521" s="5">
        <v>9822</v>
      </c>
      <c r="B521" s="5" t="s">
        <v>948</v>
      </c>
      <c r="C521" s="5">
        <v>1</v>
      </c>
      <c r="D521" s="5" t="s">
        <v>10</v>
      </c>
      <c r="E521" t="s">
        <v>949</v>
      </c>
      <c r="F521" t="s">
        <v>950</v>
      </c>
      <c r="G521">
        <v>0</v>
      </c>
      <c r="H521" t="s">
        <v>37</v>
      </c>
      <c r="I521" s="2">
        <v>6000</v>
      </c>
    </row>
    <row r="522" spans="1:9" x14ac:dyDescent="0.3">
      <c r="A522" s="5">
        <v>9822</v>
      </c>
      <c r="B522" s="5" t="s">
        <v>948</v>
      </c>
      <c r="C522" s="5">
        <v>1</v>
      </c>
      <c r="D522" s="5" t="s">
        <v>10</v>
      </c>
      <c r="E522" t="s">
        <v>949</v>
      </c>
      <c r="F522" t="s">
        <v>950</v>
      </c>
      <c r="G522">
        <v>0</v>
      </c>
      <c r="H522" t="s">
        <v>259</v>
      </c>
      <c r="I522" s="2">
        <v>6000</v>
      </c>
    </row>
    <row r="523" spans="1:9" x14ac:dyDescent="0.3">
      <c r="A523" s="5">
        <v>9821</v>
      </c>
      <c r="B523" s="5" t="s">
        <v>951</v>
      </c>
      <c r="C523" s="5">
        <v>1</v>
      </c>
      <c r="D523" s="5" t="s">
        <v>10</v>
      </c>
      <c r="E523" t="s">
        <v>952</v>
      </c>
      <c r="G523">
        <v>0</v>
      </c>
      <c r="H523" t="s">
        <v>953</v>
      </c>
      <c r="I523" s="2">
        <v>20000</v>
      </c>
    </row>
    <row r="524" spans="1:9" x14ac:dyDescent="0.3">
      <c r="A524" s="5">
        <v>9821</v>
      </c>
      <c r="B524" s="5" t="s">
        <v>951</v>
      </c>
      <c r="C524" s="5">
        <v>1</v>
      </c>
      <c r="D524" s="5" t="s">
        <v>10</v>
      </c>
      <c r="E524" t="s">
        <v>952</v>
      </c>
      <c r="G524">
        <v>0</v>
      </c>
      <c r="H524" t="s">
        <v>954</v>
      </c>
      <c r="I524" s="2">
        <v>20000</v>
      </c>
    </row>
    <row r="525" spans="1:9" x14ac:dyDescent="0.3">
      <c r="A525" s="5">
        <v>9820</v>
      </c>
      <c r="B525" s="5" t="s">
        <v>955</v>
      </c>
      <c r="C525" s="5">
        <v>1</v>
      </c>
      <c r="D525" s="5" t="s">
        <v>10</v>
      </c>
      <c r="E525" t="s">
        <v>956</v>
      </c>
      <c r="F525" t="s">
        <v>957</v>
      </c>
      <c r="G525">
        <v>0</v>
      </c>
      <c r="H525" t="s">
        <v>958</v>
      </c>
      <c r="I525" s="2">
        <v>10000</v>
      </c>
    </row>
    <row r="526" spans="1:9" x14ac:dyDescent="0.3">
      <c r="A526" s="5">
        <v>9820</v>
      </c>
      <c r="B526" s="5" t="s">
        <v>955</v>
      </c>
      <c r="C526" s="5">
        <v>1</v>
      </c>
      <c r="D526" s="5" t="s">
        <v>10</v>
      </c>
      <c r="E526" t="s">
        <v>956</v>
      </c>
      <c r="F526" t="s">
        <v>957</v>
      </c>
      <c r="G526">
        <v>0</v>
      </c>
      <c r="H526" t="s">
        <v>149</v>
      </c>
      <c r="I526" s="2">
        <v>9000</v>
      </c>
    </row>
    <row r="527" spans="1:9" x14ac:dyDescent="0.3">
      <c r="A527" s="5">
        <v>9819</v>
      </c>
      <c r="B527" s="5" t="s">
        <v>959</v>
      </c>
      <c r="C527" s="5">
        <v>1</v>
      </c>
      <c r="D527" s="5" t="s">
        <v>10</v>
      </c>
      <c r="E527" t="s">
        <v>960</v>
      </c>
      <c r="F527" t="s">
        <v>961</v>
      </c>
      <c r="G527">
        <v>0</v>
      </c>
      <c r="H527" t="s">
        <v>962</v>
      </c>
      <c r="I527" s="2">
        <v>7000</v>
      </c>
    </row>
    <row r="528" spans="1:9" x14ac:dyDescent="0.3">
      <c r="A528" s="5">
        <v>9819</v>
      </c>
      <c r="B528" s="5" t="s">
        <v>959</v>
      </c>
      <c r="C528" s="5">
        <v>1</v>
      </c>
      <c r="D528" s="5" t="s">
        <v>10</v>
      </c>
      <c r="E528" t="s">
        <v>960</v>
      </c>
      <c r="F528" t="s">
        <v>961</v>
      </c>
      <c r="G528">
        <v>0</v>
      </c>
      <c r="H528" t="s">
        <v>126</v>
      </c>
      <c r="I528" s="2">
        <v>7000</v>
      </c>
    </row>
    <row r="529" spans="1:9" x14ac:dyDescent="0.3">
      <c r="A529" s="5">
        <v>9818</v>
      </c>
      <c r="B529" s="5" t="s">
        <v>963</v>
      </c>
      <c r="C529" s="5">
        <v>1</v>
      </c>
      <c r="D529" s="5" t="s">
        <v>10</v>
      </c>
      <c r="E529" t="s">
        <v>964</v>
      </c>
      <c r="F529" t="s">
        <v>965</v>
      </c>
      <c r="G529">
        <v>0</v>
      </c>
      <c r="H529" t="s">
        <v>966</v>
      </c>
      <c r="I529" s="2">
        <v>3500</v>
      </c>
    </row>
    <row r="530" spans="1:9" x14ac:dyDescent="0.3">
      <c r="A530" s="5">
        <v>9818</v>
      </c>
      <c r="B530" s="5" t="s">
        <v>963</v>
      </c>
      <c r="C530" s="5">
        <v>1</v>
      </c>
      <c r="D530" s="5" t="s">
        <v>10</v>
      </c>
      <c r="E530" t="s">
        <v>964</v>
      </c>
      <c r="F530" t="s">
        <v>965</v>
      </c>
      <c r="G530">
        <v>0</v>
      </c>
      <c r="H530" t="s">
        <v>374</v>
      </c>
      <c r="I530" s="2">
        <v>3000</v>
      </c>
    </row>
    <row r="531" spans="1:9" x14ac:dyDescent="0.3">
      <c r="A531" s="5">
        <v>9818</v>
      </c>
      <c r="B531" s="5" t="s">
        <v>963</v>
      </c>
      <c r="C531" s="5">
        <v>1</v>
      </c>
      <c r="D531" s="5" t="s">
        <v>10</v>
      </c>
      <c r="E531" t="s">
        <v>964</v>
      </c>
      <c r="F531" t="s">
        <v>965</v>
      </c>
      <c r="G531">
        <v>0</v>
      </c>
      <c r="H531" t="s">
        <v>368</v>
      </c>
      <c r="I531" s="2">
        <v>6000</v>
      </c>
    </row>
    <row r="532" spans="1:9" x14ac:dyDescent="0.3">
      <c r="A532" s="5">
        <v>9817</v>
      </c>
      <c r="B532" s="5" t="s">
        <v>967</v>
      </c>
      <c r="C532" s="5">
        <v>1</v>
      </c>
      <c r="D532" s="5" t="s">
        <v>10</v>
      </c>
      <c r="E532" t="s">
        <v>968</v>
      </c>
      <c r="F532" t="s">
        <v>969</v>
      </c>
      <c r="G532">
        <v>0</v>
      </c>
      <c r="H532" t="s">
        <v>259</v>
      </c>
      <c r="I532" s="2">
        <v>6500</v>
      </c>
    </row>
    <row r="533" spans="1:9" x14ac:dyDescent="0.3">
      <c r="A533" s="5">
        <v>9817</v>
      </c>
      <c r="B533" s="5" t="s">
        <v>967</v>
      </c>
      <c r="C533" s="5">
        <v>1</v>
      </c>
      <c r="D533" s="5" t="s">
        <v>10</v>
      </c>
      <c r="E533" t="s">
        <v>968</v>
      </c>
      <c r="F533" t="s">
        <v>969</v>
      </c>
      <c r="G533">
        <v>0</v>
      </c>
      <c r="H533" t="s">
        <v>970</v>
      </c>
      <c r="I533" s="2">
        <v>7000</v>
      </c>
    </row>
    <row r="534" spans="1:9" x14ac:dyDescent="0.3">
      <c r="A534" s="5">
        <v>9816</v>
      </c>
      <c r="B534" s="5" t="s">
        <v>971</v>
      </c>
      <c r="C534" s="5">
        <v>1</v>
      </c>
      <c r="D534" s="5" t="s">
        <v>10</v>
      </c>
      <c r="E534" t="s">
        <v>972</v>
      </c>
      <c r="F534" t="s">
        <v>973</v>
      </c>
      <c r="G534">
        <v>0</v>
      </c>
      <c r="H534" t="s">
        <v>139</v>
      </c>
      <c r="I534" s="2">
        <v>7000</v>
      </c>
    </row>
    <row r="535" spans="1:9" x14ac:dyDescent="0.3">
      <c r="A535" s="5">
        <v>9816</v>
      </c>
      <c r="B535" s="5" t="s">
        <v>971</v>
      </c>
      <c r="C535" s="5">
        <v>1</v>
      </c>
      <c r="D535" s="5" t="s">
        <v>10</v>
      </c>
      <c r="E535" t="s">
        <v>972</v>
      </c>
      <c r="F535" t="s">
        <v>973</v>
      </c>
      <c r="G535">
        <v>0</v>
      </c>
      <c r="H535" t="s">
        <v>126</v>
      </c>
      <c r="I535" s="2">
        <v>7000</v>
      </c>
    </row>
    <row r="536" spans="1:9" x14ac:dyDescent="0.3">
      <c r="A536" s="5">
        <v>9816</v>
      </c>
      <c r="B536" s="5" t="s">
        <v>971</v>
      </c>
      <c r="C536" s="5">
        <v>1</v>
      </c>
      <c r="D536" s="5" t="s">
        <v>10</v>
      </c>
      <c r="E536" t="s">
        <v>972</v>
      </c>
      <c r="F536" t="s">
        <v>973</v>
      </c>
      <c r="G536">
        <v>0</v>
      </c>
      <c r="H536" t="s">
        <v>133</v>
      </c>
      <c r="I536" s="2">
        <v>7000</v>
      </c>
    </row>
    <row r="537" spans="1:9" x14ac:dyDescent="0.3">
      <c r="A537" s="5">
        <v>9815</v>
      </c>
      <c r="B537" s="5" t="s">
        <v>974</v>
      </c>
      <c r="C537" s="5">
        <v>1</v>
      </c>
      <c r="D537" s="5" t="s">
        <v>10</v>
      </c>
      <c r="E537" t="s">
        <v>975</v>
      </c>
      <c r="F537" t="s">
        <v>976</v>
      </c>
      <c r="G537">
        <v>0</v>
      </c>
      <c r="H537" t="s">
        <v>214</v>
      </c>
      <c r="I537" s="2">
        <v>6000</v>
      </c>
    </row>
    <row r="538" spans="1:9" x14ac:dyDescent="0.3">
      <c r="A538" s="5">
        <v>9815</v>
      </c>
      <c r="B538" s="5" t="s">
        <v>974</v>
      </c>
      <c r="C538" s="5">
        <v>1</v>
      </c>
      <c r="D538" s="5" t="s">
        <v>10</v>
      </c>
      <c r="E538" t="s">
        <v>975</v>
      </c>
      <c r="F538" t="s">
        <v>976</v>
      </c>
      <c r="G538">
        <v>0</v>
      </c>
      <c r="H538" t="s">
        <v>977</v>
      </c>
      <c r="I538" s="2">
        <v>6000</v>
      </c>
    </row>
    <row r="539" spans="1:9" x14ac:dyDescent="0.3">
      <c r="A539" s="5">
        <v>9815</v>
      </c>
      <c r="B539" s="5" t="s">
        <v>974</v>
      </c>
      <c r="C539" s="5">
        <v>1</v>
      </c>
      <c r="D539" s="5" t="s">
        <v>10</v>
      </c>
      <c r="E539" t="s">
        <v>975</v>
      </c>
      <c r="F539" t="s">
        <v>976</v>
      </c>
      <c r="G539">
        <v>0</v>
      </c>
      <c r="H539" t="s">
        <v>403</v>
      </c>
      <c r="I539" s="2">
        <v>6000</v>
      </c>
    </row>
    <row r="540" spans="1:9" x14ac:dyDescent="0.3">
      <c r="A540" s="5">
        <v>9814</v>
      </c>
      <c r="B540" s="5" t="s">
        <v>978</v>
      </c>
      <c r="C540" s="5">
        <v>4</v>
      </c>
      <c r="D540" s="5" t="s">
        <v>39</v>
      </c>
      <c r="E540" t="s">
        <v>979</v>
      </c>
      <c r="F540" t="s">
        <v>980</v>
      </c>
      <c r="G540">
        <v>0</v>
      </c>
      <c r="H540" t="s">
        <v>205</v>
      </c>
      <c r="I540" s="2">
        <v>2500</v>
      </c>
    </row>
    <row r="541" spans="1:9" x14ac:dyDescent="0.3">
      <c r="A541" s="5">
        <v>9814</v>
      </c>
      <c r="B541" s="5" t="s">
        <v>978</v>
      </c>
      <c r="C541" s="5">
        <v>4</v>
      </c>
      <c r="D541" s="5" t="s">
        <v>39</v>
      </c>
      <c r="E541" t="s">
        <v>979</v>
      </c>
      <c r="F541" t="s">
        <v>980</v>
      </c>
      <c r="G541">
        <v>0</v>
      </c>
      <c r="H541" t="s">
        <v>342</v>
      </c>
      <c r="I541" s="2">
        <v>3500</v>
      </c>
    </row>
    <row r="542" spans="1:9" x14ac:dyDescent="0.3">
      <c r="A542" s="5">
        <v>9814</v>
      </c>
      <c r="B542" s="5" t="s">
        <v>978</v>
      </c>
      <c r="C542" s="5">
        <v>4</v>
      </c>
      <c r="D542" s="5" t="s">
        <v>39</v>
      </c>
      <c r="E542" t="s">
        <v>979</v>
      </c>
      <c r="F542" t="s">
        <v>980</v>
      </c>
      <c r="G542">
        <v>0</v>
      </c>
      <c r="H542" t="s">
        <v>981</v>
      </c>
      <c r="I542" s="2">
        <v>3500</v>
      </c>
    </row>
    <row r="543" spans="1:9" x14ac:dyDescent="0.3">
      <c r="A543" s="5">
        <v>9813</v>
      </c>
      <c r="B543" s="5" t="s">
        <v>982</v>
      </c>
      <c r="C543" s="5">
        <v>1</v>
      </c>
      <c r="D543" s="5" t="s">
        <v>10</v>
      </c>
      <c r="E543" t="s">
        <v>983</v>
      </c>
      <c r="G543">
        <v>0</v>
      </c>
      <c r="H543" t="s">
        <v>879</v>
      </c>
      <c r="I543" s="2">
        <v>7500</v>
      </c>
    </row>
    <row r="544" spans="1:9" x14ac:dyDescent="0.3">
      <c r="A544" s="5">
        <v>9813</v>
      </c>
      <c r="B544" s="5" t="s">
        <v>982</v>
      </c>
      <c r="C544" s="5">
        <v>1</v>
      </c>
      <c r="D544" s="5" t="s">
        <v>10</v>
      </c>
      <c r="E544" t="s">
        <v>983</v>
      </c>
      <c r="G544">
        <v>0</v>
      </c>
      <c r="H544" t="s">
        <v>304</v>
      </c>
      <c r="I544" s="2">
        <v>7500</v>
      </c>
    </row>
    <row r="545" spans="1:9" x14ac:dyDescent="0.3">
      <c r="A545" s="5">
        <v>9812</v>
      </c>
      <c r="B545" s="5" t="s">
        <v>984</v>
      </c>
      <c r="C545" s="5">
        <v>1</v>
      </c>
      <c r="D545" s="5" t="s">
        <v>10</v>
      </c>
      <c r="E545" t="s">
        <v>985</v>
      </c>
      <c r="F545" t="s">
        <v>986</v>
      </c>
      <c r="G545">
        <v>0</v>
      </c>
      <c r="H545" t="s">
        <v>987</v>
      </c>
      <c r="I545" s="2">
        <v>38000</v>
      </c>
    </row>
    <row r="546" spans="1:9" x14ac:dyDescent="0.3">
      <c r="A546" s="5">
        <v>9812</v>
      </c>
      <c r="B546" s="5" t="s">
        <v>984</v>
      </c>
      <c r="C546" s="5">
        <v>1</v>
      </c>
      <c r="D546" s="5" t="s">
        <v>10</v>
      </c>
      <c r="E546" t="s">
        <v>985</v>
      </c>
      <c r="F546" t="s">
        <v>986</v>
      </c>
      <c r="G546">
        <v>0</v>
      </c>
      <c r="H546" t="s">
        <v>988</v>
      </c>
      <c r="I546" s="2">
        <v>38000</v>
      </c>
    </row>
    <row r="547" spans="1:9" x14ac:dyDescent="0.3">
      <c r="A547" s="5">
        <v>9811</v>
      </c>
      <c r="B547" s="5" t="s">
        <v>989</v>
      </c>
      <c r="C547" s="5">
        <v>1</v>
      </c>
      <c r="D547" s="5" t="s">
        <v>10</v>
      </c>
      <c r="E547" t="s">
        <v>990</v>
      </c>
      <c r="F547" t="s">
        <v>991</v>
      </c>
      <c r="G547">
        <v>0</v>
      </c>
      <c r="H547" t="s">
        <v>229</v>
      </c>
      <c r="I547" s="2">
        <v>6000</v>
      </c>
    </row>
    <row r="548" spans="1:9" x14ac:dyDescent="0.3">
      <c r="A548" s="5">
        <v>9811</v>
      </c>
      <c r="B548" s="5" t="s">
        <v>989</v>
      </c>
      <c r="C548" s="5">
        <v>1</v>
      </c>
      <c r="D548" s="5" t="s">
        <v>10</v>
      </c>
      <c r="E548" t="s">
        <v>990</v>
      </c>
      <c r="F548" t="s">
        <v>991</v>
      </c>
      <c r="G548">
        <v>0</v>
      </c>
      <c r="H548" t="s">
        <v>992</v>
      </c>
      <c r="I548" s="2">
        <v>7000</v>
      </c>
    </row>
    <row r="549" spans="1:9" x14ac:dyDescent="0.3">
      <c r="A549" s="5">
        <v>9811</v>
      </c>
      <c r="B549" s="5" t="s">
        <v>989</v>
      </c>
      <c r="C549" s="5">
        <v>1</v>
      </c>
      <c r="D549" s="5" t="s">
        <v>10</v>
      </c>
      <c r="E549" t="s">
        <v>990</v>
      </c>
      <c r="F549" t="s">
        <v>991</v>
      </c>
      <c r="G549">
        <v>0</v>
      </c>
      <c r="H549" t="s">
        <v>993</v>
      </c>
      <c r="I549" s="2">
        <v>7000</v>
      </c>
    </row>
    <row r="550" spans="1:9" x14ac:dyDescent="0.3">
      <c r="A550" s="5">
        <v>9810</v>
      </c>
      <c r="B550" s="5" t="s">
        <v>994</v>
      </c>
      <c r="C550" s="5">
        <v>4</v>
      </c>
      <c r="D550" s="5" t="s">
        <v>39</v>
      </c>
      <c r="E550" t="s">
        <v>995</v>
      </c>
      <c r="F550" t="s">
        <v>996</v>
      </c>
      <c r="G550">
        <v>0</v>
      </c>
      <c r="H550" t="s">
        <v>205</v>
      </c>
      <c r="I550" s="2">
        <v>2500</v>
      </c>
    </row>
    <row r="551" spans="1:9" x14ac:dyDescent="0.3">
      <c r="A551" s="5">
        <v>9810</v>
      </c>
      <c r="B551" s="5" t="s">
        <v>994</v>
      </c>
      <c r="C551" s="5">
        <v>4</v>
      </c>
      <c r="D551" s="5" t="s">
        <v>39</v>
      </c>
      <c r="E551" t="s">
        <v>995</v>
      </c>
      <c r="F551" t="s">
        <v>996</v>
      </c>
      <c r="G551">
        <v>0</v>
      </c>
      <c r="H551" t="s">
        <v>342</v>
      </c>
      <c r="I551" s="2">
        <v>3000</v>
      </c>
    </row>
    <row r="552" spans="1:9" x14ac:dyDescent="0.3">
      <c r="A552" s="5">
        <v>9809</v>
      </c>
      <c r="B552" s="5" t="s">
        <v>997</v>
      </c>
      <c r="C552" s="5">
        <v>1</v>
      </c>
      <c r="D552" s="5" t="s">
        <v>10</v>
      </c>
      <c r="E552" t="s">
        <v>998</v>
      </c>
      <c r="F552" t="s">
        <v>999</v>
      </c>
      <c r="G552">
        <v>0</v>
      </c>
      <c r="H552" t="s">
        <v>1000</v>
      </c>
      <c r="I552" s="2">
        <v>7000</v>
      </c>
    </row>
    <row r="553" spans="1:9" x14ac:dyDescent="0.3">
      <c r="A553" s="5">
        <v>9809</v>
      </c>
      <c r="B553" s="5" t="s">
        <v>997</v>
      </c>
      <c r="C553" s="5">
        <v>1</v>
      </c>
      <c r="D553" s="5" t="s">
        <v>10</v>
      </c>
      <c r="E553" t="s">
        <v>998</v>
      </c>
      <c r="F553" t="s">
        <v>999</v>
      </c>
      <c r="G553">
        <v>0</v>
      </c>
      <c r="H553" t="s">
        <v>1001</v>
      </c>
      <c r="I553" s="2">
        <v>15000</v>
      </c>
    </row>
    <row r="554" spans="1:9" x14ac:dyDescent="0.3">
      <c r="A554" s="5">
        <v>9808</v>
      </c>
      <c r="B554" s="5" t="s">
        <v>1002</v>
      </c>
      <c r="C554" s="5">
        <v>1</v>
      </c>
      <c r="D554" s="5" t="s">
        <v>10</v>
      </c>
      <c r="E554" t="s">
        <v>1003</v>
      </c>
      <c r="F554" t="s">
        <v>1004</v>
      </c>
      <c r="G554">
        <v>0</v>
      </c>
      <c r="H554" t="s">
        <v>19</v>
      </c>
      <c r="I554" s="2">
        <v>6000</v>
      </c>
    </row>
    <row r="555" spans="1:9" x14ac:dyDescent="0.3">
      <c r="A555" s="5">
        <v>9808</v>
      </c>
      <c r="B555" s="5" t="s">
        <v>1002</v>
      </c>
      <c r="C555" s="5">
        <v>1</v>
      </c>
      <c r="D555" s="5" t="s">
        <v>10</v>
      </c>
      <c r="E555" t="s">
        <v>1003</v>
      </c>
      <c r="F555" t="s">
        <v>1004</v>
      </c>
      <c r="G555">
        <v>0</v>
      </c>
      <c r="H555" t="s">
        <v>169</v>
      </c>
      <c r="I555" s="2">
        <v>5000</v>
      </c>
    </row>
    <row r="556" spans="1:9" x14ac:dyDescent="0.3">
      <c r="A556" s="5">
        <v>9808</v>
      </c>
      <c r="B556" s="5" t="s">
        <v>1002</v>
      </c>
      <c r="C556" s="5">
        <v>1</v>
      </c>
      <c r="D556" s="5" t="s">
        <v>10</v>
      </c>
      <c r="E556" t="s">
        <v>1003</v>
      </c>
      <c r="F556" t="s">
        <v>1004</v>
      </c>
      <c r="G556">
        <v>0</v>
      </c>
      <c r="H556" t="s">
        <v>21</v>
      </c>
      <c r="I556" s="2">
        <v>6000</v>
      </c>
    </row>
    <row r="557" spans="1:9" x14ac:dyDescent="0.3">
      <c r="A557" s="5">
        <v>9807</v>
      </c>
      <c r="B557" s="5" t="s">
        <v>1005</v>
      </c>
      <c r="C557" s="5">
        <v>4</v>
      </c>
      <c r="D557" s="5" t="s">
        <v>39</v>
      </c>
      <c r="E557" t="s">
        <v>1006</v>
      </c>
      <c r="G557">
        <v>0</v>
      </c>
      <c r="H557" t="s">
        <v>1007</v>
      </c>
      <c r="I557" s="2">
        <v>3000</v>
      </c>
    </row>
    <row r="558" spans="1:9" x14ac:dyDescent="0.3">
      <c r="A558" s="5">
        <v>9807</v>
      </c>
      <c r="B558" s="5" t="s">
        <v>1005</v>
      </c>
      <c r="C558" s="5">
        <v>4</v>
      </c>
      <c r="D558" s="5" t="s">
        <v>39</v>
      </c>
      <c r="E558" t="s">
        <v>1006</v>
      </c>
      <c r="G558">
        <v>0</v>
      </c>
      <c r="H558" t="s">
        <v>1008</v>
      </c>
      <c r="I558" s="2">
        <v>3000</v>
      </c>
    </row>
    <row r="559" spans="1:9" x14ac:dyDescent="0.3">
      <c r="A559" s="5">
        <v>9806</v>
      </c>
      <c r="B559" s="5" t="s">
        <v>1009</v>
      </c>
      <c r="C559" s="5">
        <v>4</v>
      </c>
      <c r="D559" s="5" t="s">
        <v>39</v>
      </c>
      <c r="E559" t="s">
        <v>1010</v>
      </c>
      <c r="G559">
        <v>0</v>
      </c>
      <c r="H559" t="s">
        <v>1011</v>
      </c>
      <c r="I559" s="2">
        <v>3000</v>
      </c>
    </row>
    <row r="560" spans="1:9" x14ac:dyDescent="0.3">
      <c r="A560" s="5">
        <v>9806</v>
      </c>
      <c r="B560" s="5" t="s">
        <v>1009</v>
      </c>
      <c r="C560" s="5">
        <v>4</v>
      </c>
      <c r="D560" s="5" t="s">
        <v>39</v>
      </c>
      <c r="E560" t="s">
        <v>1010</v>
      </c>
      <c r="G560">
        <v>0</v>
      </c>
      <c r="H560" t="s">
        <v>205</v>
      </c>
      <c r="I560" s="2">
        <v>3000</v>
      </c>
    </row>
    <row r="561" spans="1:9" x14ac:dyDescent="0.3">
      <c r="A561" s="5">
        <v>9805</v>
      </c>
      <c r="B561" s="5" t="s">
        <v>1012</v>
      </c>
      <c r="C561" s="5">
        <v>1</v>
      </c>
      <c r="D561" s="5" t="s">
        <v>10</v>
      </c>
      <c r="E561" t="s">
        <v>1013</v>
      </c>
      <c r="G561">
        <v>0</v>
      </c>
      <c r="H561" t="s">
        <v>1014</v>
      </c>
      <c r="I561" s="2">
        <v>8000</v>
      </c>
    </row>
    <row r="562" spans="1:9" x14ac:dyDescent="0.3">
      <c r="A562" s="5">
        <v>9805</v>
      </c>
      <c r="B562" s="5" t="s">
        <v>1012</v>
      </c>
      <c r="C562" s="5">
        <v>1</v>
      </c>
      <c r="D562" s="5" t="s">
        <v>10</v>
      </c>
      <c r="E562" t="s">
        <v>1013</v>
      </c>
      <c r="G562">
        <v>0</v>
      </c>
      <c r="H562" t="s">
        <v>1015</v>
      </c>
      <c r="I562" s="2">
        <v>7000</v>
      </c>
    </row>
    <row r="563" spans="1:9" x14ac:dyDescent="0.3">
      <c r="A563" s="5">
        <v>9804</v>
      </c>
      <c r="B563" s="5" t="s">
        <v>1016</v>
      </c>
      <c r="C563" s="5">
        <v>1</v>
      </c>
      <c r="D563" s="5" t="s">
        <v>10</v>
      </c>
      <c r="E563" t="s">
        <v>1017</v>
      </c>
      <c r="F563" t="s">
        <v>1018</v>
      </c>
      <c r="G563">
        <v>0</v>
      </c>
      <c r="H563" t="s">
        <v>1019</v>
      </c>
      <c r="I563" s="2">
        <v>11000</v>
      </c>
    </row>
    <row r="564" spans="1:9" x14ac:dyDescent="0.3">
      <c r="A564" s="5">
        <v>9804</v>
      </c>
      <c r="B564" s="5" t="s">
        <v>1016</v>
      </c>
      <c r="C564" s="5">
        <v>1</v>
      </c>
      <c r="D564" s="5" t="s">
        <v>10</v>
      </c>
      <c r="E564" t="s">
        <v>1017</v>
      </c>
      <c r="F564" t="s">
        <v>1018</v>
      </c>
      <c r="G564">
        <v>0</v>
      </c>
      <c r="H564" t="s">
        <v>1020</v>
      </c>
      <c r="I564" s="2">
        <v>27000</v>
      </c>
    </row>
    <row r="565" spans="1:9" x14ac:dyDescent="0.3">
      <c r="A565" s="5">
        <v>9804</v>
      </c>
      <c r="B565" s="5" t="s">
        <v>1016</v>
      </c>
      <c r="C565" s="5">
        <v>1</v>
      </c>
      <c r="D565" s="5" t="s">
        <v>10</v>
      </c>
      <c r="E565" t="s">
        <v>1017</v>
      </c>
      <c r="F565" t="s">
        <v>1018</v>
      </c>
      <c r="G565">
        <v>0</v>
      </c>
      <c r="H565" t="s">
        <v>1021</v>
      </c>
      <c r="I565" s="2">
        <v>11000</v>
      </c>
    </row>
    <row r="566" spans="1:9" x14ac:dyDescent="0.3">
      <c r="A566" s="5">
        <v>9803</v>
      </c>
      <c r="B566" s="5" t="s">
        <v>1022</v>
      </c>
      <c r="C566" s="5">
        <v>1</v>
      </c>
      <c r="D566" s="5" t="s">
        <v>10</v>
      </c>
      <c r="E566" t="s">
        <v>1023</v>
      </c>
      <c r="G566">
        <v>0</v>
      </c>
      <c r="H566" t="s">
        <v>1024</v>
      </c>
      <c r="I566" s="2">
        <v>7000</v>
      </c>
    </row>
    <row r="567" spans="1:9" x14ac:dyDescent="0.3">
      <c r="A567" s="5">
        <v>9803</v>
      </c>
      <c r="B567" s="5" t="s">
        <v>1022</v>
      </c>
      <c r="C567" s="5">
        <v>1</v>
      </c>
      <c r="D567" s="5" t="s">
        <v>10</v>
      </c>
      <c r="E567" t="s">
        <v>1023</v>
      </c>
      <c r="G567">
        <v>0</v>
      </c>
      <c r="H567" t="s">
        <v>19</v>
      </c>
      <c r="I567" s="2">
        <v>7000</v>
      </c>
    </row>
    <row r="568" spans="1:9" x14ac:dyDescent="0.3">
      <c r="A568" s="5">
        <v>9803</v>
      </c>
      <c r="B568" s="5" t="s">
        <v>1022</v>
      </c>
      <c r="C568" s="5">
        <v>1</v>
      </c>
      <c r="D568" s="5" t="s">
        <v>10</v>
      </c>
      <c r="E568" t="s">
        <v>1023</v>
      </c>
      <c r="G568">
        <v>0</v>
      </c>
      <c r="H568" t="s">
        <v>169</v>
      </c>
      <c r="I568" s="2">
        <v>6000</v>
      </c>
    </row>
    <row r="569" spans="1:9" x14ac:dyDescent="0.3">
      <c r="A569" s="5">
        <v>9802</v>
      </c>
      <c r="B569" s="5" t="s">
        <v>1025</v>
      </c>
      <c r="C569" s="5">
        <v>1</v>
      </c>
      <c r="D569" s="5" t="s">
        <v>10</v>
      </c>
      <c r="E569" t="s">
        <v>1026</v>
      </c>
      <c r="F569" t="s">
        <v>1027</v>
      </c>
      <c r="G569">
        <v>0</v>
      </c>
      <c r="H569" t="s">
        <v>1028</v>
      </c>
      <c r="I569" s="2">
        <v>48000</v>
      </c>
    </row>
    <row r="570" spans="1:9" x14ac:dyDescent="0.3">
      <c r="A570" s="5">
        <v>9802</v>
      </c>
      <c r="B570" s="5" t="s">
        <v>1025</v>
      </c>
      <c r="C570" s="5">
        <v>1</v>
      </c>
      <c r="D570" s="5" t="s">
        <v>10</v>
      </c>
      <c r="E570" t="s">
        <v>1026</v>
      </c>
      <c r="F570" t="s">
        <v>1027</v>
      </c>
      <c r="G570">
        <v>0</v>
      </c>
      <c r="H570" t="s">
        <v>1029</v>
      </c>
      <c r="I570" s="2">
        <v>45000</v>
      </c>
    </row>
    <row r="571" spans="1:9" x14ac:dyDescent="0.3">
      <c r="A571" s="5">
        <v>9801</v>
      </c>
      <c r="B571" s="5" t="s">
        <v>1030</v>
      </c>
      <c r="C571" s="5">
        <v>2</v>
      </c>
      <c r="D571" s="5" t="s">
        <v>261</v>
      </c>
      <c r="E571" t="s">
        <v>1031</v>
      </c>
      <c r="F571" t="s">
        <v>1032</v>
      </c>
      <c r="G571">
        <v>0</v>
      </c>
      <c r="H571" t="s">
        <v>265</v>
      </c>
      <c r="I571" s="2">
        <v>5500</v>
      </c>
    </row>
    <row r="572" spans="1:9" x14ac:dyDescent="0.3">
      <c r="A572" s="5">
        <v>9801</v>
      </c>
      <c r="B572" s="5" t="s">
        <v>1030</v>
      </c>
      <c r="C572" s="5">
        <v>2</v>
      </c>
      <c r="D572" s="5" t="s">
        <v>261</v>
      </c>
      <c r="E572" t="s">
        <v>1031</v>
      </c>
      <c r="F572" t="s">
        <v>1032</v>
      </c>
      <c r="G572">
        <v>0</v>
      </c>
      <c r="H572" t="s">
        <v>264</v>
      </c>
      <c r="I572" s="2">
        <v>4500</v>
      </c>
    </row>
    <row r="573" spans="1:9" x14ac:dyDescent="0.3">
      <c r="A573" s="5">
        <v>9800</v>
      </c>
      <c r="B573" s="5" t="s">
        <v>1033</v>
      </c>
      <c r="C573" s="5">
        <v>4</v>
      </c>
      <c r="D573" s="5" t="s">
        <v>39</v>
      </c>
      <c r="E573" t="s">
        <v>1034</v>
      </c>
      <c r="F573" t="s">
        <v>1035</v>
      </c>
      <c r="G573">
        <v>0</v>
      </c>
      <c r="H573" t="s">
        <v>205</v>
      </c>
      <c r="I573" s="2">
        <v>2000</v>
      </c>
    </row>
    <row r="574" spans="1:9" x14ac:dyDescent="0.3">
      <c r="A574" s="5">
        <v>9800</v>
      </c>
      <c r="B574" s="5" t="s">
        <v>1033</v>
      </c>
      <c r="C574" s="5">
        <v>4</v>
      </c>
      <c r="D574" s="5" t="s">
        <v>39</v>
      </c>
      <c r="E574" t="s">
        <v>1034</v>
      </c>
      <c r="F574" t="s">
        <v>1035</v>
      </c>
      <c r="G574">
        <v>0</v>
      </c>
      <c r="H574" t="s">
        <v>342</v>
      </c>
      <c r="I574" s="2">
        <v>2500</v>
      </c>
    </row>
    <row r="575" spans="1:9" x14ac:dyDescent="0.3">
      <c r="A575" s="5">
        <v>9799</v>
      </c>
      <c r="B575" s="5" t="s">
        <v>1036</v>
      </c>
      <c r="C575" s="5">
        <v>2</v>
      </c>
      <c r="D575" s="5" t="s">
        <v>261</v>
      </c>
      <c r="E575" t="s">
        <v>1037</v>
      </c>
      <c r="F575" t="s">
        <v>1038</v>
      </c>
      <c r="G575">
        <v>0</v>
      </c>
      <c r="H575" t="s">
        <v>641</v>
      </c>
      <c r="I575" s="2">
        <v>13000</v>
      </c>
    </row>
    <row r="576" spans="1:9" x14ac:dyDescent="0.3">
      <c r="A576" s="5">
        <v>9798</v>
      </c>
      <c r="B576" s="5" t="s">
        <v>1039</v>
      </c>
      <c r="C576" s="5">
        <v>1</v>
      </c>
      <c r="D576" s="5" t="s">
        <v>10</v>
      </c>
      <c r="E576" t="s">
        <v>1040</v>
      </c>
      <c r="F576" t="s">
        <v>1041</v>
      </c>
      <c r="G576">
        <v>0</v>
      </c>
      <c r="H576" t="s">
        <v>1042</v>
      </c>
      <c r="I576" s="2">
        <v>6000</v>
      </c>
    </row>
    <row r="577" spans="1:9" x14ac:dyDescent="0.3">
      <c r="A577" s="5">
        <v>9798</v>
      </c>
      <c r="B577" s="5" t="s">
        <v>1039</v>
      </c>
      <c r="C577" s="5">
        <v>1</v>
      </c>
      <c r="D577" s="5" t="s">
        <v>10</v>
      </c>
      <c r="E577" t="s">
        <v>1040</v>
      </c>
      <c r="F577" t="s">
        <v>1041</v>
      </c>
      <c r="G577">
        <v>0</v>
      </c>
      <c r="H577" t="s">
        <v>143</v>
      </c>
      <c r="I577" s="2">
        <v>7000</v>
      </c>
    </row>
    <row r="578" spans="1:9" x14ac:dyDescent="0.3">
      <c r="A578" s="5">
        <v>9798</v>
      </c>
      <c r="B578" s="5" t="s">
        <v>1039</v>
      </c>
      <c r="C578" s="5">
        <v>1</v>
      </c>
      <c r="D578" s="5" t="s">
        <v>10</v>
      </c>
      <c r="E578" t="s">
        <v>1040</v>
      </c>
      <c r="F578" t="s">
        <v>1041</v>
      </c>
      <c r="G578">
        <v>0</v>
      </c>
      <c r="H578" t="s">
        <v>1043</v>
      </c>
      <c r="I578" s="2">
        <v>6000</v>
      </c>
    </row>
    <row r="579" spans="1:9" x14ac:dyDescent="0.3">
      <c r="A579" s="5">
        <v>9797</v>
      </c>
      <c r="B579" s="5" t="s">
        <v>1044</v>
      </c>
      <c r="C579" s="5">
        <v>2</v>
      </c>
      <c r="D579" s="5" t="s">
        <v>261</v>
      </c>
      <c r="E579" t="s">
        <v>1045</v>
      </c>
      <c r="F579" t="s">
        <v>1046</v>
      </c>
      <c r="G579">
        <v>0</v>
      </c>
      <c r="H579" t="s">
        <v>1047</v>
      </c>
      <c r="I579" s="2">
        <v>13000</v>
      </c>
    </row>
    <row r="580" spans="1:9" x14ac:dyDescent="0.3">
      <c r="A580" s="5">
        <v>9796</v>
      </c>
      <c r="B580" s="5" t="s">
        <v>1048</v>
      </c>
      <c r="C580" s="5">
        <v>1</v>
      </c>
      <c r="D580" s="5" t="s">
        <v>10</v>
      </c>
      <c r="E580" t="s">
        <v>1037</v>
      </c>
      <c r="F580" t="s">
        <v>1049</v>
      </c>
      <c r="G580">
        <v>0</v>
      </c>
      <c r="H580" t="s">
        <v>1050</v>
      </c>
      <c r="I580" s="2">
        <v>18000</v>
      </c>
    </row>
    <row r="581" spans="1:9" x14ac:dyDescent="0.3">
      <c r="A581" s="5">
        <v>9796</v>
      </c>
      <c r="B581" s="5" t="s">
        <v>1048</v>
      </c>
      <c r="C581" s="5">
        <v>1</v>
      </c>
      <c r="D581" s="5" t="s">
        <v>10</v>
      </c>
      <c r="E581" t="s">
        <v>1037</v>
      </c>
      <c r="F581" t="s">
        <v>1049</v>
      </c>
      <c r="G581">
        <v>0</v>
      </c>
      <c r="H581" t="s">
        <v>217</v>
      </c>
      <c r="I581" s="2">
        <v>10800</v>
      </c>
    </row>
    <row r="582" spans="1:9" x14ac:dyDescent="0.3">
      <c r="A582" s="5">
        <v>9795</v>
      </c>
      <c r="B582" s="5" t="s">
        <v>1051</v>
      </c>
      <c r="C582" s="5">
        <v>2</v>
      </c>
      <c r="D582" s="5" t="s">
        <v>261</v>
      </c>
      <c r="E582" t="s">
        <v>1052</v>
      </c>
      <c r="F582" t="s">
        <v>816</v>
      </c>
      <c r="G582">
        <v>0</v>
      </c>
      <c r="H582" t="s">
        <v>264</v>
      </c>
      <c r="I582" s="2">
        <v>4000</v>
      </c>
    </row>
    <row r="583" spans="1:9" x14ac:dyDescent="0.3">
      <c r="A583" s="5">
        <v>9794</v>
      </c>
      <c r="B583" s="5" t="s">
        <v>1053</v>
      </c>
      <c r="C583" s="5">
        <v>4</v>
      </c>
      <c r="D583" s="5" t="s">
        <v>39</v>
      </c>
      <c r="E583" t="s">
        <v>1054</v>
      </c>
      <c r="F583" t="s">
        <v>1055</v>
      </c>
      <c r="G583">
        <v>0</v>
      </c>
      <c r="H583" t="s">
        <v>342</v>
      </c>
      <c r="I583" s="2">
        <v>2500</v>
      </c>
    </row>
    <row r="584" spans="1:9" x14ac:dyDescent="0.3">
      <c r="A584" s="5">
        <v>9794</v>
      </c>
      <c r="B584" s="5" t="s">
        <v>1053</v>
      </c>
      <c r="C584" s="5">
        <v>4</v>
      </c>
      <c r="D584" s="5" t="s">
        <v>39</v>
      </c>
      <c r="E584" t="s">
        <v>1054</v>
      </c>
      <c r="F584" t="s">
        <v>1055</v>
      </c>
      <c r="G584">
        <v>0</v>
      </c>
      <c r="H584" t="s">
        <v>205</v>
      </c>
      <c r="I584" s="2">
        <v>1500</v>
      </c>
    </row>
    <row r="585" spans="1:9" x14ac:dyDescent="0.3">
      <c r="A585" s="5">
        <v>9793</v>
      </c>
      <c r="B585" s="5" t="s">
        <v>1056</v>
      </c>
      <c r="C585" s="5">
        <v>1</v>
      </c>
      <c r="D585" s="5" t="s">
        <v>10</v>
      </c>
      <c r="E585" t="s">
        <v>1057</v>
      </c>
      <c r="F585" t="s">
        <v>1058</v>
      </c>
      <c r="G585">
        <v>0</v>
      </c>
      <c r="H585" t="s">
        <v>1059</v>
      </c>
      <c r="I585" s="2">
        <v>8500</v>
      </c>
    </row>
    <row r="586" spans="1:9" x14ac:dyDescent="0.3">
      <c r="A586" s="5">
        <v>9792</v>
      </c>
      <c r="B586" s="5" t="s">
        <v>1060</v>
      </c>
      <c r="C586" s="5">
        <v>1</v>
      </c>
      <c r="D586" s="5" t="s">
        <v>10</v>
      </c>
      <c r="E586" t="s">
        <v>1061</v>
      </c>
      <c r="F586" t="s">
        <v>1062</v>
      </c>
      <c r="G586">
        <v>0</v>
      </c>
      <c r="H586" t="s">
        <v>128</v>
      </c>
      <c r="I586" s="2">
        <v>8000</v>
      </c>
    </row>
    <row r="587" spans="1:9" x14ac:dyDescent="0.3">
      <c r="A587" s="5">
        <v>9792</v>
      </c>
      <c r="B587" s="5" t="s">
        <v>1060</v>
      </c>
      <c r="C587" s="5">
        <v>1</v>
      </c>
      <c r="D587" s="5" t="s">
        <v>10</v>
      </c>
      <c r="E587" t="s">
        <v>1061</v>
      </c>
      <c r="F587" t="s">
        <v>1062</v>
      </c>
      <c r="G587">
        <v>0</v>
      </c>
      <c r="H587" t="s">
        <v>127</v>
      </c>
      <c r="I587" s="2">
        <v>9000</v>
      </c>
    </row>
    <row r="588" spans="1:9" x14ac:dyDescent="0.3">
      <c r="A588" s="5">
        <v>9791</v>
      </c>
      <c r="B588" s="5" t="s">
        <v>1063</v>
      </c>
      <c r="C588" s="5">
        <v>1</v>
      </c>
      <c r="D588" s="5" t="s">
        <v>10</v>
      </c>
      <c r="E588" t="s">
        <v>1064</v>
      </c>
      <c r="F588" t="s">
        <v>1065</v>
      </c>
      <c r="G588">
        <v>0</v>
      </c>
      <c r="H588" t="s">
        <v>169</v>
      </c>
      <c r="I588" s="2">
        <v>5000</v>
      </c>
    </row>
    <row r="589" spans="1:9" x14ac:dyDescent="0.3">
      <c r="A589" s="5">
        <v>9791</v>
      </c>
      <c r="B589" s="5" t="s">
        <v>1063</v>
      </c>
      <c r="C589" s="5">
        <v>1</v>
      </c>
      <c r="D589" s="5" t="s">
        <v>10</v>
      </c>
      <c r="E589" t="s">
        <v>1064</v>
      </c>
      <c r="F589" t="s">
        <v>1065</v>
      </c>
      <c r="G589">
        <v>0</v>
      </c>
      <c r="H589" t="s">
        <v>19</v>
      </c>
      <c r="I589" s="2">
        <v>5500</v>
      </c>
    </row>
    <row r="590" spans="1:9" x14ac:dyDescent="0.3">
      <c r="A590" s="5">
        <v>9790</v>
      </c>
      <c r="B590" s="5" t="s">
        <v>1066</v>
      </c>
      <c r="C590" s="5">
        <v>3</v>
      </c>
      <c r="D590" s="5" t="s">
        <v>44</v>
      </c>
      <c r="E590" t="s">
        <v>1067</v>
      </c>
      <c r="F590" t="s">
        <v>1068</v>
      </c>
      <c r="G590">
        <v>0</v>
      </c>
      <c r="H590" t="s">
        <v>1069</v>
      </c>
      <c r="I590" s="2">
        <v>7000</v>
      </c>
    </row>
    <row r="591" spans="1:9" x14ac:dyDescent="0.3">
      <c r="A591" s="5">
        <v>9790</v>
      </c>
      <c r="B591" s="5" t="s">
        <v>1066</v>
      </c>
      <c r="C591" s="5">
        <v>3</v>
      </c>
      <c r="D591" s="5" t="s">
        <v>44</v>
      </c>
      <c r="E591" t="s">
        <v>1067</v>
      </c>
      <c r="F591" t="s">
        <v>1068</v>
      </c>
      <c r="G591">
        <v>0</v>
      </c>
      <c r="H591" t="s">
        <v>1070</v>
      </c>
      <c r="I591" s="2">
        <v>7500</v>
      </c>
    </row>
    <row r="592" spans="1:9" x14ac:dyDescent="0.3">
      <c r="A592" s="5">
        <v>9789</v>
      </c>
      <c r="B592" s="5" t="s">
        <v>1071</v>
      </c>
      <c r="C592" s="5">
        <v>5</v>
      </c>
      <c r="D592" s="5" t="s">
        <v>63</v>
      </c>
      <c r="E592" t="s">
        <v>1072</v>
      </c>
      <c r="F592" t="s">
        <v>816</v>
      </c>
      <c r="G592">
        <v>0</v>
      </c>
      <c r="H592" t="s">
        <v>67</v>
      </c>
      <c r="I592" s="2">
        <v>5000</v>
      </c>
    </row>
    <row r="593" spans="1:9" x14ac:dyDescent="0.3">
      <c r="A593" s="5">
        <v>9788</v>
      </c>
      <c r="B593" s="5" t="s">
        <v>1073</v>
      </c>
      <c r="C593" s="5">
        <v>5</v>
      </c>
      <c r="D593" s="5" t="s">
        <v>63</v>
      </c>
      <c r="E593" t="s">
        <v>1074</v>
      </c>
      <c r="G593">
        <v>0</v>
      </c>
      <c r="H593" t="s">
        <v>67</v>
      </c>
      <c r="I593" s="2">
        <v>10000</v>
      </c>
    </row>
    <row r="594" spans="1:9" x14ac:dyDescent="0.3">
      <c r="A594" s="5">
        <v>9788</v>
      </c>
      <c r="B594" s="5" t="s">
        <v>1073</v>
      </c>
      <c r="C594" s="5">
        <v>5</v>
      </c>
      <c r="D594" s="5" t="s">
        <v>63</v>
      </c>
      <c r="E594" t="s">
        <v>1074</v>
      </c>
      <c r="G594">
        <v>0</v>
      </c>
      <c r="H594" t="s">
        <v>88</v>
      </c>
      <c r="I594" s="2">
        <v>30000</v>
      </c>
    </row>
    <row r="595" spans="1:9" x14ac:dyDescent="0.3">
      <c r="A595" s="5">
        <v>9788</v>
      </c>
      <c r="B595" s="5" t="s">
        <v>1073</v>
      </c>
      <c r="C595" s="5">
        <v>5</v>
      </c>
      <c r="D595" s="5" t="s">
        <v>63</v>
      </c>
      <c r="E595" t="s">
        <v>1074</v>
      </c>
      <c r="G595">
        <v>0</v>
      </c>
      <c r="H595" t="s">
        <v>458</v>
      </c>
      <c r="I595" s="2">
        <v>25000</v>
      </c>
    </row>
    <row r="596" spans="1:9" x14ac:dyDescent="0.3">
      <c r="A596" s="5">
        <v>9787</v>
      </c>
      <c r="B596" s="5" t="s">
        <v>1075</v>
      </c>
      <c r="C596" s="5">
        <v>1</v>
      </c>
      <c r="D596" s="5" t="s">
        <v>10</v>
      </c>
      <c r="E596" t="s">
        <v>1076</v>
      </c>
      <c r="F596" t="s">
        <v>1077</v>
      </c>
      <c r="G596">
        <v>0</v>
      </c>
      <c r="H596" t="s">
        <v>259</v>
      </c>
      <c r="I596" s="2">
        <v>7000</v>
      </c>
    </row>
    <row r="597" spans="1:9" x14ac:dyDescent="0.3">
      <c r="A597" s="5">
        <v>9787</v>
      </c>
      <c r="B597" s="5" t="s">
        <v>1075</v>
      </c>
      <c r="C597" s="5">
        <v>1</v>
      </c>
      <c r="D597" s="5" t="s">
        <v>10</v>
      </c>
      <c r="E597" t="s">
        <v>1076</v>
      </c>
      <c r="F597" t="s">
        <v>1077</v>
      </c>
      <c r="G597">
        <v>0</v>
      </c>
      <c r="H597" t="s">
        <v>304</v>
      </c>
      <c r="I597" s="2">
        <v>7000</v>
      </c>
    </row>
    <row r="598" spans="1:9" x14ac:dyDescent="0.3">
      <c r="A598" s="5">
        <v>9787</v>
      </c>
      <c r="B598" s="5" t="s">
        <v>1075</v>
      </c>
      <c r="C598" s="5">
        <v>1</v>
      </c>
      <c r="D598" s="5" t="s">
        <v>10</v>
      </c>
      <c r="E598" t="s">
        <v>1076</v>
      </c>
      <c r="F598" t="s">
        <v>1077</v>
      </c>
      <c r="G598">
        <v>0</v>
      </c>
      <c r="H598" t="s">
        <v>126</v>
      </c>
      <c r="I598" s="2">
        <v>7000</v>
      </c>
    </row>
    <row r="599" spans="1:9" x14ac:dyDescent="0.3">
      <c r="A599" s="5">
        <v>9786</v>
      </c>
      <c r="B599" s="5" t="s">
        <v>1078</v>
      </c>
      <c r="C599" s="5">
        <v>1</v>
      </c>
      <c r="D599" s="5" t="s">
        <v>10</v>
      </c>
      <c r="E599" t="s">
        <v>1079</v>
      </c>
      <c r="F599" t="s">
        <v>1080</v>
      </c>
      <c r="G599">
        <v>0</v>
      </c>
      <c r="H599" t="s">
        <v>126</v>
      </c>
      <c r="I599" s="2">
        <v>7000</v>
      </c>
    </row>
    <row r="600" spans="1:9" x14ac:dyDescent="0.3">
      <c r="A600" s="5">
        <v>9786</v>
      </c>
      <c r="B600" s="5" t="s">
        <v>1078</v>
      </c>
      <c r="C600" s="5">
        <v>1</v>
      </c>
      <c r="D600" s="5" t="s">
        <v>10</v>
      </c>
      <c r="E600" t="s">
        <v>1079</v>
      </c>
      <c r="F600" t="s">
        <v>1080</v>
      </c>
      <c r="G600">
        <v>0</v>
      </c>
      <c r="H600" t="s">
        <v>1081</v>
      </c>
      <c r="I600" s="2">
        <v>8000</v>
      </c>
    </row>
    <row r="601" spans="1:9" x14ac:dyDescent="0.3">
      <c r="A601" s="5">
        <v>9786</v>
      </c>
      <c r="B601" s="5" t="s">
        <v>1078</v>
      </c>
      <c r="C601" s="5">
        <v>1</v>
      </c>
      <c r="D601" s="5" t="s">
        <v>10</v>
      </c>
      <c r="E601" t="s">
        <v>1079</v>
      </c>
      <c r="F601" t="s">
        <v>1080</v>
      </c>
      <c r="G601">
        <v>0</v>
      </c>
      <c r="H601" t="s">
        <v>1082</v>
      </c>
      <c r="I601" s="2">
        <v>7000</v>
      </c>
    </row>
    <row r="602" spans="1:9" x14ac:dyDescent="0.3">
      <c r="A602" s="5">
        <v>9785</v>
      </c>
      <c r="B602" s="5" t="s">
        <v>1083</v>
      </c>
      <c r="C602" s="5">
        <v>1</v>
      </c>
      <c r="D602" s="5" t="s">
        <v>10</v>
      </c>
      <c r="E602" t="s">
        <v>1084</v>
      </c>
      <c r="F602" t="s">
        <v>1085</v>
      </c>
      <c r="G602">
        <v>0</v>
      </c>
      <c r="H602" t="s">
        <v>126</v>
      </c>
      <c r="I602" s="2">
        <v>7000</v>
      </c>
    </row>
    <row r="603" spans="1:9" x14ac:dyDescent="0.3">
      <c r="A603" s="5">
        <v>9785</v>
      </c>
      <c r="B603" s="5" t="s">
        <v>1083</v>
      </c>
      <c r="C603" s="5">
        <v>1</v>
      </c>
      <c r="D603" s="5" t="s">
        <v>10</v>
      </c>
      <c r="E603" t="s">
        <v>1084</v>
      </c>
      <c r="F603" t="s">
        <v>1085</v>
      </c>
      <c r="G603">
        <v>0</v>
      </c>
      <c r="H603" t="s">
        <v>1086</v>
      </c>
      <c r="I603" s="2">
        <v>7000</v>
      </c>
    </row>
    <row r="604" spans="1:9" x14ac:dyDescent="0.3">
      <c r="A604" s="5">
        <v>9785</v>
      </c>
      <c r="B604" s="5" t="s">
        <v>1083</v>
      </c>
      <c r="C604" s="5">
        <v>1</v>
      </c>
      <c r="D604" s="5" t="s">
        <v>10</v>
      </c>
      <c r="E604" t="s">
        <v>1084</v>
      </c>
      <c r="F604" t="s">
        <v>1085</v>
      </c>
      <c r="G604">
        <v>0</v>
      </c>
      <c r="H604" t="s">
        <v>1087</v>
      </c>
      <c r="I604" s="2">
        <v>8000</v>
      </c>
    </row>
    <row r="605" spans="1:9" x14ac:dyDescent="0.3">
      <c r="A605" s="5">
        <v>9784</v>
      </c>
      <c r="B605" s="5" t="s">
        <v>1088</v>
      </c>
      <c r="C605" s="5">
        <v>1</v>
      </c>
      <c r="D605" s="5" t="s">
        <v>10</v>
      </c>
      <c r="E605" t="s">
        <v>1089</v>
      </c>
      <c r="F605" t="s">
        <v>1090</v>
      </c>
      <c r="G605">
        <v>0</v>
      </c>
      <c r="H605" t="s">
        <v>128</v>
      </c>
      <c r="I605" s="2">
        <v>9000</v>
      </c>
    </row>
    <row r="606" spans="1:9" x14ac:dyDescent="0.3">
      <c r="A606" s="5">
        <v>9783</v>
      </c>
      <c r="B606" s="5" t="s">
        <v>1091</v>
      </c>
      <c r="C606" s="5">
        <v>1</v>
      </c>
      <c r="D606" s="5" t="s">
        <v>10</v>
      </c>
      <c r="E606" t="s">
        <v>1092</v>
      </c>
      <c r="F606" t="s">
        <v>1093</v>
      </c>
      <c r="G606">
        <v>0</v>
      </c>
      <c r="H606" t="s">
        <v>1094</v>
      </c>
      <c r="I606" s="2">
        <v>15000</v>
      </c>
    </row>
    <row r="607" spans="1:9" x14ac:dyDescent="0.3">
      <c r="A607" s="5">
        <v>9783</v>
      </c>
      <c r="B607" s="5" t="s">
        <v>1091</v>
      </c>
      <c r="C607" s="5">
        <v>1</v>
      </c>
      <c r="D607" s="5" t="s">
        <v>10</v>
      </c>
      <c r="E607" t="s">
        <v>1092</v>
      </c>
      <c r="F607" t="s">
        <v>1093</v>
      </c>
      <c r="G607">
        <v>0</v>
      </c>
      <c r="H607" t="s">
        <v>1095</v>
      </c>
      <c r="I607" s="2">
        <v>15000</v>
      </c>
    </row>
    <row r="608" spans="1:9" x14ac:dyDescent="0.3">
      <c r="A608" s="5">
        <v>9782</v>
      </c>
      <c r="B608" s="5" t="s">
        <v>1096</v>
      </c>
      <c r="C608" s="5">
        <v>1</v>
      </c>
      <c r="D608" s="5" t="s">
        <v>10</v>
      </c>
      <c r="E608" t="s">
        <v>1097</v>
      </c>
      <c r="F608" t="s">
        <v>1098</v>
      </c>
      <c r="G608">
        <v>0</v>
      </c>
      <c r="H608" t="s">
        <v>1099</v>
      </c>
      <c r="I608" s="2">
        <v>17000</v>
      </c>
    </row>
    <row r="609" spans="1:9" x14ac:dyDescent="0.3">
      <c r="A609" s="5">
        <v>9782</v>
      </c>
      <c r="B609" s="5" t="s">
        <v>1096</v>
      </c>
      <c r="C609" s="5">
        <v>1</v>
      </c>
      <c r="D609" s="5" t="s">
        <v>10</v>
      </c>
      <c r="E609" t="s">
        <v>1097</v>
      </c>
      <c r="F609" t="s">
        <v>1098</v>
      </c>
      <c r="G609">
        <v>0</v>
      </c>
      <c r="H609" t="s">
        <v>1100</v>
      </c>
      <c r="I609" s="2">
        <v>23000</v>
      </c>
    </row>
    <row r="610" spans="1:9" x14ac:dyDescent="0.3">
      <c r="A610" s="5">
        <v>9782</v>
      </c>
      <c r="B610" s="5" t="s">
        <v>1096</v>
      </c>
      <c r="C610" s="5">
        <v>1</v>
      </c>
      <c r="D610" s="5" t="s">
        <v>10</v>
      </c>
      <c r="E610" t="s">
        <v>1097</v>
      </c>
      <c r="F610" t="s">
        <v>1098</v>
      </c>
      <c r="G610">
        <v>0</v>
      </c>
      <c r="H610" t="s">
        <v>352</v>
      </c>
      <c r="I610" s="2">
        <v>17000</v>
      </c>
    </row>
    <row r="611" spans="1:9" x14ac:dyDescent="0.3">
      <c r="A611" s="5">
        <v>9781</v>
      </c>
      <c r="B611" s="5" t="s">
        <v>1101</v>
      </c>
      <c r="C611" s="5">
        <v>5</v>
      </c>
      <c r="D611" s="5" t="s">
        <v>63</v>
      </c>
      <c r="E611" t="s">
        <v>1102</v>
      </c>
      <c r="F611" t="s">
        <v>1103</v>
      </c>
      <c r="G611">
        <v>0</v>
      </c>
      <c r="H611" t="s">
        <v>1104</v>
      </c>
      <c r="I611" s="2">
        <v>15000</v>
      </c>
    </row>
    <row r="612" spans="1:9" x14ac:dyDescent="0.3">
      <c r="A612" s="5">
        <v>9781</v>
      </c>
      <c r="B612" s="5" t="s">
        <v>1101</v>
      </c>
      <c r="C612" s="5">
        <v>5</v>
      </c>
      <c r="D612" s="5" t="s">
        <v>63</v>
      </c>
      <c r="E612" t="s">
        <v>1102</v>
      </c>
      <c r="F612" t="s">
        <v>1103</v>
      </c>
      <c r="G612">
        <v>0</v>
      </c>
      <c r="H612" t="s">
        <v>1105</v>
      </c>
      <c r="I612" s="2">
        <v>5000</v>
      </c>
    </row>
    <row r="613" spans="1:9" x14ac:dyDescent="0.3">
      <c r="A613" s="5">
        <v>9780</v>
      </c>
      <c r="B613" s="5" t="s">
        <v>1106</v>
      </c>
      <c r="C613" s="5">
        <v>1</v>
      </c>
      <c r="D613" s="5" t="s">
        <v>10</v>
      </c>
      <c r="E613" t="s">
        <v>1107</v>
      </c>
      <c r="F613" t="s">
        <v>1108</v>
      </c>
      <c r="G613">
        <v>0</v>
      </c>
      <c r="H613" t="s">
        <v>1109</v>
      </c>
      <c r="I613" s="2">
        <v>35000</v>
      </c>
    </row>
    <row r="614" spans="1:9" x14ac:dyDescent="0.3">
      <c r="A614" s="5">
        <v>9780</v>
      </c>
      <c r="B614" s="5" t="s">
        <v>1106</v>
      </c>
      <c r="C614" s="5">
        <v>1</v>
      </c>
      <c r="D614" s="5" t="s">
        <v>10</v>
      </c>
      <c r="E614" t="s">
        <v>1107</v>
      </c>
      <c r="F614" t="s">
        <v>1108</v>
      </c>
      <c r="G614">
        <v>0</v>
      </c>
      <c r="H614" t="s">
        <v>1110</v>
      </c>
      <c r="I614" s="2">
        <v>35000</v>
      </c>
    </row>
    <row r="615" spans="1:9" x14ac:dyDescent="0.3">
      <c r="A615" s="5">
        <v>9779</v>
      </c>
      <c r="B615" s="5" t="s">
        <v>1111</v>
      </c>
      <c r="C615" s="5">
        <v>5</v>
      </c>
      <c r="D615" s="5" t="s">
        <v>63</v>
      </c>
      <c r="E615" t="s">
        <v>1112</v>
      </c>
      <c r="G615">
        <v>0</v>
      </c>
      <c r="H615" t="s">
        <v>1105</v>
      </c>
      <c r="I615" s="2">
        <v>10000</v>
      </c>
    </row>
    <row r="616" spans="1:9" x14ac:dyDescent="0.3">
      <c r="A616" s="5">
        <v>9779</v>
      </c>
      <c r="B616" s="5" t="s">
        <v>1111</v>
      </c>
      <c r="C616" s="5">
        <v>5</v>
      </c>
      <c r="D616" s="5" t="s">
        <v>63</v>
      </c>
      <c r="E616" t="s">
        <v>1112</v>
      </c>
      <c r="G616">
        <v>0</v>
      </c>
      <c r="H616" t="s">
        <v>1104</v>
      </c>
      <c r="I616" s="2">
        <v>30000</v>
      </c>
    </row>
    <row r="617" spans="1:9" x14ac:dyDescent="0.3">
      <c r="A617" s="5">
        <v>9778</v>
      </c>
      <c r="B617" s="5" t="s">
        <v>1113</v>
      </c>
      <c r="C617" s="5">
        <v>2</v>
      </c>
      <c r="D617" s="5" t="s">
        <v>261</v>
      </c>
      <c r="E617" t="s">
        <v>1114</v>
      </c>
      <c r="F617" t="s">
        <v>1115</v>
      </c>
      <c r="G617">
        <v>0</v>
      </c>
      <c r="H617" t="s">
        <v>265</v>
      </c>
      <c r="I617" s="2">
        <v>5000</v>
      </c>
    </row>
    <row r="618" spans="1:9" x14ac:dyDescent="0.3">
      <c r="A618" s="5">
        <v>9778</v>
      </c>
      <c r="B618" s="5" t="s">
        <v>1113</v>
      </c>
      <c r="C618" s="5">
        <v>2</v>
      </c>
      <c r="D618" s="5" t="s">
        <v>261</v>
      </c>
      <c r="E618" t="s">
        <v>1114</v>
      </c>
      <c r="F618" t="s">
        <v>1115</v>
      </c>
      <c r="G618">
        <v>0</v>
      </c>
      <c r="H618" t="s">
        <v>1116</v>
      </c>
      <c r="I618" s="2">
        <v>10000</v>
      </c>
    </row>
    <row r="619" spans="1:9" x14ac:dyDescent="0.3">
      <c r="A619" s="5">
        <v>9778</v>
      </c>
      <c r="B619" s="5" t="s">
        <v>1113</v>
      </c>
      <c r="C619" s="5">
        <v>2</v>
      </c>
      <c r="D619" s="5" t="s">
        <v>261</v>
      </c>
      <c r="E619" t="s">
        <v>1114</v>
      </c>
      <c r="F619" t="s">
        <v>1115</v>
      </c>
      <c r="G619">
        <v>0</v>
      </c>
      <c r="H619" t="s">
        <v>264</v>
      </c>
      <c r="I619" s="2">
        <v>4000</v>
      </c>
    </row>
    <row r="620" spans="1:9" x14ac:dyDescent="0.3">
      <c r="A620" s="5">
        <v>9777</v>
      </c>
      <c r="B620" s="5" t="s">
        <v>1117</v>
      </c>
      <c r="C620" s="5">
        <v>5</v>
      </c>
      <c r="D620" s="5" t="s">
        <v>63</v>
      </c>
      <c r="E620" t="s">
        <v>1118</v>
      </c>
      <c r="F620" t="s">
        <v>1119</v>
      </c>
      <c r="G620">
        <v>0</v>
      </c>
      <c r="H620" t="s">
        <v>67</v>
      </c>
      <c r="I620" s="2">
        <v>10000</v>
      </c>
    </row>
    <row r="621" spans="1:9" x14ac:dyDescent="0.3">
      <c r="A621" s="5">
        <v>9776</v>
      </c>
      <c r="B621" s="5" t="s">
        <v>1120</v>
      </c>
      <c r="C621" s="5">
        <v>1</v>
      </c>
      <c r="D621" s="5" t="s">
        <v>10</v>
      </c>
      <c r="E621" t="s">
        <v>1121</v>
      </c>
      <c r="F621" t="s">
        <v>1122</v>
      </c>
      <c r="G621">
        <v>0</v>
      </c>
      <c r="H621" t="s">
        <v>139</v>
      </c>
      <c r="I621" s="2">
        <v>5500</v>
      </c>
    </row>
    <row r="622" spans="1:9" x14ac:dyDescent="0.3">
      <c r="A622" s="5">
        <v>9776</v>
      </c>
      <c r="B622" s="5" t="s">
        <v>1120</v>
      </c>
      <c r="C622" s="5">
        <v>1</v>
      </c>
      <c r="D622" s="5" t="s">
        <v>10</v>
      </c>
      <c r="E622" t="s">
        <v>1121</v>
      </c>
      <c r="F622" t="s">
        <v>1122</v>
      </c>
      <c r="G622">
        <v>0</v>
      </c>
      <c r="H622" t="s">
        <v>126</v>
      </c>
      <c r="I622" s="2">
        <v>5500</v>
      </c>
    </row>
    <row r="623" spans="1:9" x14ac:dyDescent="0.3">
      <c r="A623" s="5">
        <v>9776</v>
      </c>
      <c r="B623" s="5" t="s">
        <v>1120</v>
      </c>
      <c r="C623" s="5">
        <v>1</v>
      </c>
      <c r="D623" s="5" t="s">
        <v>10</v>
      </c>
      <c r="E623" t="s">
        <v>1121</v>
      </c>
      <c r="F623" t="s">
        <v>1122</v>
      </c>
      <c r="G623">
        <v>0</v>
      </c>
      <c r="H623" t="s">
        <v>879</v>
      </c>
      <c r="I623" s="2">
        <v>6000</v>
      </c>
    </row>
    <row r="624" spans="1:9" x14ac:dyDescent="0.3">
      <c r="A624" s="5">
        <v>9775</v>
      </c>
      <c r="B624" s="5" t="s">
        <v>1123</v>
      </c>
      <c r="C624" s="5">
        <v>1</v>
      </c>
      <c r="D624" s="5" t="s">
        <v>10</v>
      </c>
      <c r="E624" t="s">
        <v>1124</v>
      </c>
      <c r="F624" t="s">
        <v>1125</v>
      </c>
      <c r="G624">
        <v>0</v>
      </c>
      <c r="H624" t="s">
        <v>126</v>
      </c>
      <c r="I624" s="2">
        <v>5500</v>
      </c>
    </row>
    <row r="625" spans="1:9" x14ac:dyDescent="0.3">
      <c r="A625" s="5">
        <v>9775</v>
      </c>
      <c r="B625" s="5" t="s">
        <v>1123</v>
      </c>
      <c r="C625" s="5">
        <v>1</v>
      </c>
      <c r="D625" s="5" t="s">
        <v>10</v>
      </c>
      <c r="E625" t="s">
        <v>1124</v>
      </c>
      <c r="F625" t="s">
        <v>1125</v>
      </c>
      <c r="G625">
        <v>0</v>
      </c>
      <c r="H625" t="s">
        <v>217</v>
      </c>
      <c r="I625" s="2">
        <v>12900</v>
      </c>
    </row>
    <row r="626" spans="1:9" x14ac:dyDescent="0.3">
      <c r="A626" s="5">
        <v>9775</v>
      </c>
      <c r="B626" s="5" t="s">
        <v>1123</v>
      </c>
      <c r="C626" s="5">
        <v>1</v>
      </c>
      <c r="D626" s="5" t="s">
        <v>10</v>
      </c>
      <c r="E626" t="s">
        <v>1124</v>
      </c>
      <c r="F626" t="s">
        <v>1125</v>
      </c>
      <c r="G626">
        <v>0</v>
      </c>
      <c r="H626" t="s">
        <v>259</v>
      </c>
      <c r="I626" s="2">
        <v>6000</v>
      </c>
    </row>
    <row r="627" spans="1:9" x14ac:dyDescent="0.3">
      <c r="A627" s="5">
        <v>9774</v>
      </c>
      <c r="B627" s="5" t="s">
        <v>1126</v>
      </c>
      <c r="C627" s="5">
        <v>1</v>
      </c>
      <c r="D627" s="5" t="s">
        <v>10</v>
      </c>
      <c r="E627" t="s">
        <v>1127</v>
      </c>
      <c r="F627" t="s">
        <v>1128</v>
      </c>
      <c r="G627">
        <v>0</v>
      </c>
      <c r="H627" t="s">
        <v>1042</v>
      </c>
      <c r="I627" s="2">
        <v>5000</v>
      </c>
    </row>
    <row r="628" spans="1:9" x14ac:dyDescent="0.3">
      <c r="A628" s="5">
        <v>9774</v>
      </c>
      <c r="B628" s="5" t="s">
        <v>1126</v>
      </c>
      <c r="C628" s="5">
        <v>1</v>
      </c>
      <c r="D628" s="5" t="s">
        <v>10</v>
      </c>
      <c r="E628" t="s">
        <v>1127</v>
      </c>
      <c r="F628" t="s">
        <v>1128</v>
      </c>
      <c r="G628">
        <v>0</v>
      </c>
      <c r="H628" t="s">
        <v>1043</v>
      </c>
      <c r="I628" s="2">
        <v>5000</v>
      </c>
    </row>
    <row r="629" spans="1:9" x14ac:dyDescent="0.3">
      <c r="A629" s="5">
        <v>9774</v>
      </c>
      <c r="B629" s="5" t="s">
        <v>1126</v>
      </c>
      <c r="C629" s="5">
        <v>1</v>
      </c>
      <c r="D629" s="5" t="s">
        <v>10</v>
      </c>
      <c r="E629" t="s">
        <v>1127</v>
      </c>
      <c r="F629" t="s">
        <v>1128</v>
      </c>
      <c r="G629">
        <v>0</v>
      </c>
      <c r="H629" t="s">
        <v>646</v>
      </c>
      <c r="I629" s="2">
        <v>4500</v>
      </c>
    </row>
    <row r="630" spans="1:9" x14ac:dyDescent="0.3">
      <c r="A630" s="5">
        <v>9773</v>
      </c>
      <c r="B630" s="5" t="s">
        <v>1129</v>
      </c>
      <c r="C630" s="5">
        <v>5</v>
      </c>
      <c r="D630" s="5" t="s">
        <v>63</v>
      </c>
      <c r="E630" t="s">
        <v>1130</v>
      </c>
      <c r="G630">
        <v>0</v>
      </c>
      <c r="H630" t="s">
        <v>67</v>
      </c>
      <c r="I630" s="2">
        <v>7000</v>
      </c>
    </row>
    <row r="631" spans="1:9" x14ac:dyDescent="0.3">
      <c r="A631" s="5">
        <v>9772</v>
      </c>
      <c r="B631" s="5" t="s">
        <v>1131</v>
      </c>
      <c r="C631" s="5">
        <v>3</v>
      </c>
      <c r="D631" s="5" t="s">
        <v>44</v>
      </c>
      <c r="E631" t="s">
        <v>1132</v>
      </c>
      <c r="F631" t="s">
        <v>1133</v>
      </c>
      <c r="G631">
        <v>0</v>
      </c>
      <c r="H631" t="s">
        <v>1134</v>
      </c>
      <c r="I631" s="2">
        <v>14200</v>
      </c>
    </row>
    <row r="632" spans="1:9" x14ac:dyDescent="0.3">
      <c r="A632" s="5">
        <v>9772</v>
      </c>
      <c r="B632" s="5" t="s">
        <v>1131</v>
      </c>
      <c r="C632" s="5">
        <v>3</v>
      </c>
      <c r="D632" s="5" t="s">
        <v>44</v>
      </c>
      <c r="E632" t="s">
        <v>1132</v>
      </c>
      <c r="F632" t="s">
        <v>1133</v>
      </c>
      <c r="G632">
        <v>0</v>
      </c>
      <c r="H632" t="s">
        <v>1135</v>
      </c>
      <c r="I632" s="2">
        <v>18200</v>
      </c>
    </row>
    <row r="633" spans="1:9" x14ac:dyDescent="0.3">
      <c r="A633" s="5">
        <v>9771</v>
      </c>
      <c r="B633" s="5" t="s">
        <v>1136</v>
      </c>
      <c r="C633" s="5">
        <v>2</v>
      </c>
      <c r="D633" s="5" t="s">
        <v>261</v>
      </c>
      <c r="E633" t="s">
        <v>1137</v>
      </c>
      <c r="F633" t="s">
        <v>1138</v>
      </c>
      <c r="G633">
        <v>0</v>
      </c>
      <c r="H633" t="s">
        <v>1139</v>
      </c>
      <c r="I633" s="2">
        <v>5500</v>
      </c>
    </row>
    <row r="634" spans="1:9" x14ac:dyDescent="0.3">
      <c r="A634" s="5">
        <v>9771</v>
      </c>
      <c r="B634" s="5" t="s">
        <v>1136</v>
      </c>
      <c r="C634" s="5">
        <v>2</v>
      </c>
      <c r="D634" s="5" t="s">
        <v>261</v>
      </c>
      <c r="E634" t="s">
        <v>1137</v>
      </c>
      <c r="F634" t="s">
        <v>1138</v>
      </c>
      <c r="G634">
        <v>0</v>
      </c>
      <c r="H634" t="s">
        <v>1140</v>
      </c>
      <c r="I634" s="2">
        <v>4500</v>
      </c>
    </row>
    <row r="635" spans="1:9" x14ac:dyDescent="0.3">
      <c r="A635" s="5">
        <v>9770</v>
      </c>
      <c r="B635" s="5" t="s">
        <v>1141</v>
      </c>
      <c r="C635" s="5">
        <v>3</v>
      </c>
      <c r="D635" s="5" t="s">
        <v>44</v>
      </c>
      <c r="E635" t="s">
        <v>1142</v>
      </c>
      <c r="F635" t="s">
        <v>1143</v>
      </c>
      <c r="G635">
        <v>0</v>
      </c>
      <c r="H635" t="s">
        <v>1144</v>
      </c>
      <c r="I635" s="2">
        <v>10000</v>
      </c>
    </row>
    <row r="636" spans="1:9" x14ac:dyDescent="0.3">
      <c r="A636" s="5">
        <v>9770</v>
      </c>
      <c r="B636" s="5" t="s">
        <v>1141</v>
      </c>
      <c r="C636" s="5">
        <v>3</v>
      </c>
      <c r="D636" s="5" t="s">
        <v>44</v>
      </c>
      <c r="E636" t="s">
        <v>1142</v>
      </c>
      <c r="F636" t="s">
        <v>1143</v>
      </c>
      <c r="G636">
        <v>0</v>
      </c>
      <c r="H636" t="s">
        <v>1145</v>
      </c>
      <c r="I636" s="2">
        <v>8000</v>
      </c>
    </row>
    <row r="637" spans="1:9" x14ac:dyDescent="0.3">
      <c r="A637" s="5">
        <v>9769</v>
      </c>
      <c r="B637" s="5" t="s">
        <v>1146</v>
      </c>
      <c r="C637" s="5">
        <v>3</v>
      </c>
      <c r="D637" s="5" t="s">
        <v>44</v>
      </c>
      <c r="E637" t="s">
        <v>1147</v>
      </c>
      <c r="F637" t="s">
        <v>1148</v>
      </c>
      <c r="G637">
        <v>0</v>
      </c>
      <c r="H637" t="s">
        <v>128</v>
      </c>
      <c r="I637" s="2">
        <v>8000</v>
      </c>
    </row>
    <row r="638" spans="1:9" x14ac:dyDescent="0.3">
      <c r="A638" s="5">
        <v>9768</v>
      </c>
      <c r="B638" s="5" t="s">
        <v>1149</v>
      </c>
      <c r="C638" s="5">
        <v>1</v>
      </c>
      <c r="D638" s="5" t="s">
        <v>10</v>
      </c>
      <c r="E638" t="s">
        <v>1150</v>
      </c>
      <c r="F638" t="s">
        <v>1148</v>
      </c>
      <c r="G638">
        <v>0</v>
      </c>
      <c r="H638" t="s">
        <v>1151</v>
      </c>
      <c r="I638" s="2">
        <v>6500</v>
      </c>
    </row>
    <row r="639" spans="1:9" x14ac:dyDescent="0.3">
      <c r="A639" s="5">
        <v>9768</v>
      </c>
      <c r="B639" s="5" t="s">
        <v>1149</v>
      </c>
      <c r="C639" s="5">
        <v>1</v>
      </c>
      <c r="D639" s="5" t="s">
        <v>10</v>
      </c>
      <c r="E639" t="s">
        <v>1150</v>
      </c>
      <c r="F639" t="s">
        <v>1148</v>
      </c>
      <c r="G639">
        <v>0</v>
      </c>
      <c r="H639" t="s">
        <v>133</v>
      </c>
      <c r="I639" s="2">
        <v>7000</v>
      </c>
    </row>
    <row r="640" spans="1:9" x14ac:dyDescent="0.3">
      <c r="A640" s="5">
        <v>9768</v>
      </c>
      <c r="B640" s="5" t="s">
        <v>1149</v>
      </c>
      <c r="C640" s="5">
        <v>1</v>
      </c>
      <c r="D640" s="5" t="s">
        <v>10</v>
      </c>
      <c r="E640" t="s">
        <v>1150</v>
      </c>
      <c r="F640" t="s">
        <v>1148</v>
      </c>
      <c r="G640">
        <v>0</v>
      </c>
      <c r="H640" t="s">
        <v>128</v>
      </c>
      <c r="I640" s="2">
        <v>8000</v>
      </c>
    </row>
    <row r="641" spans="1:9" x14ac:dyDescent="0.3">
      <c r="A641" s="5">
        <v>9767</v>
      </c>
      <c r="B641" s="5" t="s">
        <v>1152</v>
      </c>
      <c r="C641" s="5">
        <v>3</v>
      </c>
      <c r="D641" s="5" t="s">
        <v>44</v>
      </c>
      <c r="E641" t="s">
        <v>1153</v>
      </c>
      <c r="F641" t="s">
        <v>1154</v>
      </c>
      <c r="G641">
        <v>0</v>
      </c>
      <c r="H641" t="s">
        <v>1155</v>
      </c>
      <c r="I641" s="2">
        <v>7500</v>
      </c>
    </row>
    <row r="642" spans="1:9" x14ac:dyDescent="0.3">
      <c r="A642" s="5">
        <v>9767</v>
      </c>
      <c r="B642" s="5" t="s">
        <v>1152</v>
      </c>
      <c r="C642" s="5">
        <v>3</v>
      </c>
      <c r="D642" s="5" t="s">
        <v>44</v>
      </c>
      <c r="E642" t="s">
        <v>1153</v>
      </c>
      <c r="F642" t="s">
        <v>1154</v>
      </c>
      <c r="G642">
        <v>0</v>
      </c>
      <c r="H642" t="s">
        <v>1156</v>
      </c>
      <c r="I642" s="2">
        <v>7000</v>
      </c>
    </row>
    <row r="643" spans="1:9" x14ac:dyDescent="0.3">
      <c r="A643" s="5">
        <v>9766</v>
      </c>
      <c r="B643" s="5" t="s">
        <v>1157</v>
      </c>
      <c r="C643" s="5">
        <v>1</v>
      </c>
      <c r="D643" s="5" t="s">
        <v>10</v>
      </c>
      <c r="E643" t="s">
        <v>1158</v>
      </c>
      <c r="F643" t="s">
        <v>1159</v>
      </c>
      <c r="G643">
        <v>0</v>
      </c>
      <c r="H643" t="s">
        <v>1157</v>
      </c>
      <c r="I643" s="2">
        <v>2000</v>
      </c>
    </row>
    <row r="644" spans="1:9" x14ac:dyDescent="0.3">
      <c r="A644" s="5">
        <v>9766</v>
      </c>
      <c r="B644" s="5" t="s">
        <v>1157</v>
      </c>
      <c r="C644" s="5">
        <v>1</v>
      </c>
      <c r="D644" s="5" t="s">
        <v>10</v>
      </c>
      <c r="E644" t="s">
        <v>1158</v>
      </c>
      <c r="F644" t="s">
        <v>1159</v>
      </c>
      <c r="G644">
        <v>0</v>
      </c>
      <c r="H644" t="s">
        <v>368</v>
      </c>
      <c r="I644" s="2">
        <v>4000</v>
      </c>
    </row>
    <row r="645" spans="1:9" x14ac:dyDescent="0.3">
      <c r="A645" s="5">
        <v>9766</v>
      </c>
      <c r="B645" s="5" t="s">
        <v>1157</v>
      </c>
      <c r="C645" s="5">
        <v>1</v>
      </c>
      <c r="D645" s="5" t="s">
        <v>10</v>
      </c>
      <c r="E645" t="s">
        <v>1158</v>
      </c>
      <c r="F645" t="s">
        <v>1159</v>
      </c>
      <c r="G645">
        <v>0</v>
      </c>
      <c r="H645" t="s">
        <v>1160</v>
      </c>
      <c r="I645" s="2">
        <v>3000</v>
      </c>
    </row>
    <row r="646" spans="1:9" x14ac:dyDescent="0.3">
      <c r="A646" s="5">
        <v>9766</v>
      </c>
      <c r="B646" s="5" t="s">
        <v>1157</v>
      </c>
      <c r="C646" s="5">
        <v>1</v>
      </c>
      <c r="D646" s="5" t="s">
        <v>10</v>
      </c>
      <c r="E646" t="s">
        <v>1158</v>
      </c>
      <c r="F646" t="s">
        <v>1159</v>
      </c>
      <c r="G646">
        <v>0</v>
      </c>
      <c r="H646" t="s">
        <v>592</v>
      </c>
      <c r="I646" s="2">
        <v>3500</v>
      </c>
    </row>
    <row r="647" spans="1:9" x14ac:dyDescent="0.3">
      <c r="A647" s="5">
        <v>9765</v>
      </c>
      <c r="B647" s="5" t="s">
        <v>1161</v>
      </c>
      <c r="C647" s="5">
        <v>4</v>
      </c>
      <c r="D647" s="5" t="s">
        <v>39</v>
      </c>
      <c r="E647" t="s">
        <v>1162</v>
      </c>
      <c r="F647" t="s">
        <v>1163</v>
      </c>
      <c r="G647">
        <v>0</v>
      </c>
      <c r="H647" t="s">
        <v>1164</v>
      </c>
      <c r="I647" s="2">
        <v>1500</v>
      </c>
    </row>
    <row r="648" spans="1:9" x14ac:dyDescent="0.3">
      <c r="A648" s="5">
        <v>9765</v>
      </c>
      <c r="B648" s="5" t="s">
        <v>1161</v>
      </c>
      <c r="C648" s="5">
        <v>4</v>
      </c>
      <c r="D648" s="5" t="s">
        <v>39</v>
      </c>
      <c r="E648" t="s">
        <v>1162</v>
      </c>
      <c r="F648" t="s">
        <v>1163</v>
      </c>
      <c r="G648">
        <v>0</v>
      </c>
      <c r="H648" t="s">
        <v>1011</v>
      </c>
      <c r="I648" s="2">
        <v>1500</v>
      </c>
    </row>
    <row r="649" spans="1:9" x14ac:dyDescent="0.3">
      <c r="A649" s="5">
        <v>9765</v>
      </c>
      <c r="B649" s="5" t="s">
        <v>1161</v>
      </c>
      <c r="C649" s="5">
        <v>4</v>
      </c>
      <c r="D649" s="5" t="s">
        <v>39</v>
      </c>
      <c r="E649" t="s">
        <v>1162</v>
      </c>
      <c r="F649" t="s">
        <v>1163</v>
      </c>
      <c r="G649">
        <v>0</v>
      </c>
      <c r="H649" t="s">
        <v>1165</v>
      </c>
      <c r="I649" s="2">
        <v>2000</v>
      </c>
    </row>
    <row r="650" spans="1:9" x14ac:dyDescent="0.3">
      <c r="A650" s="5">
        <v>9765</v>
      </c>
      <c r="B650" s="5" t="s">
        <v>1161</v>
      </c>
      <c r="C650" s="5">
        <v>4</v>
      </c>
      <c r="D650" s="5" t="s">
        <v>39</v>
      </c>
      <c r="E650" t="s">
        <v>1162</v>
      </c>
      <c r="F650" t="s">
        <v>1163</v>
      </c>
      <c r="G650">
        <v>0</v>
      </c>
      <c r="H650" t="s">
        <v>1166</v>
      </c>
      <c r="I650" s="2">
        <v>2000</v>
      </c>
    </row>
    <row r="651" spans="1:9" x14ac:dyDescent="0.3">
      <c r="A651" s="5">
        <v>9764</v>
      </c>
      <c r="B651" s="5" t="s">
        <v>1167</v>
      </c>
      <c r="C651" s="5">
        <v>1</v>
      </c>
      <c r="D651" s="5" t="s">
        <v>10</v>
      </c>
      <c r="E651" t="s">
        <v>1168</v>
      </c>
      <c r="F651" t="s">
        <v>1169</v>
      </c>
      <c r="G651">
        <v>0</v>
      </c>
      <c r="H651" t="s">
        <v>1170</v>
      </c>
      <c r="I651" s="2">
        <v>24500</v>
      </c>
    </row>
    <row r="652" spans="1:9" x14ac:dyDescent="0.3">
      <c r="A652" s="5">
        <v>9763</v>
      </c>
      <c r="B652" s="5" t="s">
        <v>1171</v>
      </c>
      <c r="C652" s="5">
        <v>1</v>
      </c>
      <c r="D652" s="5" t="s">
        <v>10</v>
      </c>
      <c r="E652" t="s">
        <v>1172</v>
      </c>
      <c r="F652" t="s">
        <v>816</v>
      </c>
      <c r="G652">
        <v>0</v>
      </c>
      <c r="H652" t="s">
        <v>801</v>
      </c>
      <c r="I652" s="2">
        <v>4000</v>
      </c>
    </row>
    <row r="653" spans="1:9" x14ac:dyDescent="0.3">
      <c r="A653" s="5">
        <v>9763</v>
      </c>
      <c r="B653" s="5" t="s">
        <v>1171</v>
      </c>
      <c r="C653" s="5">
        <v>1</v>
      </c>
      <c r="D653" s="5" t="s">
        <v>10</v>
      </c>
      <c r="E653" t="s">
        <v>1172</v>
      </c>
      <c r="F653" t="s">
        <v>816</v>
      </c>
      <c r="G653">
        <v>0</v>
      </c>
      <c r="H653" t="s">
        <v>258</v>
      </c>
      <c r="I653" s="2">
        <v>2500</v>
      </c>
    </row>
    <row r="654" spans="1:9" x14ac:dyDescent="0.3">
      <c r="A654" s="5">
        <v>9762</v>
      </c>
      <c r="B654" s="5" t="s">
        <v>1173</v>
      </c>
      <c r="C654" s="5">
        <v>1</v>
      </c>
      <c r="D654" s="5" t="s">
        <v>10</v>
      </c>
      <c r="E654" t="s">
        <v>1174</v>
      </c>
      <c r="F654" t="s">
        <v>1175</v>
      </c>
      <c r="G654">
        <v>0</v>
      </c>
      <c r="H654" t="s">
        <v>19</v>
      </c>
      <c r="I654" s="2">
        <v>6000</v>
      </c>
    </row>
    <row r="655" spans="1:9" x14ac:dyDescent="0.3">
      <c r="A655" s="5">
        <v>9762</v>
      </c>
      <c r="B655" s="5" t="s">
        <v>1173</v>
      </c>
      <c r="C655" s="5">
        <v>1</v>
      </c>
      <c r="D655" s="5" t="s">
        <v>10</v>
      </c>
      <c r="E655" t="s">
        <v>1174</v>
      </c>
      <c r="F655" t="s">
        <v>1175</v>
      </c>
      <c r="G655">
        <v>0</v>
      </c>
      <c r="H655" t="s">
        <v>175</v>
      </c>
      <c r="I655" s="2">
        <v>6000</v>
      </c>
    </row>
    <row r="656" spans="1:9" x14ac:dyDescent="0.3">
      <c r="A656" s="5">
        <v>9761</v>
      </c>
      <c r="B656" s="5" t="s">
        <v>1176</v>
      </c>
      <c r="C656" s="5">
        <v>1</v>
      </c>
      <c r="D656" s="5" t="s">
        <v>10</v>
      </c>
      <c r="E656" t="s">
        <v>1177</v>
      </c>
      <c r="F656" t="s">
        <v>1178</v>
      </c>
      <c r="G656">
        <v>0</v>
      </c>
      <c r="H656" t="s">
        <v>374</v>
      </c>
      <c r="I656" s="2">
        <v>2000</v>
      </c>
    </row>
    <row r="657" spans="1:9" x14ac:dyDescent="0.3">
      <c r="A657" s="5">
        <v>9761</v>
      </c>
      <c r="B657" s="5" t="s">
        <v>1176</v>
      </c>
      <c r="C657" s="5">
        <v>1</v>
      </c>
      <c r="D657" s="5" t="s">
        <v>10</v>
      </c>
      <c r="E657" t="s">
        <v>1177</v>
      </c>
      <c r="F657" t="s">
        <v>1178</v>
      </c>
      <c r="G657">
        <v>0</v>
      </c>
      <c r="H657" t="s">
        <v>1179</v>
      </c>
      <c r="I657" s="2">
        <v>2000</v>
      </c>
    </row>
    <row r="658" spans="1:9" x14ac:dyDescent="0.3">
      <c r="A658" s="5">
        <v>9760</v>
      </c>
      <c r="B658" s="5" t="s">
        <v>1180</v>
      </c>
      <c r="C658" s="5">
        <v>13</v>
      </c>
      <c r="D658" s="5" t="s">
        <v>27</v>
      </c>
      <c r="E658" t="s">
        <v>1181</v>
      </c>
      <c r="F658" t="s">
        <v>1182</v>
      </c>
      <c r="G658">
        <v>0</v>
      </c>
      <c r="H658" t="s">
        <v>1183</v>
      </c>
      <c r="I658" s="2">
        <v>7000</v>
      </c>
    </row>
    <row r="659" spans="1:9" x14ac:dyDescent="0.3">
      <c r="A659" s="5">
        <v>9759</v>
      </c>
      <c r="B659" s="5" t="s">
        <v>1184</v>
      </c>
      <c r="C659" s="5">
        <v>5</v>
      </c>
      <c r="D659" s="5" t="s">
        <v>63</v>
      </c>
      <c r="E659" t="s">
        <v>1185</v>
      </c>
      <c r="F659" t="s">
        <v>1186</v>
      </c>
      <c r="G659">
        <v>0</v>
      </c>
      <c r="H659" t="s">
        <v>66</v>
      </c>
      <c r="I659" s="2">
        <v>18000</v>
      </c>
    </row>
    <row r="660" spans="1:9" x14ac:dyDescent="0.3">
      <c r="A660" s="5">
        <v>9759</v>
      </c>
      <c r="B660" s="5" t="s">
        <v>1184</v>
      </c>
      <c r="C660" s="5">
        <v>5</v>
      </c>
      <c r="D660" s="5" t="s">
        <v>63</v>
      </c>
      <c r="E660" t="s">
        <v>1185</v>
      </c>
      <c r="F660" t="s">
        <v>1186</v>
      </c>
      <c r="G660">
        <v>0</v>
      </c>
      <c r="H660" t="s">
        <v>67</v>
      </c>
      <c r="I660" s="2">
        <v>8000</v>
      </c>
    </row>
    <row r="661" spans="1:9" x14ac:dyDescent="0.3">
      <c r="A661" s="5">
        <v>9759</v>
      </c>
      <c r="B661" s="5" t="s">
        <v>1184</v>
      </c>
      <c r="C661" s="5">
        <v>5</v>
      </c>
      <c r="D661" s="5" t="s">
        <v>63</v>
      </c>
      <c r="E661" t="s">
        <v>1185</v>
      </c>
      <c r="F661" t="s">
        <v>1186</v>
      </c>
      <c r="G661">
        <v>0</v>
      </c>
      <c r="H661" t="s">
        <v>904</v>
      </c>
      <c r="I661" s="2">
        <v>4000</v>
      </c>
    </row>
    <row r="662" spans="1:9" x14ac:dyDescent="0.3">
      <c r="A662" s="5">
        <v>9758</v>
      </c>
      <c r="B662" s="5" t="s">
        <v>1187</v>
      </c>
      <c r="C662" s="5">
        <v>1</v>
      </c>
      <c r="D662" s="5" t="s">
        <v>10</v>
      </c>
      <c r="E662" t="s">
        <v>1188</v>
      </c>
      <c r="F662" t="s">
        <v>1189</v>
      </c>
      <c r="G662">
        <v>0</v>
      </c>
      <c r="H662" t="s">
        <v>126</v>
      </c>
      <c r="I662" s="2">
        <v>8500</v>
      </c>
    </row>
    <row r="663" spans="1:9" x14ac:dyDescent="0.3">
      <c r="A663" s="5">
        <v>9758</v>
      </c>
      <c r="B663" s="5" t="s">
        <v>1187</v>
      </c>
      <c r="C663" s="5">
        <v>1</v>
      </c>
      <c r="D663" s="5" t="s">
        <v>10</v>
      </c>
      <c r="E663" t="s">
        <v>1188</v>
      </c>
      <c r="F663" t="s">
        <v>1189</v>
      </c>
      <c r="G663">
        <v>0</v>
      </c>
      <c r="H663" t="s">
        <v>1190</v>
      </c>
      <c r="I663" s="2">
        <v>8000</v>
      </c>
    </row>
    <row r="664" spans="1:9" x14ac:dyDescent="0.3">
      <c r="A664" s="5">
        <v>9757</v>
      </c>
      <c r="B664" s="5" t="s">
        <v>1191</v>
      </c>
      <c r="C664" s="5">
        <v>1</v>
      </c>
      <c r="D664" s="5" t="s">
        <v>10</v>
      </c>
      <c r="E664" t="s">
        <v>1192</v>
      </c>
      <c r="G664">
        <v>0</v>
      </c>
      <c r="H664" t="s">
        <v>126</v>
      </c>
      <c r="I664" s="2">
        <v>8000</v>
      </c>
    </row>
    <row r="665" spans="1:9" x14ac:dyDescent="0.3">
      <c r="A665" s="5">
        <v>9757</v>
      </c>
      <c r="B665" s="5" t="s">
        <v>1191</v>
      </c>
      <c r="C665" s="5">
        <v>1</v>
      </c>
      <c r="D665" s="5" t="s">
        <v>10</v>
      </c>
      <c r="E665" t="s">
        <v>1192</v>
      </c>
      <c r="G665">
        <v>0</v>
      </c>
      <c r="H665" t="s">
        <v>139</v>
      </c>
      <c r="I665" s="2">
        <v>8000</v>
      </c>
    </row>
    <row r="666" spans="1:9" x14ac:dyDescent="0.3">
      <c r="A666" s="5">
        <v>9756</v>
      </c>
      <c r="B666" s="5" t="s">
        <v>1193</v>
      </c>
      <c r="C666" s="5">
        <v>1</v>
      </c>
      <c r="D666" s="5" t="s">
        <v>10</v>
      </c>
      <c r="E666" t="s">
        <v>1194</v>
      </c>
      <c r="F666" t="s">
        <v>1195</v>
      </c>
      <c r="G666">
        <v>0</v>
      </c>
      <c r="H666" t="s">
        <v>37</v>
      </c>
      <c r="I666" s="2">
        <v>7000</v>
      </c>
    </row>
    <row r="667" spans="1:9" x14ac:dyDescent="0.3">
      <c r="A667" s="5">
        <v>9756</v>
      </c>
      <c r="B667" s="5" t="s">
        <v>1193</v>
      </c>
      <c r="C667" s="5">
        <v>1</v>
      </c>
      <c r="D667" s="5" t="s">
        <v>10</v>
      </c>
      <c r="E667" t="s">
        <v>1194</v>
      </c>
      <c r="F667" t="s">
        <v>1195</v>
      </c>
      <c r="G667">
        <v>0</v>
      </c>
      <c r="H667" t="s">
        <v>1196</v>
      </c>
      <c r="I667" s="2">
        <v>9000</v>
      </c>
    </row>
    <row r="668" spans="1:9" x14ac:dyDescent="0.3">
      <c r="A668" s="5">
        <v>9756</v>
      </c>
      <c r="B668" s="5" t="s">
        <v>1193</v>
      </c>
      <c r="C668" s="5">
        <v>1</v>
      </c>
      <c r="D668" s="5" t="s">
        <v>10</v>
      </c>
      <c r="E668" t="s">
        <v>1194</v>
      </c>
      <c r="F668" t="s">
        <v>1195</v>
      </c>
      <c r="G668">
        <v>0</v>
      </c>
      <c r="H668" t="s">
        <v>1197</v>
      </c>
      <c r="I668" s="2">
        <v>7000</v>
      </c>
    </row>
    <row r="669" spans="1:9" x14ac:dyDescent="0.3">
      <c r="A669" s="5">
        <v>9755</v>
      </c>
      <c r="B669" s="5" t="s">
        <v>1198</v>
      </c>
      <c r="C669" s="5">
        <v>1</v>
      </c>
      <c r="D669" s="5" t="s">
        <v>10</v>
      </c>
      <c r="E669" t="s">
        <v>1199</v>
      </c>
      <c r="F669" t="s">
        <v>1200</v>
      </c>
      <c r="G669">
        <v>0</v>
      </c>
      <c r="H669" t="s">
        <v>128</v>
      </c>
      <c r="I669" s="2">
        <v>9000</v>
      </c>
    </row>
    <row r="670" spans="1:9" x14ac:dyDescent="0.3">
      <c r="A670" s="5">
        <v>9754</v>
      </c>
      <c r="B670" s="5" t="s">
        <v>1201</v>
      </c>
      <c r="C670" s="5">
        <v>5</v>
      </c>
      <c r="D670" s="5" t="s">
        <v>63</v>
      </c>
      <c r="E670" t="s">
        <v>1202</v>
      </c>
      <c r="F670" t="s">
        <v>1203</v>
      </c>
      <c r="G670">
        <v>0</v>
      </c>
      <c r="H670" t="s">
        <v>67</v>
      </c>
      <c r="I670" s="2">
        <v>15000</v>
      </c>
    </row>
    <row r="671" spans="1:9" x14ac:dyDescent="0.3">
      <c r="A671" s="5">
        <v>9753</v>
      </c>
      <c r="B671" s="5" t="s">
        <v>1204</v>
      </c>
      <c r="C671" s="5">
        <v>1</v>
      </c>
      <c r="D671" s="5" t="s">
        <v>10</v>
      </c>
      <c r="E671" t="s">
        <v>1205</v>
      </c>
      <c r="F671">
        <v>23074528</v>
      </c>
      <c r="G671">
        <v>0</v>
      </c>
      <c r="H671" t="s">
        <v>1206</v>
      </c>
      <c r="I671" s="2">
        <v>7000</v>
      </c>
    </row>
    <row r="672" spans="1:9" x14ac:dyDescent="0.3">
      <c r="A672" s="5">
        <v>9753</v>
      </c>
      <c r="B672" s="5" t="s">
        <v>1204</v>
      </c>
      <c r="C672" s="5">
        <v>1</v>
      </c>
      <c r="D672" s="5" t="s">
        <v>10</v>
      </c>
      <c r="E672" t="s">
        <v>1205</v>
      </c>
      <c r="F672">
        <v>23074528</v>
      </c>
      <c r="G672">
        <v>0</v>
      </c>
      <c r="H672" t="s">
        <v>57</v>
      </c>
      <c r="I672" s="2">
        <v>7000</v>
      </c>
    </row>
    <row r="673" spans="1:9" x14ac:dyDescent="0.3">
      <c r="A673" s="5">
        <v>9753</v>
      </c>
      <c r="B673" s="5" t="s">
        <v>1204</v>
      </c>
      <c r="C673" s="5">
        <v>1</v>
      </c>
      <c r="D673" s="5" t="s">
        <v>10</v>
      </c>
      <c r="E673" t="s">
        <v>1205</v>
      </c>
      <c r="F673">
        <v>23074528</v>
      </c>
      <c r="G673">
        <v>0</v>
      </c>
      <c r="H673" t="s">
        <v>236</v>
      </c>
      <c r="I673" s="2">
        <v>7000</v>
      </c>
    </row>
    <row r="674" spans="1:9" x14ac:dyDescent="0.3">
      <c r="A674" s="5">
        <v>9753</v>
      </c>
      <c r="B674" s="5" t="s">
        <v>1204</v>
      </c>
      <c r="C674" s="5">
        <v>1</v>
      </c>
      <c r="D674" s="5" t="s">
        <v>10</v>
      </c>
      <c r="E674" t="s">
        <v>1205</v>
      </c>
      <c r="F674">
        <v>23074528</v>
      </c>
      <c r="G674">
        <v>0</v>
      </c>
      <c r="H674" t="s">
        <v>126</v>
      </c>
      <c r="I674" s="2">
        <v>7000</v>
      </c>
    </row>
    <row r="675" spans="1:9" x14ac:dyDescent="0.3">
      <c r="A675" s="5">
        <v>9752</v>
      </c>
      <c r="B675" s="5" t="s">
        <v>1207</v>
      </c>
      <c r="C675" s="5">
        <v>4</v>
      </c>
      <c r="D675" s="5" t="s">
        <v>39</v>
      </c>
      <c r="E675" t="s">
        <v>1208</v>
      </c>
      <c r="F675" t="s">
        <v>1209</v>
      </c>
      <c r="G675">
        <v>0</v>
      </c>
      <c r="H675" t="s">
        <v>1210</v>
      </c>
      <c r="I675" s="2">
        <v>2500</v>
      </c>
    </row>
    <row r="676" spans="1:9" x14ac:dyDescent="0.3">
      <c r="A676" s="5">
        <v>9752</v>
      </c>
      <c r="B676" s="5" t="s">
        <v>1207</v>
      </c>
      <c r="C676" s="5">
        <v>4</v>
      </c>
      <c r="D676" s="5" t="s">
        <v>39</v>
      </c>
      <c r="E676" t="s">
        <v>1208</v>
      </c>
      <c r="F676" t="s">
        <v>1209</v>
      </c>
      <c r="G676">
        <v>0</v>
      </c>
      <c r="H676" t="s">
        <v>1211</v>
      </c>
      <c r="I676" s="2">
        <v>3300</v>
      </c>
    </row>
    <row r="677" spans="1:9" x14ac:dyDescent="0.3">
      <c r="A677" s="5">
        <v>9752</v>
      </c>
      <c r="B677" s="5" t="s">
        <v>1207</v>
      </c>
      <c r="C677" s="5">
        <v>4</v>
      </c>
      <c r="D677" s="5" t="s">
        <v>39</v>
      </c>
      <c r="E677" t="s">
        <v>1208</v>
      </c>
      <c r="F677" t="s">
        <v>1209</v>
      </c>
      <c r="G677">
        <v>0</v>
      </c>
      <c r="H677" t="s">
        <v>1212</v>
      </c>
      <c r="I677" s="2">
        <v>3800</v>
      </c>
    </row>
    <row r="678" spans="1:9" x14ac:dyDescent="0.3">
      <c r="A678" s="5">
        <v>9751</v>
      </c>
      <c r="B678" s="5" t="s">
        <v>1213</v>
      </c>
      <c r="C678" s="5">
        <v>1</v>
      </c>
      <c r="D678" s="5" t="s">
        <v>10</v>
      </c>
      <c r="E678" t="s">
        <v>1214</v>
      </c>
      <c r="F678" t="s">
        <v>1215</v>
      </c>
      <c r="G678">
        <v>0</v>
      </c>
      <c r="H678" t="s">
        <v>794</v>
      </c>
      <c r="I678" s="2">
        <v>6000</v>
      </c>
    </row>
    <row r="679" spans="1:9" x14ac:dyDescent="0.3">
      <c r="A679" s="5">
        <v>9751</v>
      </c>
      <c r="B679" s="5" t="s">
        <v>1213</v>
      </c>
      <c r="C679" s="5">
        <v>1</v>
      </c>
      <c r="D679" s="5" t="s">
        <v>10</v>
      </c>
      <c r="E679" t="s">
        <v>1214</v>
      </c>
      <c r="F679" t="s">
        <v>1215</v>
      </c>
      <c r="G679">
        <v>0</v>
      </c>
      <c r="H679" t="s">
        <v>1042</v>
      </c>
      <c r="I679" s="2">
        <v>6000</v>
      </c>
    </row>
    <row r="680" spans="1:9" x14ac:dyDescent="0.3">
      <c r="A680" s="5">
        <v>9750</v>
      </c>
      <c r="B680" s="5" t="s">
        <v>1216</v>
      </c>
      <c r="C680" s="5">
        <v>1</v>
      </c>
      <c r="D680" s="5" t="s">
        <v>10</v>
      </c>
      <c r="E680" t="s">
        <v>1217</v>
      </c>
      <c r="F680" t="s">
        <v>1218</v>
      </c>
      <c r="G680">
        <v>0</v>
      </c>
      <c r="H680" t="s">
        <v>1042</v>
      </c>
      <c r="I680" s="2">
        <v>6000</v>
      </c>
    </row>
    <row r="681" spans="1:9" x14ac:dyDescent="0.3">
      <c r="A681" s="5">
        <v>9750</v>
      </c>
      <c r="B681" s="5" t="s">
        <v>1216</v>
      </c>
      <c r="C681" s="5">
        <v>1</v>
      </c>
      <c r="D681" s="5" t="s">
        <v>10</v>
      </c>
      <c r="E681" t="s">
        <v>1217</v>
      </c>
      <c r="F681" t="s">
        <v>1218</v>
      </c>
      <c r="G681">
        <v>0</v>
      </c>
      <c r="H681" t="s">
        <v>372</v>
      </c>
      <c r="I681" s="2">
        <v>6500</v>
      </c>
    </row>
    <row r="682" spans="1:9" x14ac:dyDescent="0.3">
      <c r="A682" s="5">
        <v>9749</v>
      </c>
      <c r="B682" s="5" t="s">
        <v>1219</v>
      </c>
      <c r="C682" s="5">
        <v>4</v>
      </c>
      <c r="D682" s="5" t="s">
        <v>39</v>
      </c>
      <c r="E682" t="s">
        <v>1220</v>
      </c>
      <c r="F682" t="s">
        <v>1221</v>
      </c>
      <c r="G682">
        <v>0</v>
      </c>
      <c r="H682" t="s">
        <v>205</v>
      </c>
      <c r="I682" s="2">
        <v>2500</v>
      </c>
    </row>
    <row r="683" spans="1:9" x14ac:dyDescent="0.3">
      <c r="A683" s="5">
        <v>9749</v>
      </c>
      <c r="B683" s="5" t="s">
        <v>1219</v>
      </c>
      <c r="C683" s="5">
        <v>4</v>
      </c>
      <c r="D683" s="5" t="s">
        <v>39</v>
      </c>
      <c r="E683" t="s">
        <v>1220</v>
      </c>
      <c r="F683" t="s">
        <v>1221</v>
      </c>
      <c r="G683">
        <v>0</v>
      </c>
      <c r="H683" t="s">
        <v>342</v>
      </c>
      <c r="I683" s="2">
        <v>3800</v>
      </c>
    </row>
    <row r="684" spans="1:9" x14ac:dyDescent="0.3">
      <c r="A684" s="5">
        <v>9748</v>
      </c>
      <c r="B684" s="5" t="s">
        <v>1222</v>
      </c>
      <c r="C684" s="5">
        <v>1</v>
      </c>
      <c r="D684" s="5" t="s">
        <v>10</v>
      </c>
      <c r="E684" t="s">
        <v>1223</v>
      </c>
      <c r="F684" t="s">
        <v>1224</v>
      </c>
      <c r="G684">
        <v>0</v>
      </c>
      <c r="H684" t="s">
        <v>1225</v>
      </c>
      <c r="I684" s="2">
        <v>6900</v>
      </c>
    </row>
    <row r="685" spans="1:9" x14ac:dyDescent="0.3">
      <c r="A685" s="5">
        <v>9748</v>
      </c>
      <c r="B685" s="5" t="s">
        <v>1222</v>
      </c>
      <c r="C685" s="5">
        <v>1</v>
      </c>
      <c r="D685" s="5" t="s">
        <v>10</v>
      </c>
      <c r="E685" t="s">
        <v>1223</v>
      </c>
      <c r="F685" t="s">
        <v>1224</v>
      </c>
      <c r="G685">
        <v>0</v>
      </c>
      <c r="H685" t="s">
        <v>1226</v>
      </c>
      <c r="I685" s="2">
        <v>5900</v>
      </c>
    </row>
    <row r="686" spans="1:9" x14ac:dyDescent="0.3">
      <c r="A686" s="5">
        <v>9747</v>
      </c>
      <c r="B686" s="5" t="s">
        <v>1227</v>
      </c>
      <c r="C686" s="5">
        <v>4</v>
      </c>
      <c r="D686" s="5" t="s">
        <v>39</v>
      </c>
      <c r="E686" t="s">
        <v>1228</v>
      </c>
      <c r="G686">
        <v>0</v>
      </c>
      <c r="H686" t="s">
        <v>342</v>
      </c>
      <c r="I686" s="2">
        <v>3000</v>
      </c>
    </row>
    <row r="687" spans="1:9" x14ac:dyDescent="0.3">
      <c r="A687" s="5">
        <v>9747</v>
      </c>
      <c r="B687" s="5" t="s">
        <v>1227</v>
      </c>
      <c r="C687" s="5">
        <v>4</v>
      </c>
      <c r="D687" s="5" t="s">
        <v>39</v>
      </c>
      <c r="E687" t="s">
        <v>1228</v>
      </c>
      <c r="G687">
        <v>0</v>
      </c>
      <c r="H687" t="s">
        <v>1229</v>
      </c>
      <c r="I687" s="2">
        <v>3500</v>
      </c>
    </row>
    <row r="688" spans="1:9" x14ac:dyDescent="0.3">
      <c r="A688" s="5">
        <v>9747</v>
      </c>
      <c r="B688" s="5" t="s">
        <v>1227</v>
      </c>
      <c r="C688" s="5">
        <v>4</v>
      </c>
      <c r="D688" s="5" t="s">
        <v>39</v>
      </c>
      <c r="E688" t="s">
        <v>1228</v>
      </c>
      <c r="G688">
        <v>0</v>
      </c>
      <c r="H688" t="s">
        <v>205</v>
      </c>
      <c r="I688" s="2">
        <v>2000</v>
      </c>
    </row>
    <row r="689" spans="1:9" x14ac:dyDescent="0.3">
      <c r="A689" s="5">
        <v>9746</v>
      </c>
      <c r="B689" s="5" t="s">
        <v>1230</v>
      </c>
      <c r="C689" s="5">
        <v>1</v>
      </c>
      <c r="D689" s="5" t="s">
        <v>10</v>
      </c>
      <c r="E689" t="s">
        <v>1231</v>
      </c>
      <c r="G689">
        <v>0</v>
      </c>
      <c r="H689" t="s">
        <v>368</v>
      </c>
      <c r="I689" s="2">
        <v>7000</v>
      </c>
    </row>
    <row r="690" spans="1:9" x14ac:dyDescent="0.3">
      <c r="A690" s="5">
        <v>9746</v>
      </c>
      <c r="B690" s="5" t="s">
        <v>1230</v>
      </c>
      <c r="C690" s="5">
        <v>1</v>
      </c>
      <c r="D690" s="5" t="s">
        <v>10</v>
      </c>
      <c r="E690" t="s">
        <v>1231</v>
      </c>
      <c r="G690">
        <v>0</v>
      </c>
      <c r="H690" t="s">
        <v>1232</v>
      </c>
      <c r="I690" s="2">
        <v>7000</v>
      </c>
    </row>
    <row r="691" spans="1:9" x14ac:dyDescent="0.3">
      <c r="A691" s="5">
        <v>9746</v>
      </c>
      <c r="B691" s="5" t="s">
        <v>1230</v>
      </c>
      <c r="C691" s="5">
        <v>1</v>
      </c>
      <c r="D691" s="5" t="s">
        <v>10</v>
      </c>
      <c r="E691" t="s">
        <v>1231</v>
      </c>
      <c r="G691">
        <v>0</v>
      </c>
      <c r="H691" t="s">
        <v>217</v>
      </c>
      <c r="I691" s="2">
        <v>14000</v>
      </c>
    </row>
    <row r="692" spans="1:9" x14ac:dyDescent="0.3">
      <c r="A692" s="5">
        <v>9745</v>
      </c>
      <c r="B692" s="5" t="s">
        <v>1193</v>
      </c>
      <c r="C692" s="5">
        <v>2</v>
      </c>
      <c r="D692" s="5" t="s">
        <v>261</v>
      </c>
      <c r="E692" t="s">
        <v>1233</v>
      </c>
      <c r="G692">
        <v>0</v>
      </c>
      <c r="H692" t="s">
        <v>265</v>
      </c>
      <c r="I692" s="2">
        <v>4000</v>
      </c>
    </row>
    <row r="693" spans="1:9" x14ac:dyDescent="0.3">
      <c r="A693" s="5">
        <v>9745</v>
      </c>
      <c r="B693" s="5" t="s">
        <v>1193</v>
      </c>
      <c r="C693" s="5">
        <v>2</v>
      </c>
      <c r="D693" s="5" t="s">
        <v>261</v>
      </c>
      <c r="E693" t="s">
        <v>1233</v>
      </c>
      <c r="G693">
        <v>0</v>
      </c>
      <c r="H693" t="s">
        <v>642</v>
      </c>
      <c r="I693" s="2">
        <v>2000</v>
      </c>
    </row>
    <row r="694" spans="1:9" x14ac:dyDescent="0.3">
      <c r="A694" s="5">
        <v>9745</v>
      </c>
      <c r="B694" s="5" t="s">
        <v>1193</v>
      </c>
      <c r="C694" s="5">
        <v>2</v>
      </c>
      <c r="D694" s="5" t="s">
        <v>261</v>
      </c>
      <c r="E694" t="s">
        <v>1233</v>
      </c>
      <c r="G694">
        <v>0</v>
      </c>
      <c r="H694" t="s">
        <v>1234</v>
      </c>
      <c r="I694" s="2">
        <v>6000</v>
      </c>
    </row>
    <row r="695" spans="1:9" x14ac:dyDescent="0.3">
      <c r="A695" s="5">
        <v>9744</v>
      </c>
      <c r="B695" s="5" t="s">
        <v>1235</v>
      </c>
      <c r="C695" s="5">
        <v>5</v>
      </c>
      <c r="D695" s="5" t="s">
        <v>63</v>
      </c>
      <c r="E695" t="s">
        <v>1236</v>
      </c>
      <c r="G695">
        <v>0</v>
      </c>
      <c r="H695" t="s">
        <v>88</v>
      </c>
      <c r="I695" s="2">
        <v>35000</v>
      </c>
    </row>
    <row r="696" spans="1:9" x14ac:dyDescent="0.3">
      <c r="A696" s="5">
        <v>9744</v>
      </c>
      <c r="B696" s="5" t="s">
        <v>1235</v>
      </c>
      <c r="C696" s="5">
        <v>5</v>
      </c>
      <c r="D696" s="5" t="s">
        <v>63</v>
      </c>
      <c r="E696" t="s">
        <v>1236</v>
      </c>
      <c r="G696">
        <v>0</v>
      </c>
      <c r="H696" t="s">
        <v>67</v>
      </c>
      <c r="I696" s="2">
        <v>12000</v>
      </c>
    </row>
    <row r="697" spans="1:9" x14ac:dyDescent="0.3">
      <c r="A697" s="5">
        <v>9743</v>
      </c>
      <c r="B697" s="5" t="s">
        <v>1237</v>
      </c>
      <c r="C697" s="5">
        <v>5</v>
      </c>
      <c r="D697" s="5" t="s">
        <v>63</v>
      </c>
      <c r="E697" t="s">
        <v>1238</v>
      </c>
      <c r="F697" t="s">
        <v>1239</v>
      </c>
      <c r="G697">
        <v>0</v>
      </c>
      <c r="H697" t="s">
        <v>1240</v>
      </c>
      <c r="I697" s="2">
        <v>30000</v>
      </c>
    </row>
    <row r="698" spans="1:9" x14ac:dyDescent="0.3">
      <c r="A698" s="5">
        <v>9743</v>
      </c>
      <c r="B698" s="5" t="s">
        <v>1237</v>
      </c>
      <c r="C698" s="5">
        <v>5</v>
      </c>
      <c r="D698" s="5" t="s">
        <v>63</v>
      </c>
      <c r="E698" t="s">
        <v>1238</v>
      </c>
      <c r="F698" t="s">
        <v>1239</v>
      </c>
      <c r="G698">
        <v>0</v>
      </c>
      <c r="H698" t="s">
        <v>1241</v>
      </c>
      <c r="I698" s="2">
        <v>10000</v>
      </c>
    </row>
    <row r="699" spans="1:9" x14ac:dyDescent="0.3">
      <c r="A699" s="5">
        <v>9742</v>
      </c>
      <c r="B699" s="5" t="s">
        <v>1242</v>
      </c>
      <c r="C699" s="5">
        <v>1</v>
      </c>
      <c r="D699" s="5" t="s">
        <v>10</v>
      </c>
      <c r="E699" t="s">
        <v>1243</v>
      </c>
      <c r="G699">
        <v>0</v>
      </c>
      <c r="H699" t="s">
        <v>139</v>
      </c>
      <c r="I699" s="2">
        <v>8000</v>
      </c>
    </row>
    <row r="700" spans="1:9" x14ac:dyDescent="0.3">
      <c r="A700" s="5">
        <v>9742</v>
      </c>
      <c r="B700" s="5" t="s">
        <v>1242</v>
      </c>
      <c r="C700" s="5">
        <v>1</v>
      </c>
      <c r="D700" s="5" t="s">
        <v>10</v>
      </c>
      <c r="E700" t="s">
        <v>1243</v>
      </c>
      <c r="G700">
        <v>0</v>
      </c>
      <c r="H700" t="s">
        <v>126</v>
      </c>
      <c r="I700" s="2">
        <v>8000</v>
      </c>
    </row>
    <row r="701" spans="1:9" x14ac:dyDescent="0.3">
      <c r="A701" s="5">
        <v>9742</v>
      </c>
      <c r="B701" s="5" t="s">
        <v>1242</v>
      </c>
      <c r="C701" s="5">
        <v>1</v>
      </c>
      <c r="D701" s="5" t="s">
        <v>10</v>
      </c>
      <c r="E701" t="s">
        <v>1243</v>
      </c>
      <c r="G701">
        <v>0</v>
      </c>
      <c r="H701" t="s">
        <v>37</v>
      </c>
      <c r="I701" s="2">
        <v>8000</v>
      </c>
    </row>
    <row r="702" spans="1:9" x14ac:dyDescent="0.3">
      <c r="A702" s="5">
        <v>9741</v>
      </c>
      <c r="B702" s="5" t="s">
        <v>1244</v>
      </c>
      <c r="C702" s="5">
        <v>5</v>
      </c>
      <c r="D702" s="5" t="s">
        <v>63</v>
      </c>
      <c r="E702" t="s">
        <v>1245</v>
      </c>
      <c r="G702">
        <v>0</v>
      </c>
      <c r="H702" t="s">
        <v>66</v>
      </c>
      <c r="I702" s="2">
        <v>7000</v>
      </c>
    </row>
    <row r="703" spans="1:9" x14ac:dyDescent="0.3">
      <c r="A703" s="5">
        <v>9741</v>
      </c>
      <c r="B703" s="5" t="s">
        <v>1244</v>
      </c>
      <c r="C703" s="5">
        <v>5</v>
      </c>
      <c r="D703" s="5" t="s">
        <v>63</v>
      </c>
      <c r="E703" t="s">
        <v>1245</v>
      </c>
      <c r="G703">
        <v>0</v>
      </c>
      <c r="H703" t="s">
        <v>67</v>
      </c>
      <c r="I703" s="2">
        <v>5000</v>
      </c>
    </row>
    <row r="704" spans="1:9" x14ac:dyDescent="0.3">
      <c r="A704" s="5">
        <v>9740</v>
      </c>
      <c r="B704" s="5" t="s">
        <v>1246</v>
      </c>
      <c r="C704" s="5">
        <v>4</v>
      </c>
      <c r="D704" s="5" t="s">
        <v>39</v>
      </c>
      <c r="E704" t="s">
        <v>1247</v>
      </c>
      <c r="F704" t="s">
        <v>1248</v>
      </c>
      <c r="G704">
        <v>0</v>
      </c>
      <c r="H704" t="s">
        <v>1249</v>
      </c>
      <c r="I704" s="2">
        <v>2300</v>
      </c>
    </row>
    <row r="705" spans="1:9" x14ac:dyDescent="0.3">
      <c r="A705" s="5">
        <v>9740</v>
      </c>
      <c r="B705" s="5" t="s">
        <v>1246</v>
      </c>
      <c r="C705" s="5">
        <v>4</v>
      </c>
      <c r="D705" s="5" t="s">
        <v>39</v>
      </c>
      <c r="E705" t="s">
        <v>1247</v>
      </c>
      <c r="F705" t="s">
        <v>1248</v>
      </c>
      <c r="G705">
        <v>0</v>
      </c>
      <c r="H705" t="s">
        <v>205</v>
      </c>
      <c r="I705" s="2">
        <v>2300</v>
      </c>
    </row>
    <row r="706" spans="1:9" x14ac:dyDescent="0.3">
      <c r="A706" s="5">
        <v>9740</v>
      </c>
      <c r="B706" s="5" t="s">
        <v>1246</v>
      </c>
      <c r="C706" s="5">
        <v>4</v>
      </c>
      <c r="D706" s="5" t="s">
        <v>39</v>
      </c>
      <c r="E706" t="s">
        <v>1247</v>
      </c>
      <c r="F706" t="s">
        <v>1248</v>
      </c>
      <c r="G706">
        <v>0</v>
      </c>
      <c r="H706" t="s">
        <v>1250</v>
      </c>
      <c r="I706" s="2">
        <v>4000</v>
      </c>
    </row>
    <row r="707" spans="1:9" x14ac:dyDescent="0.3">
      <c r="A707" s="5">
        <v>9740</v>
      </c>
      <c r="B707" s="5" t="s">
        <v>1246</v>
      </c>
      <c r="C707" s="5">
        <v>4</v>
      </c>
      <c r="D707" s="5" t="s">
        <v>39</v>
      </c>
      <c r="E707" t="s">
        <v>1247</v>
      </c>
      <c r="F707" t="s">
        <v>1248</v>
      </c>
      <c r="G707">
        <v>0</v>
      </c>
      <c r="H707" t="s">
        <v>1251</v>
      </c>
      <c r="I707" s="2">
        <v>2800</v>
      </c>
    </row>
    <row r="708" spans="1:9" x14ac:dyDescent="0.3">
      <c r="A708" s="5">
        <v>9739</v>
      </c>
      <c r="B708" s="5" t="s">
        <v>1252</v>
      </c>
      <c r="C708" s="5">
        <v>1</v>
      </c>
      <c r="D708" s="5" t="s">
        <v>10</v>
      </c>
      <c r="E708" t="s">
        <v>1253</v>
      </c>
      <c r="F708" t="s">
        <v>1254</v>
      </c>
      <c r="G708">
        <v>0</v>
      </c>
      <c r="H708" t="s">
        <v>175</v>
      </c>
      <c r="I708" s="2">
        <v>6000</v>
      </c>
    </row>
    <row r="709" spans="1:9" x14ac:dyDescent="0.3">
      <c r="A709" s="5">
        <v>9739</v>
      </c>
      <c r="B709" s="5" t="s">
        <v>1252</v>
      </c>
      <c r="C709" s="5">
        <v>1</v>
      </c>
      <c r="D709" s="5" t="s">
        <v>10</v>
      </c>
      <c r="E709" t="s">
        <v>1253</v>
      </c>
      <c r="F709" t="s">
        <v>1254</v>
      </c>
      <c r="G709">
        <v>0</v>
      </c>
      <c r="H709" t="s">
        <v>947</v>
      </c>
      <c r="I709" s="2">
        <v>6000</v>
      </c>
    </row>
    <row r="710" spans="1:9" x14ac:dyDescent="0.3">
      <c r="A710" s="5">
        <v>9738</v>
      </c>
      <c r="B710" s="5" t="s">
        <v>1255</v>
      </c>
      <c r="C710" s="5">
        <v>4</v>
      </c>
      <c r="D710" s="5" t="s">
        <v>39</v>
      </c>
      <c r="E710" t="s">
        <v>1256</v>
      </c>
      <c r="G710">
        <v>0</v>
      </c>
      <c r="H710" t="s">
        <v>1257</v>
      </c>
      <c r="I710" s="2">
        <v>3000</v>
      </c>
    </row>
    <row r="711" spans="1:9" x14ac:dyDescent="0.3">
      <c r="A711" s="5">
        <v>9738</v>
      </c>
      <c r="B711" s="5" t="s">
        <v>1255</v>
      </c>
      <c r="C711" s="5">
        <v>4</v>
      </c>
      <c r="D711" s="5" t="s">
        <v>39</v>
      </c>
      <c r="E711" t="s">
        <v>1256</v>
      </c>
      <c r="G711">
        <v>0</v>
      </c>
      <c r="H711" t="s">
        <v>1258</v>
      </c>
      <c r="I711" s="2">
        <v>2500</v>
      </c>
    </row>
    <row r="712" spans="1:9" x14ac:dyDescent="0.3">
      <c r="A712" s="5">
        <v>9738</v>
      </c>
      <c r="B712" s="5" t="s">
        <v>1255</v>
      </c>
      <c r="C712" s="5">
        <v>4</v>
      </c>
      <c r="D712" s="5" t="s">
        <v>39</v>
      </c>
      <c r="E712" t="s">
        <v>1256</v>
      </c>
      <c r="G712">
        <v>0</v>
      </c>
      <c r="H712" t="s">
        <v>1259</v>
      </c>
      <c r="I712" s="2">
        <v>3000</v>
      </c>
    </row>
    <row r="713" spans="1:9" x14ac:dyDescent="0.3">
      <c r="A713" s="5">
        <v>9738</v>
      </c>
      <c r="B713" s="5" t="s">
        <v>1255</v>
      </c>
      <c r="C713" s="5">
        <v>4</v>
      </c>
      <c r="D713" s="5" t="s">
        <v>39</v>
      </c>
      <c r="E713" t="s">
        <v>1256</v>
      </c>
      <c r="G713">
        <v>0</v>
      </c>
      <c r="H713" t="s">
        <v>1260</v>
      </c>
      <c r="I713" s="2">
        <v>2000</v>
      </c>
    </row>
    <row r="714" spans="1:9" x14ac:dyDescent="0.3">
      <c r="A714" s="5">
        <v>9737</v>
      </c>
      <c r="B714" s="5" t="s">
        <v>1261</v>
      </c>
      <c r="C714" s="5">
        <v>1</v>
      </c>
      <c r="D714" s="5" t="s">
        <v>10</v>
      </c>
      <c r="E714" t="s">
        <v>1262</v>
      </c>
      <c r="F714" t="s">
        <v>1263</v>
      </c>
      <c r="G714">
        <v>0</v>
      </c>
      <c r="H714" t="s">
        <v>241</v>
      </c>
      <c r="I714" s="2">
        <v>7000</v>
      </c>
    </row>
    <row r="715" spans="1:9" x14ac:dyDescent="0.3">
      <c r="A715" s="5">
        <v>9736</v>
      </c>
      <c r="B715" s="5" t="s">
        <v>1264</v>
      </c>
      <c r="C715" s="5">
        <v>1</v>
      </c>
      <c r="D715" s="5" t="s">
        <v>10</v>
      </c>
      <c r="E715" t="s">
        <v>1265</v>
      </c>
      <c r="F715" t="s">
        <v>1266</v>
      </c>
      <c r="G715">
        <v>0</v>
      </c>
      <c r="H715" t="s">
        <v>1267</v>
      </c>
      <c r="I715" s="2">
        <v>7000</v>
      </c>
    </row>
    <row r="716" spans="1:9" x14ac:dyDescent="0.3">
      <c r="A716" s="5">
        <v>9736</v>
      </c>
      <c r="B716" s="5" t="s">
        <v>1264</v>
      </c>
      <c r="C716" s="5">
        <v>1</v>
      </c>
      <c r="D716" s="5" t="s">
        <v>10</v>
      </c>
      <c r="E716" t="s">
        <v>1265</v>
      </c>
      <c r="F716" t="s">
        <v>1266</v>
      </c>
      <c r="G716">
        <v>0</v>
      </c>
      <c r="H716" t="s">
        <v>214</v>
      </c>
      <c r="I716" s="2">
        <v>8000</v>
      </c>
    </row>
    <row r="717" spans="1:9" x14ac:dyDescent="0.3">
      <c r="A717" s="5">
        <v>9736</v>
      </c>
      <c r="B717" s="5" t="s">
        <v>1264</v>
      </c>
      <c r="C717" s="5">
        <v>1</v>
      </c>
      <c r="D717" s="5" t="s">
        <v>10</v>
      </c>
      <c r="E717" t="s">
        <v>1265</v>
      </c>
      <c r="F717" t="s">
        <v>1266</v>
      </c>
      <c r="G717">
        <v>0</v>
      </c>
      <c r="H717" t="s">
        <v>1268</v>
      </c>
      <c r="I717" s="2">
        <v>7000</v>
      </c>
    </row>
    <row r="718" spans="1:9" x14ac:dyDescent="0.3">
      <c r="A718" s="5">
        <v>9736</v>
      </c>
      <c r="B718" s="5" t="s">
        <v>1264</v>
      </c>
      <c r="C718" s="5">
        <v>1</v>
      </c>
      <c r="D718" s="5" t="s">
        <v>10</v>
      </c>
      <c r="E718" t="s">
        <v>1265</v>
      </c>
      <c r="F718" t="s">
        <v>1266</v>
      </c>
      <c r="G718">
        <v>0</v>
      </c>
      <c r="H718" t="s">
        <v>139</v>
      </c>
      <c r="I718" s="2">
        <v>6000</v>
      </c>
    </row>
    <row r="719" spans="1:9" x14ac:dyDescent="0.3">
      <c r="A719" s="5">
        <v>9736</v>
      </c>
      <c r="B719" s="5" t="s">
        <v>1264</v>
      </c>
      <c r="C719" s="5">
        <v>1</v>
      </c>
      <c r="D719" s="5" t="s">
        <v>10</v>
      </c>
      <c r="E719" t="s">
        <v>1265</v>
      </c>
      <c r="F719" t="s">
        <v>1266</v>
      </c>
      <c r="G719">
        <v>0</v>
      </c>
      <c r="H719" t="s">
        <v>1269</v>
      </c>
      <c r="I719" s="2">
        <v>7000</v>
      </c>
    </row>
    <row r="720" spans="1:9" x14ac:dyDescent="0.3">
      <c r="A720" s="5">
        <v>9736</v>
      </c>
      <c r="B720" s="5" t="s">
        <v>1264</v>
      </c>
      <c r="C720" s="5">
        <v>1</v>
      </c>
      <c r="D720" s="5" t="s">
        <v>10</v>
      </c>
      <c r="E720" t="s">
        <v>1265</v>
      </c>
      <c r="F720" t="s">
        <v>1266</v>
      </c>
      <c r="G720">
        <v>0</v>
      </c>
      <c r="H720" t="s">
        <v>149</v>
      </c>
      <c r="I720" s="2">
        <v>6000</v>
      </c>
    </row>
    <row r="721" spans="1:9" x14ac:dyDescent="0.3">
      <c r="A721" s="5">
        <v>9735</v>
      </c>
      <c r="B721" s="5" t="s">
        <v>1270</v>
      </c>
      <c r="C721" s="5">
        <v>1</v>
      </c>
      <c r="D721" s="5" t="s">
        <v>10</v>
      </c>
      <c r="E721" t="s">
        <v>1271</v>
      </c>
      <c r="F721" t="s">
        <v>1272</v>
      </c>
      <c r="G721">
        <v>0</v>
      </c>
      <c r="H721" t="s">
        <v>126</v>
      </c>
      <c r="I721" s="2">
        <v>6500</v>
      </c>
    </row>
    <row r="722" spans="1:9" x14ac:dyDescent="0.3">
      <c r="A722" s="5">
        <v>9735</v>
      </c>
      <c r="B722" s="5" t="s">
        <v>1270</v>
      </c>
      <c r="C722" s="5">
        <v>1</v>
      </c>
      <c r="D722" s="5" t="s">
        <v>10</v>
      </c>
      <c r="E722" t="s">
        <v>1271</v>
      </c>
      <c r="F722" t="s">
        <v>1272</v>
      </c>
      <c r="G722">
        <v>0</v>
      </c>
      <c r="H722" t="s">
        <v>1273</v>
      </c>
      <c r="I722" s="2">
        <v>4000</v>
      </c>
    </row>
    <row r="723" spans="1:9" x14ac:dyDescent="0.3">
      <c r="A723" s="5">
        <v>9735</v>
      </c>
      <c r="B723" s="5" t="s">
        <v>1270</v>
      </c>
      <c r="C723" s="5">
        <v>1</v>
      </c>
      <c r="D723" s="5" t="s">
        <v>10</v>
      </c>
      <c r="E723" t="s">
        <v>1271</v>
      </c>
      <c r="F723" t="s">
        <v>1272</v>
      </c>
      <c r="G723">
        <v>0</v>
      </c>
      <c r="H723" t="s">
        <v>1274</v>
      </c>
      <c r="I723" s="2">
        <v>3500</v>
      </c>
    </row>
    <row r="724" spans="1:9" x14ac:dyDescent="0.3">
      <c r="A724" s="5">
        <v>9735</v>
      </c>
      <c r="B724" s="5" t="s">
        <v>1270</v>
      </c>
      <c r="C724" s="5">
        <v>1</v>
      </c>
      <c r="D724" s="5" t="s">
        <v>10</v>
      </c>
      <c r="E724" t="s">
        <v>1271</v>
      </c>
      <c r="F724" t="s">
        <v>1272</v>
      </c>
      <c r="G724">
        <v>0</v>
      </c>
      <c r="H724" t="s">
        <v>1270</v>
      </c>
      <c r="I724" s="2">
        <v>3000</v>
      </c>
    </row>
    <row r="725" spans="1:9" x14ac:dyDescent="0.3">
      <c r="A725" s="5">
        <v>9734</v>
      </c>
      <c r="B725" s="5" t="s">
        <v>1275</v>
      </c>
      <c r="C725" s="5">
        <v>5</v>
      </c>
      <c r="D725" s="5" t="s">
        <v>63</v>
      </c>
      <c r="E725" t="s">
        <v>1276</v>
      </c>
      <c r="F725" t="s">
        <v>74</v>
      </c>
      <c r="G725">
        <v>0</v>
      </c>
      <c r="H725" t="s">
        <v>88</v>
      </c>
      <c r="I725" s="2">
        <v>30000</v>
      </c>
    </row>
    <row r="726" spans="1:9" x14ac:dyDescent="0.3">
      <c r="A726" s="5">
        <v>9734</v>
      </c>
      <c r="B726" s="5" t="s">
        <v>1275</v>
      </c>
      <c r="C726" s="5">
        <v>5</v>
      </c>
      <c r="D726" s="5" t="s">
        <v>63</v>
      </c>
      <c r="E726" t="s">
        <v>1276</v>
      </c>
      <c r="F726" t="s">
        <v>74</v>
      </c>
      <c r="G726">
        <v>0</v>
      </c>
      <c r="H726" t="s">
        <v>67</v>
      </c>
      <c r="I726" s="2">
        <v>8000</v>
      </c>
    </row>
    <row r="727" spans="1:9" x14ac:dyDescent="0.3">
      <c r="A727" s="5">
        <v>9733</v>
      </c>
      <c r="B727" s="5" t="s">
        <v>1264</v>
      </c>
      <c r="C727" s="5">
        <v>1</v>
      </c>
      <c r="D727" s="5" t="s">
        <v>10</v>
      </c>
      <c r="E727" t="s">
        <v>1265</v>
      </c>
      <c r="F727" t="s">
        <v>1266</v>
      </c>
      <c r="G727">
        <v>0</v>
      </c>
      <c r="H727" t="s">
        <v>1269</v>
      </c>
      <c r="I727" s="2">
        <v>7000</v>
      </c>
    </row>
    <row r="728" spans="1:9" x14ac:dyDescent="0.3">
      <c r="A728" s="5">
        <v>9733</v>
      </c>
      <c r="B728" s="5" t="s">
        <v>1264</v>
      </c>
      <c r="C728" s="5">
        <v>1</v>
      </c>
      <c r="D728" s="5" t="s">
        <v>10</v>
      </c>
      <c r="E728" t="s">
        <v>1265</v>
      </c>
      <c r="F728" t="s">
        <v>1266</v>
      </c>
      <c r="G728">
        <v>0</v>
      </c>
      <c r="H728" t="s">
        <v>1268</v>
      </c>
      <c r="I728" s="2">
        <v>7000</v>
      </c>
    </row>
    <row r="729" spans="1:9" x14ac:dyDescent="0.3">
      <c r="A729" s="5">
        <v>9733</v>
      </c>
      <c r="B729" s="5" t="s">
        <v>1264</v>
      </c>
      <c r="C729" s="5">
        <v>1</v>
      </c>
      <c r="D729" s="5" t="s">
        <v>10</v>
      </c>
      <c r="E729" t="s">
        <v>1265</v>
      </c>
      <c r="F729" t="s">
        <v>1266</v>
      </c>
      <c r="G729">
        <v>0</v>
      </c>
      <c r="H729" t="s">
        <v>214</v>
      </c>
      <c r="I729" s="2">
        <v>8000</v>
      </c>
    </row>
    <row r="730" spans="1:9" x14ac:dyDescent="0.3">
      <c r="A730" s="5">
        <v>9733</v>
      </c>
      <c r="B730" s="5" t="s">
        <v>1264</v>
      </c>
      <c r="C730" s="5">
        <v>1</v>
      </c>
      <c r="D730" s="5" t="s">
        <v>10</v>
      </c>
      <c r="E730" t="s">
        <v>1265</v>
      </c>
      <c r="F730" t="s">
        <v>1266</v>
      </c>
      <c r="G730">
        <v>0</v>
      </c>
      <c r="H730" t="s">
        <v>1206</v>
      </c>
      <c r="I730" s="2">
        <v>7000</v>
      </c>
    </row>
    <row r="731" spans="1:9" x14ac:dyDescent="0.3">
      <c r="A731" s="5">
        <v>9733</v>
      </c>
      <c r="B731" s="5" t="s">
        <v>1264</v>
      </c>
      <c r="C731" s="5">
        <v>1</v>
      </c>
      <c r="D731" s="5" t="s">
        <v>10</v>
      </c>
      <c r="E731" t="s">
        <v>1265</v>
      </c>
      <c r="F731" t="s">
        <v>1266</v>
      </c>
      <c r="G731">
        <v>0</v>
      </c>
      <c r="H731" t="s">
        <v>139</v>
      </c>
      <c r="I731" s="2">
        <v>6000</v>
      </c>
    </row>
    <row r="732" spans="1:9" x14ac:dyDescent="0.3">
      <c r="A732" s="5">
        <v>9733</v>
      </c>
      <c r="B732" s="5" t="s">
        <v>1264</v>
      </c>
      <c r="C732" s="5">
        <v>1</v>
      </c>
      <c r="D732" s="5" t="s">
        <v>10</v>
      </c>
      <c r="E732" t="s">
        <v>1265</v>
      </c>
      <c r="F732" t="s">
        <v>1266</v>
      </c>
      <c r="G732">
        <v>0</v>
      </c>
      <c r="H732" t="s">
        <v>149</v>
      </c>
      <c r="I732" s="2">
        <v>6000</v>
      </c>
    </row>
    <row r="733" spans="1:9" x14ac:dyDescent="0.3">
      <c r="A733" s="5">
        <v>9732</v>
      </c>
      <c r="B733" s="5" t="s">
        <v>1270</v>
      </c>
      <c r="C733" s="5">
        <v>1</v>
      </c>
      <c r="D733" s="5" t="s">
        <v>10</v>
      </c>
      <c r="E733" t="s">
        <v>1271</v>
      </c>
      <c r="F733" t="s">
        <v>1272</v>
      </c>
      <c r="G733">
        <v>0</v>
      </c>
      <c r="H733" t="s">
        <v>1270</v>
      </c>
      <c r="I733" s="2">
        <v>2500</v>
      </c>
    </row>
    <row r="734" spans="1:9" x14ac:dyDescent="0.3">
      <c r="A734" s="5">
        <v>9732</v>
      </c>
      <c r="B734" s="5" t="s">
        <v>1270</v>
      </c>
      <c r="C734" s="5">
        <v>1</v>
      </c>
      <c r="D734" s="5" t="s">
        <v>10</v>
      </c>
      <c r="E734" t="s">
        <v>1271</v>
      </c>
      <c r="F734" t="s">
        <v>1272</v>
      </c>
      <c r="G734">
        <v>0</v>
      </c>
      <c r="H734" t="s">
        <v>581</v>
      </c>
      <c r="I734" s="2">
        <v>3500</v>
      </c>
    </row>
    <row r="735" spans="1:9" x14ac:dyDescent="0.3">
      <c r="A735" s="5">
        <v>9732</v>
      </c>
      <c r="B735" s="5" t="s">
        <v>1270</v>
      </c>
      <c r="C735" s="5">
        <v>1</v>
      </c>
      <c r="D735" s="5" t="s">
        <v>10</v>
      </c>
      <c r="E735" t="s">
        <v>1271</v>
      </c>
      <c r="F735" t="s">
        <v>1272</v>
      </c>
      <c r="G735">
        <v>0</v>
      </c>
      <c r="H735" t="s">
        <v>126</v>
      </c>
      <c r="I735" s="2">
        <v>6500</v>
      </c>
    </row>
    <row r="736" spans="1:9" x14ac:dyDescent="0.3">
      <c r="A736" s="5">
        <v>9732</v>
      </c>
      <c r="B736" s="5" t="s">
        <v>1270</v>
      </c>
      <c r="C736" s="5">
        <v>1</v>
      </c>
      <c r="D736" s="5" t="s">
        <v>10</v>
      </c>
      <c r="E736" t="s">
        <v>1271</v>
      </c>
      <c r="F736" t="s">
        <v>1272</v>
      </c>
      <c r="G736">
        <v>0</v>
      </c>
      <c r="H736" t="s">
        <v>1273</v>
      </c>
      <c r="I736" s="2">
        <v>4000</v>
      </c>
    </row>
    <row r="737" spans="1:9" x14ac:dyDescent="0.3">
      <c r="A737" s="5">
        <v>9732</v>
      </c>
      <c r="B737" s="5" t="s">
        <v>1270</v>
      </c>
      <c r="C737" s="5">
        <v>1</v>
      </c>
      <c r="D737" s="5" t="s">
        <v>10</v>
      </c>
      <c r="E737" t="s">
        <v>1271</v>
      </c>
      <c r="F737" t="s">
        <v>1272</v>
      </c>
      <c r="G737">
        <v>0</v>
      </c>
      <c r="H737" t="s">
        <v>801</v>
      </c>
      <c r="I737" s="2">
        <v>3500</v>
      </c>
    </row>
    <row r="738" spans="1:9" x14ac:dyDescent="0.3">
      <c r="A738" s="5">
        <v>9732</v>
      </c>
      <c r="B738" s="5" t="s">
        <v>1270</v>
      </c>
      <c r="C738" s="5">
        <v>1</v>
      </c>
      <c r="D738" s="5" t="s">
        <v>10</v>
      </c>
      <c r="E738" t="s">
        <v>1271</v>
      </c>
      <c r="F738" t="s">
        <v>1272</v>
      </c>
      <c r="G738">
        <v>0</v>
      </c>
      <c r="H738" t="s">
        <v>1277</v>
      </c>
      <c r="I738" s="2">
        <v>6500</v>
      </c>
    </row>
    <row r="739" spans="1:9" x14ac:dyDescent="0.3">
      <c r="A739" s="5">
        <v>9731</v>
      </c>
      <c r="B739" s="5" t="s">
        <v>1278</v>
      </c>
      <c r="C739" s="5">
        <v>1</v>
      </c>
      <c r="D739" s="5" t="s">
        <v>10</v>
      </c>
      <c r="E739" t="s">
        <v>1279</v>
      </c>
      <c r="F739" t="s">
        <v>1280</v>
      </c>
      <c r="G739">
        <v>0</v>
      </c>
      <c r="H739" t="s">
        <v>794</v>
      </c>
      <c r="I739" s="2">
        <v>7500</v>
      </c>
    </row>
    <row r="740" spans="1:9" x14ac:dyDescent="0.3">
      <c r="A740" s="5">
        <v>9731</v>
      </c>
      <c r="B740" s="5" t="s">
        <v>1278</v>
      </c>
      <c r="C740" s="5">
        <v>1</v>
      </c>
      <c r="D740" s="5" t="s">
        <v>10</v>
      </c>
      <c r="E740" t="s">
        <v>1279</v>
      </c>
      <c r="F740" t="s">
        <v>1280</v>
      </c>
      <c r="G740">
        <v>0</v>
      </c>
      <c r="H740" t="s">
        <v>374</v>
      </c>
      <c r="I740" s="2">
        <v>3000</v>
      </c>
    </row>
    <row r="741" spans="1:9" x14ac:dyDescent="0.3">
      <c r="A741" s="5">
        <v>9731</v>
      </c>
      <c r="B741" s="5" t="s">
        <v>1278</v>
      </c>
      <c r="C741" s="5">
        <v>1</v>
      </c>
      <c r="D741" s="5" t="s">
        <v>10</v>
      </c>
      <c r="E741" t="s">
        <v>1279</v>
      </c>
      <c r="F741" t="s">
        <v>1280</v>
      </c>
      <c r="G741">
        <v>0</v>
      </c>
      <c r="H741" t="s">
        <v>35</v>
      </c>
      <c r="I741" s="2">
        <v>7500</v>
      </c>
    </row>
    <row r="742" spans="1:9" x14ac:dyDescent="0.3">
      <c r="A742" s="5">
        <v>9730</v>
      </c>
      <c r="B742" s="5" t="s">
        <v>1281</v>
      </c>
      <c r="C742" s="5">
        <v>5</v>
      </c>
      <c r="D742" s="5" t="s">
        <v>63</v>
      </c>
      <c r="E742" t="s">
        <v>1282</v>
      </c>
      <c r="F742" t="s">
        <v>1283</v>
      </c>
      <c r="G742">
        <v>0</v>
      </c>
      <c r="H742" t="s">
        <v>1284</v>
      </c>
      <c r="I742" s="2">
        <v>15000</v>
      </c>
    </row>
    <row r="743" spans="1:9" x14ac:dyDescent="0.3">
      <c r="A743" s="5">
        <v>9730</v>
      </c>
      <c r="B743" s="5" t="s">
        <v>1281</v>
      </c>
      <c r="C743" s="5">
        <v>5</v>
      </c>
      <c r="D743" s="5" t="s">
        <v>63</v>
      </c>
      <c r="E743" t="s">
        <v>1282</v>
      </c>
      <c r="F743" t="s">
        <v>1283</v>
      </c>
      <c r="G743">
        <v>0</v>
      </c>
      <c r="H743" t="s">
        <v>1285</v>
      </c>
      <c r="I743" s="2">
        <v>40000</v>
      </c>
    </row>
    <row r="744" spans="1:9" x14ac:dyDescent="0.3">
      <c r="A744" s="5">
        <v>9729</v>
      </c>
      <c r="B744" s="5" t="s">
        <v>1286</v>
      </c>
      <c r="C744" s="5">
        <v>1</v>
      </c>
      <c r="D744" s="5" t="s">
        <v>10</v>
      </c>
      <c r="E744" t="s">
        <v>1287</v>
      </c>
      <c r="F744" t="s">
        <v>1288</v>
      </c>
      <c r="G744">
        <v>0</v>
      </c>
      <c r="H744" t="s">
        <v>84</v>
      </c>
      <c r="I744" s="2">
        <v>7000</v>
      </c>
    </row>
    <row r="745" spans="1:9" x14ac:dyDescent="0.3">
      <c r="A745" s="5">
        <v>9728</v>
      </c>
      <c r="B745" s="5" t="s">
        <v>1289</v>
      </c>
      <c r="C745" s="5">
        <v>1</v>
      </c>
      <c r="D745" s="5" t="s">
        <v>10</v>
      </c>
      <c r="E745" t="s">
        <v>1290</v>
      </c>
      <c r="F745" t="s">
        <v>1291</v>
      </c>
      <c r="G745">
        <v>0</v>
      </c>
      <c r="H745" t="s">
        <v>126</v>
      </c>
      <c r="I745" s="2">
        <v>6500</v>
      </c>
    </row>
    <row r="746" spans="1:9" x14ac:dyDescent="0.3">
      <c r="A746" s="5">
        <v>9728</v>
      </c>
      <c r="B746" s="5" t="s">
        <v>1289</v>
      </c>
      <c r="C746" s="5">
        <v>1</v>
      </c>
      <c r="D746" s="5" t="s">
        <v>10</v>
      </c>
      <c r="E746" t="s">
        <v>1290</v>
      </c>
      <c r="F746" t="s">
        <v>1291</v>
      </c>
      <c r="G746">
        <v>0</v>
      </c>
      <c r="H746" t="s">
        <v>21</v>
      </c>
      <c r="I746" s="2">
        <v>6500</v>
      </c>
    </row>
    <row r="747" spans="1:9" x14ac:dyDescent="0.3">
      <c r="A747" s="5">
        <v>9727</v>
      </c>
      <c r="B747" s="5" t="s">
        <v>1292</v>
      </c>
      <c r="C747" s="5">
        <v>1</v>
      </c>
      <c r="D747" s="5" t="s">
        <v>10</v>
      </c>
      <c r="E747" t="s">
        <v>1293</v>
      </c>
      <c r="F747" t="s">
        <v>1294</v>
      </c>
      <c r="G747">
        <v>0</v>
      </c>
      <c r="H747" t="s">
        <v>1295</v>
      </c>
      <c r="I747" s="2">
        <v>3500</v>
      </c>
    </row>
    <row r="748" spans="1:9" x14ac:dyDescent="0.3">
      <c r="A748" s="5">
        <v>9727</v>
      </c>
      <c r="B748" s="5" t="s">
        <v>1292</v>
      </c>
      <c r="C748" s="5">
        <v>1</v>
      </c>
      <c r="D748" s="5" t="s">
        <v>10</v>
      </c>
      <c r="E748" t="s">
        <v>1293</v>
      </c>
      <c r="F748" t="s">
        <v>1294</v>
      </c>
      <c r="G748">
        <v>0</v>
      </c>
      <c r="H748" t="s">
        <v>1296</v>
      </c>
      <c r="I748" s="2">
        <v>4000</v>
      </c>
    </row>
    <row r="749" spans="1:9" x14ac:dyDescent="0.3">
      <c r="A749" s="5">
        <v>9727</v>
      </c>
      <c r="B749" s="5" t="s">
        <v>1292</v>
      </c>
      <c r="C749" s="5">
        <v>1</v>
      </c>
      <c r="D749" s="5" t="s">
        <v>10</v>
      </c>
      <c r="E749" t="s">
        <v>1293</v>
      </c>
      <c r="F749" t="s">
        <v>1294</v>
      </c>
      <c r="G749">
        <v>0</v>
      </c>
      <c r="H749" t="s">
        <v>1297</v>
      </c>
      <c r="I749" s="2">
        <v>4000</v>
      </c>
    </row>
    <row r="750" spans="1:9" x14ac:dyDescent="0.3">
      <c r="A750" s="5">
        <v>9727</v>
      </c>
      <c r="B750" s="5" t="s">
        <v>1292</v>
      </c>
      <c r="C750" s="5">
        <v>1</v>
      </c>
      <c r="D750" s="5" t="s">
        <v>10</v>
      </c>
      <c r="E750" t="s">
        <v>1293</v>
      </c>
      <c r="F750" t="s">
        <v>1294</v>
      </c>
      <c r="G750">
        <v>0</v>
      </c>
      <c r="H750" t="s">
        <v>1298</v>
      </c>
      <c r="I750" s="2">
        <v>3500</v>
      </c>
    </row>
    <row r="751" spans="1:9" x14ac:dyDescent="0.3">
      <c r="A751" s="5">
        <v>9727</v>
      </c>
      <c r="B751" s="5" t="s">
        <v>1292</v>
      </c>
      <c r="C751" s="5">
        <v>1</v>
      </c>
      <c r="D751" s="5" t="s">
        <v>10</v>
      </c>
      <c r="E751" t="s">
        <v>1293</v>
      </c>
      <c r="F751" t="s">
        <v>1294</v>
      </c>
      <c r="G751">
        <v>0</v>
      </c>
      <c r="H751" t="s">
        <v>258</v>
      </c>
      <c r="I751" s="2">
        <v>3000</v>
      </c>
    </row>
    <row r="752" spans="1:9" x14ac:dyDescent="0.3">
      <c r="A752" s="5">
        <v>9727</v>
      </c>
      <c r="B752" s="5" t="s">
        <v>1292</v>
      </c>
      <c r="C752" s="5">
        <v>1</v>
      </c>
      <c r="D752" s="5" t="s">
        <v>10</v>
      </c>
      <c r="E752" t="s">
        <v>1293</v>
      </c>
      <c r="F752" t="s">
        <v>1294</v>
      </c>
      <c r="G752">
        <v>0</v>
      </c>
      <c r="H752" t="s">
        <v>801</v>
      </c>
      <c r="I752" s="2">
        <v>4000</v>
      </c>
    </row>
    <row r="753" spans="1:9" x14ac:dyDescent="0.3">
      <c r="A753" s="5">
        <v>9726</v>
      </c>
      <c r="B753" s="5" t="s">
        <v>1299</v>
      </c>
      <c r="C753" s="5">
        <v>1</v>
      </c>
      <c r="D753" s="5" t="s">
        <v>10</v>
      </c>
      <c r="E753" t="s">
        <v>1300</v>
      </c>
      <c r="F753" t="s">
        <v>1301</v>
      </c>
      <c r="G753">
        <v>0</v>
      </c>
      <c r="H753" t="s">
        <v>217</v>
      </c>
      <c r="I753" s="2">
        <v>9000</v>
      </c>
    </row>
    <row r="754" spans="1:9" x14ac:dyDescent="0.3">
      <c r="A754" s="5">
        <v>9726</v>
      </c>
      <c r="B754" s="5" t="s">
        <v>1299</v>
      </c>
      <c r="C754" s="5">
        <v>1</v>
      </c>
      <c r="D754" s="5" t="s">
        <v>10</v>
      </c>
      <c r="E754" t="s">
        <v>1300</v>
      </c>
      <c r="F754" t="s">
        <v>1301</v>
      </c>
      <c r="G754">
        <v>0</v>
      </c>
      <c r="H754" t="s">
        <v>217</v>
      </c>
      <c r="I754" s="2">
        <v>9000</v>
      </c>
    </row>
    <row r="755" spans="1:9" x14ac:dyDescent="0.3">
      <c r="A755" s="5">
        <v>9726</v>
      </c>
      <c r="B755" s="5" t="s">
        <v>1299</v>
      </c>
      <c r="C755" s="5">
        <v>1</v>
      </c>
      <c r="D755" s="5" t="s">
        <v>10</v>
      </c>
      <c r="E755" t="s">
        <v>1300</v>
      </c>
      <c r="F755" t="s">
        <v>1301</v>
      </c>
      <c r="G755">
        <v>0</v>
      </c>
      <c r="H755" t="s">
        <v>1302</v>
      </c>
      <c r="I755" s="2">
        <v>7000</v>
      </c>
    </row>
    <row r="756" spans="1:9" x14ac:dyDescent="0.3">
      <c r="A756" s="5">
        <v>9725</v>
      </c>
      <c r="B756" s="5" t="s">
        <v>1303</v>
      </c>
      <c r="C756" s="5">
        <v>7</v>
      </c>
      <c r="D756" s="5" t="s">
        <v>360</v>
      </c>
      <c r="E756" t="s">
        <v>1304</v>
      </c>
      <c r="F756" t="s">
        <v>1305</v>
      </c>
      <c r="G756">
        <v>0</v>
      </c>
      <c r="H756" t="s">
        <v>363</v>
      </c>
      <c r="I756" s="2">
        <v>10000</v>
      </c>
    </row>
    <row r="757" spans="1:9" x14ac:dyDescent="0.3">
      <c r="A757" s="5">
        <v>9725</v>
      </c>
      <c r="B757" s="5" t="s">
        <v>1303</v>
      </c>
      <c r="C757" s="5">
        <v>7</v>
      </c>
      <c r="D757" s="5" t="s">
        <v>360</v>
      </c>
      <c r="E757" t="s">
        <v>1304</v>
      </c>
      <c r="F757" t="s">
        <v>1305</v>
      </c>
      <c r="G757">
        <v>0</v>
      </c>
      <c r="H757" t="s">
        <v>1306</v>
      </c>
      <c r="I757" s="2">
        <v>5500</v>
      </c>
    </row>
    <row r="758" spans="1:9" x14ac:dyDescent="0.3">
      <c r="A758" s="5">
        <v>9724</v>
      </c>
      <c r="B758" s="5" t="s">
        <v>1307</v>
      </c>
      <c r="C758" s="5">
        <v>5</v>
      </c>
      <c r="D758" s="5" t="s">
        <v>63</v>
      </c>
      <c r="E758" t="s">
        <v>1308</v>
      </c>
      <c r="F758" t="s">
        <v>1309</v>
      </c>
      <c r="G758">
        <v>0</v>
      </c>
      <c r="H758" t="s">
        <v>67</v>
      </c>
      <c r="I758" s="2">
        <v>10000</v>
      </c>
    </row>
    <row r="759" spans="1:9" x14ac:dyDescent="0.3">
      <c r="A759" s="5">
        <v>9724</v>
      </c>
      <c r="B759" s="5" t="s">
        <v>1307</v>
      </c>
      <c r="C759" s="5">
        <v>5</v>
      </c>
      <c r="D759" s="5" t="s">
        <v>63</v>
      </c>
      <c r="E759" t="s">
        <v>1308</v>
      </c>
      <c r="F759" t="s">
        <v>1309</v>
      </c>
      <c r="G759">
        <v>0</v>
      </c>
      <c r="H759" t="s">
        <v>550</v>
      </c>
      <c r="I759" s="2">
        <v>25000</v>
      </c>
    </row>
    <row r="760" spans="1:9" x14ac:dyDescent="0.3">
      <c r="A760" s="5">
        <v>9723</v>
      </c>
      <c r="B760" s="5" t="s">
        <v>1310</v>
      </c>
      <c r="C760" s="5">
        <v>5</v>
      </c>
      <c r="D760" s="5" t="s">
        <v>63</v>
      </c>
      <c r="E760" t="s">
        <v>1311</v>
      </c>
      <c r="F760" t="s">
        <v>1312</v>
      </c>
      <c r="G760">
        <v>0</v>
      </c>
      <c r="H760" t="s">
        <v>1313</v>
      </c>
      <c r="I760" s="2">
        <v>30000</v>
      </c>
    </row>
    <row r="761" spans="1:9" x14ac:dyDescent="0.3">
      <c r="A761" s="5">
        <v>9723</v>
      </c>
      <c r="B761" s="5" t="s">
        <v>1310</v>
      </c>
      <c r="C761" s="5">
        <v>5</v>
      </c>
      <c r="D761" s="5" t="s">
        <v>63</v>
      </c>
      <c r="E761" t="s">
        <v>1311</v>
      </c>
      <c r="F761" t="s">
        <v>1312</v>
      </c>
      <c r="G761">
        <v>0</v>
      </c>
      <c r="H761" t="s">
        <v>458</v>
      </c>
      <c r="I761" s="2">
        <v>10000</v>
      </c>
    </row>
    <row r="762" spans="1:9" x14ac:dyDescent="0.3">
      <c r="A762" s="5">
        <v>9723</v>
      </c>
      <c r="B762" s="5" t="s">
        <v>1310</v>
      </c>
      <c r="C762" s="5">
        <v>5</v>
      </c>
      <c r="D762" s="5" t="s">
        <v>63</v>
      </c>
      <c r="E762" t="s">
        <v>1311</v>
      </c>
      <c r="F762" t="s">
        <v>1312</v>
      </c>
      <c r="G762">
        <v>0</v>
      </c>
      <c r="H762" t="s">
        <v>1285</v>
      </c>
      <c r="I762" s="2">
        <v>10000</v>
      </c>
    </row>
    <row r="763" spans="1:9" x14ac:dyDescent="0.3">
      <c r="A763" s="5">
        <v>9722</v>
      </c>
      <c r="B763" s="5" t="s">
        <v>1278</v>
      </c>
      <c r="C763" s="5">
        <v>1</v>
      </c>
      <c r="D763" s="5" t="s">
        <v>10</v>
      </c>
      <c r="E763" t="s">
        <v>1314</v>
      </c>
      <c r="F763" t="s">
        <v>816</v>
      </c>
      <c r="G763">
        <v>0</v>
      </c>
      <c r="H763" t="s">
        <v>794</v>
      </c>
      <c r="I763" s="2">
        <v>6500</v>
      </c>
    </row>
    <row r="764" spans="1:9" x14ac:dyDescent="0.3">
      <c r="A764" s="5">
        <v>9722</v>
      </c>
      <c r="B764" s="5" t="s">
        <v>1278</v>
      </c>
      <c r="C764" s="5">
        <v>1</v>
      </c>
      <c r="D764" s="5" t="s">
        <v>10</v>
      </c>
      <c r="E764" t="s">
        <v>1314</v>
      </c>
      <c r="F764" t="s">
        <v>816</v>
      </c>
      <c r="G764">
        <v>0</v>
      </c>
      <c r="H764" t="s">
        <v>374</v>
      </c>
      <c r="I764" s="2">
        <v>2500</v>
      </c>
    </row>
    <row r="765" spans="1:9" x14ac:dyDescent="0.3">
      <c r="A765" s="5">
        <v>9722</v>
      </c>
      <c r="B765" s="5" t="s">
        <v>1278</v>
      </c>
      <c r="C765" s="5">
        <v>1</v>
      </c>
      <c r="D765" s="5" t="s">
        <v>10</v>
      </c>
      <c r="E765" t="s">
        <v>1314</v>
      </c>
      <c r="F765" t="s">
        <v>816</v>
      </c>
      <c r="G765">
        <v>0</v>
      </c>
      <c r="H765" t="s">
        <v>35</v>
      </c>
      <c r="I765" s="2">
        <v>6000</v>
      </c>
    </row>
    <row r="766" spans="1:9" x14ac:dyDescent="0.3">
      <c r="A766" s="5">
        <v>9721</v>
      </c>
      <c r="B766" s="5" t="s">
        <v>1315</v>
      </c>
      <c r="C766" s="5">
        <v>5</v>
      </c>
      <c r="D766" s="5" t="s">
        <v>63</v>
      </c>
      <c r="E766" t="s">
        <v>1316</v>
      </c>
      <c r="F766" t="s">
        <v>1317</v>
      </c>
      <c r="G766">
        <v>0</v>
      </c>
      <c r="H766" t="s">
        <v>1318</v>
      </c>
      <c r="I766" s="2">
        <v>9000</v>
      </c>
    </row>
    <row r="767" spans="1:9" x14ac:dyDescent="0.3">
      <c r="A767" s="5">
        <v>9721</v>
      </c>
      <c r="B767" s="5" t="s">
        <v>1315</v>
      </c>
      <c r="C767" s="5">
        <v>5</v>
      </c>
      <c r="D767" s="5" t="s">
        <v>63</v>
      </c>
      <c r="E767" t="s">
        <v>1316</v>
      </c>
      <c r="F767" t="s">
        <v>1317</v>
      </c>
      <c r="G767">
        <v>0</v>
      </c>
      <c r="H767" t="s">
        <v>66</v>
      </c>
      <c r="I767" s="2">
        <v>30000</v>
      </c>
    </row>
    <row r="768" spans="1:9" x14ac:dyDescent="0.3">
      <c r="A768" s="5">
        <v>9721</v>
      </c>
      <c r="B768" s="5" t="s">
        <v>1315</v>
      </c>
      <c r="C768" s="5">
        <v>5</v>
      </c>
      <c r="D768" s="5" t="s">
        <v>63</v>
      </c>
      <c r="E768" t="s">
        <v>1316</v>
      </c>
      <c r="F768" t="s">
        <v>1317</v>
      </c>
      <c r="G768">
        <v>0</v>
      </c>
      <c r="H768" t="s">
        <v>67</v>
      </c>
      <c r="I768" s="2">
        <v>10000</v>
      </c>
    </row>
    <row r="769" spans="1:9" x14ac:dyDescent="0.3">
      <c r="A769" s="5">
        <v>9721</v>
      </c>
      <c r="B769" s="5" t="s">
        <v>1315</v>
      </c>
      <c r="C769" s="5">
        <v>5</v>
      </c>
      <c r="D769" s="5" t="s">
        <v>63</v>
      </c>
      <c r="E769" t="s">
        <v>1316</v>
      </c>
      <c r="F769" t="s">
        <v>1317</v>
      </c>
      <c r="G769">
        <v>0</v>
      </c>
      <c r="H769" t="s">
        <v>550</v>
      </c>
      <c r="I769" s="2">
        <v>35000</v>
      </c>
    </row>
    <row r="770" spans="1:9" x14ac:dyDescent="0.3">
      <c r="A770" s="5">
        <v>9720</v>
      </c>
      <c r="B770" s="5" t="s">
        <v>332</v>
      </c>
      <c r="C770" s="5">
        <v>1</v>
      </c>
      <c r="D770" s="5" t="s">
        <v>10</v>
      </c>
      <c r="E770" t="s">
        <v>1319</v>
      </c>
      <c r="F770" t="s">
        <v>1320</v>
      </c>
      <c r="G770">
        <v>0</v>
      </c>
      <c r="H770" t="s">
        <v>126</v>
      </c>
      <c r="I770" s="2">
        <v>3000</v>
      </c>
    </row>
    <row r="771" spans="1:9" x14ac:dyDescent="0.3">
      <c r="A771" s="5">
        <v>9718</v>
      </c>
      <c r="B771" s="5" t="s">
        <v>1321</v>
      </c>
      <c r="C771" s="5">
        <v>5</v>
      </c>
      <c r="D771" s="5" t="s">
        <v>63</v>
      </c>
      <c r="E771" t="s">
        <v>1322</v>
      </c>
      <c r="F771" t="s">
        <v>1323</v>
      </c>
      <c r="G771">
        <v>0</v>
      </c>
      <c r="H771" t="s">
        <v>66</v>
      </c>
      <c r="I771" s="2">
        <v>20000</v>
      </c>
    </row>
    <row r="772" spans="1:9" x14ac:dyDescent="0.3">
      <c r="A772" s="5">
        <v>9718</v>
      </c>
      <c r="B772" s="5" t="s">
        <v>1321</v>
      </c>
      <c r="C772" s="5">
        <v>5</v>
      </c>
      <c r="D772" s="5" t="s">
        <v>63</v>
      </c>
      <c r="E772" t="s">
        <v>1322</v>
      </c>
      <c r="F772" t="s">
        <v>1323</v>
      </c>
      <c r="G772">
        <v>0</v>
      </c>
      <c r="H772" t="s">
        <v>550</v>
      </c>
      <c r="I772" s="2">
        <v>18000</v>
      </c>
    </row>
    <row r="773" spans="1:9" x14ac:dyDescent="0.3">
      <c r="A773" s="5">
        <v>9718</v>
      </c>
      <c r="B773" s="5" t="s">
        <v>1321</v>
      </c>
      <c r="C773" s="5">
        <v>5</v>
      </c>
      <c r="D773" s="5" t="s">
        <v>63</v>
      </c>
      <c r="E773" t="s">
        <v>1322</v>
      </c>
      <c r="F773" t="s">
        <v>1323</v>
      </c>
      <c r="G773">
        <v>0</v>
      </c>
      <c r="H773" t="s">
        <v>67</v>
      </c>
      <c r="I773" s="2">
        <v>10000</v>
      </c>
    </row>
    <row r="774" spans="1:9" x14ac:dyDescent="0.3">
      <c r="A774" s="5">
        <v>9717</v>
      </c>
      <c r="B774" s="5" t="s">
        <v>1324</v>
      </c>
      <c r="C774" s="5">
        <v>1</v>
      </c>
      <c r="D774" s="5" t="s">
        <v>10</v>
      </c>
      <c r="E774" t="s">
        <v>1325</v>
      </c>
      <c r="F774" t="s">
        <v>1326</v>
      </c>
      <c r="G774">
        <v>0</v>
      </c>
      <c r="H774" t="s">
        <v>970</v>
      </c>
      <c r="I774" s="2">
        <v>7000</v>
      </c>
    </row>
    <row r="775" spans="1:9" x14ac:dyDescent="0.3">
      <c r="A775" s="5">
        <v>9717</v>
      </c>
      <c r="B775" s="5" t="s">
        <v>1324</v>
      </c>
      <c r="C775" s="5">
        <v>1</v>
      </c>
      <c r="D775" s="5" t="s">
        <v>10</v>
      </c>
      <c r="E775" t="s">
        <v>1325</v>
      </c>
      <c r="F775" t="s">
        <v>1326</v>
      </c>
      <c r="G775">
        <v>0</v>
      </c>
      <c r="H775" t="s">
        <v>126</v>
      </c>
      <c r="I775" s="2">
        <v>7000</v>
      </c>
    </row>
    <row r="776" spans="1:9" x14ac:dyDescent="0.3">
      <c r="A776" s="5">
        <v>9716</v>
      </c>
      <c r="B776" s="5" t="s">
        <v>1327</v>
      </c>
      <c r="C776" s="5">
        <v>3</v>
      </c>
      <c r="D776" s="5" t="s">
        <v>44</v>
      </c>
      <c r="E776" t="s">
        <v>1328</v>
      </c>
      <c r="F776" t="s">
        <v>1329</v>
      </c>
      <c r="G776">
        <v>0</v>
      </c>
      <c r="H776" t="s">
        <v>1330</v>
      </c>
      <c r="I776" s="2">
        <v>9000</v>
      </c>
    </row>
    <row r="777" spans="1:9" x14ac:dyDescent="0.3">
      <c r="A777" s="5">
        <v>9715</v>
      </c>
      <c r="B777" s="5" t="s">
        <v>1331</v>
      </c>
      <c r="C777" s="5">
        <v>5</v>
      </c>
      <c r="D777" s="5" t="s">
        <v>63</v>
      </c>
      <c r="E777" t="s">
        <v>1332</v>
      </c>
      <c r="F777" t="s">
        <v>1333</v>
      </c>
      <c r="G777">
        <v>0</v>
      </c>
      <c r="H777" t="s">
        <v>67</v>
      </c>
      <c r="I777" s="2">
        <v>8000</v>
      </c>
    </row>
    <row r="778" spans="1:9" x14ac:dyDescent="0.3">
      <c r="A778" s="5">
        <v>9715</v>
      </c>
      <c r="B778" s="5" t="s">
        <v>1331</v>
      </c>
      <c r="C778" s="5">
        <v>5</v>
      </c>
      <c r="D778" s="5" t="s">
        <v>63</v>
      </c>
      <c r="E778" t="s">
        <v>1332</v>
      </c>
      <c r="F778" t="s">
        <v>1333</v>
      </c>
      <c r="G778">
        <v>0</v>
      </c>
      <c r="H778" t="s">
        <v>88</v>
      </c>
      <c r="I778" s="2">
        <v>20000</v>
      </c>
    </row>
    <row r="779" spans="1:9" x14ac:dyDescent="0.3">
      <c r="A779" s="5">
        <v>9714</v>
      </c>
      <c r="B779" s="5" t="s">
        <v>1334</v>
      </c>
      <c r="C779" s="5">
        <v>5</v>
      </c>
      <c r="D779" s="5" t="s">
        <v>63</v>
      </c>
      <c r="E779" t="s">
        <v>1335</v>
      </c>
      <c r="F779" t="s">
        <v>1336</v>
      </c>
      <c r="G779">
        <v>0</v>
      </c>
      <c r="H779" t="s">
        <v>67</v>
      </c>
      <c r="I779" s="2">
        <v>10000</v>
      </c>
    </row>
    <row r="780" spans="1:9" x14ac:dyDescent="0.3">
      <c r="A780" s="5">
        <v>9714</v>
      </c>
      <c r="B780" s="5" t="s">
        <v>1334</v>
      </c>
      <c r="C780" s="5">
        <v>5</v>
      </c>
      <c r="D780" s="5" t="s">
        <v>63</v>
      </c>
      <c r="E780" t="s">
        <v>1335</v>
      </c>
      <c r="F780" t="s">
        <v>1336</v>
      </c>
      <c r="G780">
        <v>0</v>
      </c>
      <c r="H780" t="s">
        <v>88</v>
      </c>
      <c r="I780" s="2">
        <v>35000</v>
      </c>
    </row>
    <row r="781" spans="1:9" x14ac:dyDescent="0.3">
      <c r="A781" s="5">
        <v>9713</v>
      </c>
      <c r="B781" s="5" t="s">
        <v>1337</v>
      </c>
      <c r="C781" s="5">
        <v>1</v>
      </c>
      <c r="D781" s="5" t="s">
        <v>10</v>
      </c>
      <c r="E781" t="s">
        <v>1338</v>
      </c>
      <c r="F781" t="s">
        <v>1339</v>
      </c>
      <c r="G781">
        <v>0</v>
      </c>
      <c r="H781" t="s">
        <v>259</v>
      </c>
      <c r="I781" s="2">
        <v>8000</v>
      </c>
    </row>
    <row r="782" spans="1:9" x14ac:dyDescent="0.3">
      <c r="A782" s="5">
        <v>9712</v>
      </c>
      <c r="B782" s="5" t="s">
        <v>1340</v>
      </c>
      <c r="C782" s="5">
        <v>1</v>
      </c>
      <c r="D782" s="5" t="s">
        <v>10</v>
      </c>
      <c r="E782" t="s">
        <v>1341</v>
      </c>
      <c r="F782" t="s">
        <v>1342</v>
      </c>
      <c r="G782">
        <v>0</v>
      </c>
      <c r="H782" t="s">
        <v>188</v>
      </c>
      <c r="I782" s="2">
        <v>10000</v>
      </c>
    </row>
    <row r="783" spans="1:9" x14ac:dyDescent="0.3">
      <c r="A783" s="5">
        <v>9712</v>
      </c>
      <c r="B783" s="5" t="s">
        <v>1340</v>
      </c>
      <c r="C783" s="5">
        <v>1</v>
      </c>
      <c r="D783" s="5" t="s">
        <v>10</v>
      </c>
      <c r="E783" t="s">
        <v>1341</v>
      </c>
      <c r="F783" t="s">
        <v>1342</v>
      </c>
      <c r="G783">
        <v>0</v>
      </c>
      <c r="H783" t="s">
        <v>1343</v>
      </c>
      <c r="I783" s="2">
        <v>7000</v>
      </c>
    </row>
    <row r="784" spans="1:9" x14ac:dyDescent="0.3">
      <c r="A784" s="5">
        <v>9712</v>
      </c>
      <c r="B784" s="5" t="s">
        <v>1340</v>
      </c>
      <c r="C784" s="5">
        <v>1</v>
      </c>
      <c r="D784" s="5" t="s">
        <v>10</v>
      </c>
      <c r="E784" t="s">
        <v>1341</v>
      </c>
      <c r="F784" t="s">
        <v>1342</v>
      </c>
      <c r="G784">
        <v>0</v>
      </c>
      <c r="H784" t="s">
        <v>1343</v>
      </c>
      <c r="I784" s="2">
        <v>1000</v>
      </c>
    </row>
    <row r="785" spans="1:9" x14ac:dyDescent="0.3">
      <c r="A785" s="5">
        <v>9711</v>
      </c>
      <c r="B785" s="5" t="s">
        <v>1344</v>
      </c>
      <c r="C785" s="5">
        <v>4</v>
      </c>
      <c r="D785" s="5" t="s">
        <v>39</v>
      </c>
      <c r="E785" t="s">
        <v>1345</v>
      </c>
      <c r="G785">
        <v>0</v>
      </c>
      <c r="H785" t="s">
        <v>1346</v>
      </c>
      <c r="I785" s="2">
        <v>3000</v>
      </c>
    </row>
    <row r="786" spans="1:9" x14ac:dyDescent="0.3">
      <c r="A786" s="5">
        <v>9711</v>
      </c>
      <c r="B786" s="5" t="s">
        <v>1344</v>
      </c>
      <c r="C786" s="5">
        <v>4</v>
      </c>
      <c r="D786" s="5" t="s">
        <v>39</v>
      </c>
      <c r="E786" t="s">
        <v>1345</v>
      </c>
      <c r="G786">
        <v>0</v>
      </c>
      <c r="H786" t="s">
        <v>205</v>
      </c>
      <c r="I786" s="2">
        <v>2800</v>
      </c>
    </row>
    <row r="787" spans="1:9" x14ac:dyDescent="0.3">
      <c r="A787" s="5">
        <v>9711</v>
      </c>
      <c r="B787" s="5" t="s">
        <v>1344</v>
      </c>
      <c r="C787" s="5">
        <v>4</v>
      </c>
      <c r="D787" s="5" t="s">
        <v>39</v>
      </c>
      <c r="E787" t="s">
        <v>1345</v>
      </c>
      <c r="G787">
        <v>0</v>
      </c>
      <c r="H787" t="s">
        <v>1347</v>
      </c>
      <c r="I787" s="2">
        <v>3000</v>
      </c>
    </row>
    <row r="788" spans="1:9" x14ac:dyDescent="0.3">
      <c r="A788" s="5">
        <v>9710</v>
      </c>
      <c r="B788" s="5" t="s">
        <v>1348</v>
      </c>
      <c r="C788" s="5">
        <v>1</v>
      </c>
      <c r="D788" s="5" t="s">
        <v>10</v>
      </c>
      <c r="E788" t="s">
        <v>1349</v>
      </c>
      <c r="F788" t="s">
        <v>1350</v>
      </c>
      <c r="G788">
        <v>0</v>
      </c>
      <c r="H788" t="s">
        <v>35</v>
      </c>
      <c r="I788" s="2">
        <v>9000</v>
      </c>
    </row>
    <row r="789" spans="1:9" x14ac:dyDescent="0.3">
      <c r="A789" s="5">
        <v>9710</v>
      </c>
      <c r="B789" s="5" t="s">
        <v>1348</v>
      </c>
      <c r="C789" s="5">
        <v>1</v>
      </c>
      <c r="D789" s="5" t="s">
        <v>10</v>
      </c>
      <c r="E789" t="s">
        <v>1349</v>
      </c>
      <c r="F789" t="s">
        <v>1350</v>
      </c>
      <c r="G789">
        <v>0</v>
      </c>
      <c r="H789" t="s">
        <v>1351</v>
      </c>
      <c r="I789" s="2">
        <v>9000</v>
      </c>
    </row>
    <row r="790" spans="1:9" x14ac:dyDescent="0.3">
      <c r="A790" s="5">
        <v>9709</v>
      </c>
      <c r="B790" s="5" t="s">
        <v>1352</v>
      </c>
      <c r="C790" s="5">
        <v>1</v>
      </c>
      <c r="D790" s="5" t="s">
        <v>10</v>
      </c>
      <c r="E790" t="s">
        <v>1353</v>
      </c>
      <c r="F790" t="s">
        <v>1354</v>
      </c>
      <c r="G790">
        <v>0</v>
      </c>
      <c r="H790" t="s">
        <v>19</v>
      </c>
      <c r="I790" s="2">
        <v>5000</v>
      </c>
    </row>
    <row r="791" spans="1:9" x14ac:dyDescent="0.3">
      <c r="A791" s="5">
        <v>9709</v>
      </c>
      <c r="B791" s="5" t="s">
        <v>1352</v>
      </c>
      <c r="C791" s="5">
        <v>1</v>
      </c>
      <c r="D791" s="5" t="s">
        <v>10</v>
      </c>
      <c r="E791" t="s">
        <v>1353</v>
      </c>
      <c r="F791" t="s">
        <v>1354</v>
      </c>
      <c r="G791">
        <v>0</v>
      </c>
      <c r="H791" t="s">
        <v>126</v>
      </c>
      <c r="I791" s="2">
        <v>7000</v>
      </c>
    </row>
    <row r="792" spans="1:9" x14ac:dyDescent="0.3">
      <c r="A792" s="5">
        <v>9709</v>
      </c>
      <c r="B792" s="5" t="s">
        <v>1352</v>
      </c>
      <c r="C792" s="5">
        <v>1</v>
      </c>
      <c r="D792" s="5" t="s">
        <v>10</v>
      </c>
      <c r="E792" t="s">
        <v>1353</v>
      </c>
      <c r="F792" t="s">
        <v>1354</v>
      </c>
      <c r="G792">
        <v>0</v>
      </c>
      <c r="H792" t="s">
        <v>134</v>
      </c>
      <c r="I792" s="2">
        <v>8000</v>
      </c>
    </row>
    <row r="793" spans="1:9" x14ac:dyDescent="0.3">
      <c r="A793" s="5">
        <v>9708</v>
      </c>
      <c r="B793" s="5" t="s">
        <v>1355</v>
      </c>
      <c r="C793" s="5">
        <v>1</v>
      </c>
      <c r="D793" s="5" t="s">
        <v>10</v>
      </c>
      <c r="E793" t="s">
        <v>1356</v>
      </c>
      <c r="F793" t="s">
        <v>1357</v>
      </c>
      <c r="G793">
        <v>0</v>
      </c>
      <c r="H793" t="s">
        <v>879</v>
      </c>
      <c r="I793" s="2">
        <v>7000</v>
      </c>
    </row>
    <row r="794" spans="1:9" x14ac:dyDescent="0.3">
      <c r="A794" s="5">
        <v>9708</v>
      </c>
      <c r="B794" s="5" t="s">
        <v>1355</v>
      </c>
      <c r="C794" s="5">
        <v>1</v>
      </c>
      <c r="D794" s="5" t="s">
        <v>10</v>
      </c>
      <c r="E794" t="s">
        <v>1356</v>
      </c>
      <c r="F794" t="s">
        <v>1357</v>
      </c>
      <c r="G794">
        <v>0</v>
      </c>
      <c r="H794" t="s">
        <v>1358</v>
      </c>
      <c r="I794" s="2">
        <v>20000</v>
      </c>
    </row>
    <row r="795" spans="1:9" x14ac:dyDescent="0.3">
      <c r="A795" s="5">
        <v>9708</v>
      </c>
      <c r="B795" s="5" t="s">
        <v>1355</v>
      </c>
      <c r="C795" s="5">
        <v>1</v>
      </c>
      <c r="D795" s="5" t="s">
        <v>10</v>
      </c>
      <c r="E795" t="s">
        <v>1356</v>
      </c>
      <c r="F795" t="s">
        <v>1357</v>
      </c>
      <c r="G795">
        <v>0</v>
      </c>
      <c r="H795" t="s">
        <v>1359</v>
      </c>
      <c r="I795" s="2">
        <v>7000</v>
      </c>
    </row>
    <row r="796" spans="1:9" x14ac:dyDescent="0.3">
      <c r="A796" s="5">
        <v>9707</v>
      </c>
      <c r="B796" s="5" t="s">
        <v>1360</v>
      </c>
      <c r="C796" s="5">
        <v>1</v>
      </c>
      <c r="D796" s="5" t="s">
        <v>10</v>
      </c>
      <c r="E796" t="s">
        <v>1361</v>
      </c>
      <c r="G796">
        <v>0</v>
      </c>
      <c r="H796" t="s">
        <v>1362</v>
      </c>
      <c r="I796" s="2">
        <v>8000</v>
      </c>
    </row>
    <row r="797" spans="1:9" x14ac:dyDescent="0.3">
      <c r="A797" s="5">
        <v>9707</v>
      </c>
      <c r="B797" s="5" t="s">
        <v>1360</v>
      </c>
      <c r="C797" s="5">
        <v>1</v>
      </c>
      <c r="D797" s="5" t="s">
        <v>10</v>
      </c>
      <c r="E797" t="s">
        <v>1361</v>
      </c>
      <c r="G797">
        <v>0</v>
      </c>
      <c r="H797" t="s">
        <v>1363</v>
      </c>
      <c r="I797" s="2">
        <v>8000</v>
      </c>
    </row>
    <row r="798" spans="1:9" x14ac:dyDescent="0.3">
      <c r="A798" s="5">
        <v>9707</v>
      </c>
      <c r="B798" s="5" t="s">
        <v>1360</v>
      </c>
      <c r="C798" s="5">
        <v>1</v>
      </c>
      <c r="D798" s="5" t="s">
        <v>10</v>
      </c>
      <c r="E798" t="s">
        <v>1361</v>
      </c>
      <c r="G798">
        <v>0</v>
      </c>
      <c r="H798" t="s">
        <v>1364</v>
      </c>
      <c r="I798" s="2">
        <v>9000</v>
      </c>
    </row>
    <row r="799" spans="1:9" x14ac:dyDescent="0.3">
      <c r="A799" s="5">
        <v>9707</v>
      </c>
      <c r="B799" s="5" t="s">
        <v>1360</v>
      </c>
      <c r="C799" s="5">
        <v>1</v>
      </c>
      <c r="D799" s="5" t="s">
        <v>10</v>
      </c>
      <c r="E799" t="s">
        <v>1361</v>
      </c>
      <c r="G799">
        <v>0</v>
      </c>
      <c r="H799" t="s">
        <v>1365</v>
      </c>
      <c r="I799" s="2">
        <v>9000</v>
      </c>
    </row>
    <row r="800" spans="1:9" x14ac:dyDescent="0.3">
      <c r="A800" s="5">
        <v>9707</v>
      </c>
      <c r="B800" s="5" t="s">
        <v>1360</v>
      </c>
      <c r="C800" s="5">
        <v>1</v>
      </c>
      <c r="D800" s="5" t="s">
        <v>10</v>
      </c>
      <c r="E800" t="s">
        <v>1361</v>
      </c>
      <c r="G800">
        <v>0</v>
      </c>
      <c r="H800" t="s">
        <v>1366</v>
      </c>
      <c r="I800" s="2">
        <v>11000</v>
      </c>
    </row>
    <row r="801" spans="1:9" x14ac:dyDescent="0.3">
      <c r="A801" s="5">
        <v>9707</v>
      </c>
      <c r="B801" s="5" t="s">
        <v>1360</v>
      </c>
      <c r="C801" s="5">
        <v>1</v>
      </c>
      <c r="D801" s="5" t="s">
        <v>10</v>
      </c>
      <c r="E801" t="s">
        <v>1361</v>
      </c>
      <c r="G801">
        <v>0</v>
      </c>
      <c r="H801" t="s">
        <v>1367</v>
      </c>
      <c r="I801" s="2">
        <v>9000</v>
      </c>
    </row>
    <row r="802" spans="1:9" x14ac:dyDescent="0.3">
      <c r="A802" s="5">
        <v>9706</v>
      </c>
      <c r="B802" s="5" t="s">
        <v>1368</v>
      </c>
      <c r="C802" s="5">
        <v>4</v>
      </c>
      <c r="D802" s="5" t="s">
        <v>39</v>
      </c>
      <c r="E802" t="s">
        <v>1369</v>
      </c>
      <c r="F802" t="s">
        <v>1370</v>
      </c>
      <c r="G802">
        <v>0</v>
      </c>
      <c r="H802" t="s">
        <v>205</v>
      </c>
      <c r="I802" s="2">
        <v>3500</v>
      </c>
    </row>
    <row r="803" spans="1:9" x14ac:dyDescent="0.3">
      <c r="A803" s="5">
        <v>9706</v>
      </c>
      <c r="B803" s="5" t="s">
        <v>1368</v>
      </c>
      <c r="C803" s="5">
        <v>4</v>
      </c>
      <c r="D803" s="5" t="s">
        <v>39</v>
      </c>
      <c r="E803" t="s">
        <v>1369</v>
      </c>
      <c r="F803" t="s">
        <v>1370</v>
      </c>
      <c r="G803">
        <v>0</v>
      </c>
      <c r="H803" t="s">
        <v>1011</v>
      </c>
      <c r="I803" s="2">
        <v>3500</v>
      </c>
    </row>
    <row r="804" spans="1:9" x14ac:dyDescent="0.3">
      <c r="A804" s="5">
        <v>9706</v>
      </c>
      <c r="B804" s="5" t="s">
        <v>1368</v>
      </c>
      <c r="C804" s="5">
        <v>4</v>
      </c>
      <c r="D804" s="5" t="s">
        <v>39</v>
      </c>
      <c r="E804" t="s">
        <v>1369</v>
      </c>
      <c r="F804" t="s">
        <v>1370</v>
      </c>
      <c r="G804">
        <v>0</v>
      </c>
      <c r="H804" t="s">
        <v>1371</v>
      </c>
      <c r="I804" s="2">
        <v>4500</v>
      </c>
    </row>
    <row r="805" spans="1:9" x14ac:dyDescent="0.3">
      <c r="A805" s="5">
        <v>9706</v>
      </c>
      <c r="B805" s="5" t="s">
        <v>1368</v>
      </c>
      <c r="C805" s="5">
        <v>4</v>
      </c>
      <c r="D805" s="5" t="s">
        <v>39</v>
      </c>
      <c r="E805" t="s">
        <v>1369</v>
      </c>
      <c r="F805" t="s">
        <v>1370</v>
      </c>
      <c r="G805">
        <v>0</v>
      </c>
      <c r="H805" t="s">
        <v>1372</v>
      </c>
      <c r="I805" s="2">
        <v>4500</v>
      </c>
    </row>
    <row r="806" spans="1:9" x14ac:dyDescent="0.3">
      <c r="A806" s="5">
        <v>9706</v>
      </c>
      <c r="B806" s="5" t="s">
        <v>1368</v>
      </c>
      <c r="C806" s="5">
        <v>4</v>
      </c>
      <c r="D806" s="5" t="s">
        <v>39</v>
      </c>
      <c r="E806" t="s">
        <v>1369</v>
      </c>
      <c r="F806" t="s">
        <v>1370</v>
      </c>
      <c r="G806">
        <v>0</v>
      </c>
      <c r="H806" t="s">
        <v>342</v>
      </c>
      <c r="I806" s="2">
        <v>4000</v>
      </c>
    </row>
    <row r="807" spans="1:9" x14ac:dyDescent="0.3">
      <c r="A807" s="5">
        <v>9706</v>
      </c>
      <c r="B807" s="5" t="s">
        <v>1368</v>
      </c>
      <c r="C807" s="5">
        <v>4</v>
      </c>
      <c r="D807" s="5" t="s">
        <v>39</v>
      </c>
      <c r="E807" t="s">
        <v>1369</v>
      </c>
      <c r="F807" t="s">
        <v>1370</v>
      </c>
      <c r="G807">
        <v>0</v>
      </c>
      <c r="H807" t="s">
        <v>1373</v>
      </c>
      <c r="I807" s="2">
        <v>4000</v>
      </c>
    </row>
    <row r="808" spans="1:9" x14ac:dyDescent="0.3">
      <c r="A808" s="5">
        <v>9706</v>
      </c>
      <c r="B808" s="5" t="s">
        <v>1368</v>
      </c>
      <c r="C808" s="5">
        <v>4</v>
      </c>
      <c r="D808" s="5" t="s">
        <v>39</v>
      </c>
      <c r="E808" t="s">
        <v>1369</v>
      </c>
      <c r="F808" t="s">
        <v>1370</v>
      </c>
      <c r="G808">
        <v>0</v>
      </c>
      <c r="H808" t="s">
        <v>1347</v>
      </c>
      <c r="I808" s="2">
        <v>4500</v>
      </c>
    </row>
    <row r="809" spans="1:9" x14ac:dyDescent="0.3">
      <c r="A809" s="5">
        <v>9706</v>
      </c>
      <c r="B809" s="5" t="s">
        <v>1368</v>
      </c>
      <c r="C809" s="5">
        <v>4</v>
      </c>
      <c r="D809" s="5" t="s">
        <v>39</v>
      </c>
      <c r="E809" t="s">
        <v>1369</v>
      </c>
      <c r="F809" t="s">
        <v>1370</v>
      </c>
      <c r="G809">
        <v>0</v>
      </c>
      <c r="H809" t="s">
        <v>1347</v>
      </c>
      <c r="I809" s="2">
        <v>4500</v>
      </c>
    </row>
    <row r="810" spans="1:9" x14ac:dyDescent="0.3">
      <c r="A810" s="5">
        <v>9706</v>
      </c>
      <c r="B810" s="5" t="s">
        <v>1368</v>
      </c>
      <c r="C810" s="5">
        <v>4</v>
      </c>
      <c r="D810" s="5" t="s">
        <v>39</v>
      </c>
      <c r="E810" t="s">
        <v>1369</v>
      </c>
      <c r="F810" t="s">
        <v>1370</v>
      </c>
      <c r="G810">
        <v>0</v>
      </c>
      <c r="H810" t="s">
        <v>342</v>
      </c>
      <c r="I810" s="2">
        <v>4000</v>
      </c>
    </row>
    <row r="811" spans="1:9" x14ac:dyDescent="0.3">
      <c r="A811" s="5">
        <v>9705</v>
      </c>
      <c r="B811" s="5" t="s">
        <v>1374</v>
      </c>
      <c r="C811" s="5">
        <v>1</v>
      </c>
      <c r="D811" s="5" t="s">
        <v>10</v>
      </c>
      <c r="E811" t="s">
        <v>1375</v>
      </c>
      <c r="F811" t="s">
        <v>1376</v>
      </c>
      <c r="G811">
        <v>0</v>
      </c>
      <c r="H811" t="s">
        <v>1377</v>
      </c>
      <c r="I811" s="2">
        <v>13500</v>
      </c>
    </row>
    <row r="812" spans="1:9" x14ac:dyDescent="0.3">
      <c r="A812" s="5">
        <v>9705</v>
      </c>
      <c r="B812" s="5" t="s">
        <v>1374</v>
      </c>
      <c r="C812" s="5">
        <v>1</v>
      </c>
      <c r="D812" s="5" t="s">
        <v>10</v>
      </c>
      <c r="E812" t="s">
        <v>1375</v>
      </c>
      <c r="F812" t="s">
        <v>1376</v>
      </c>
      <c r="G812">
        <v>0</v>
      </c>
      <c r="H812" t="s">
        <v>471</v>
      </c>
      <c r="I812" s="2">
        <v>12000</v>
      </c>
    </row>
    <row r="813" spans="1:9" x14ac:dyDescent="0.3">
      <c r="A813" s="5">
        <v>9705</v>
      </c>
      <c r="B813" s="5" t="s">
        <v>1374</v>
      </c>
      <c r="C813" s="5">
        <v>1</v>
      </c>
      <c r="D813" s="5" t="s">
        <v>10</v>
      </c>
      <c r="E813" t="s">
        <v>1375</v>
      </c>
      <c r="F813" t="s">
        <v>1376</v>
      </c>
      <c r="G813">
        <v>0</v>
      </c>
      <c r="H813" t="s">
        <v>1378</v>
      </c>
      <c r="I813" s="2">
        <v>8000</v>
      </c>
    </row>
    <row r="814" spans="1:9" x14ac:dyDescent="0.3">
      <c r="A814" s="5">
        <v>9705</v>
      </c>
      <c r="B814" s="5" t="s">
        <v>1374</v>
      </c>
      <c r="C814" s="5">
        <v>1</v>
      </c>
      <c r="D814" s="5" t="s">
        <v>10</v>
      </c>
      <c r="E814" t="s">
        <v>1375</v>
      </c>
      <c r="F814" t="s">
        <v>1376</v>
      </c>
      <c r="G814">
        <v>0</v>
      </c>
      <c r="H814" t="s">
        <v>126</v>
      </c>
      <c r="I814" s="2">
        <v>8000</v>
      </c>
    </row>
    <row r="815" spans="1:9" x14ac:dyDescent="0.3">
      <c r="A815" s="5">
        <v>9705</v>
      </c>
      <c r="B815" s="5" t="s">
        <v>1374</v>
      </c>
      <c r="C815" s="5">
        <v>1</v>
      </c>
      <c r="D815" s="5" t="s">
        <v>10</v>
      </c>
      <c r="E815" t="s">
        <v>1375</v>
      </c>
      <c r="F815" t="s">
        <v>1376</v>
      </c>
      <c r="G815">
        <v>0</v>
      </c>
      <c r="H815" t="s">
        <v>1379</v>
      </c>
      <c r="I815" s="2">
        <v>8000</v>
      </c>
    </row>
    <row r="816" spans="1:9" x14ac:dyDescent="0.3">
      <c r="A816" s="5">
        <v>9705</v>
      </c>
      <c r="B816" s="5" t="s">
        <v>1374</v>
      </c>
      <c r="C816" s="5">
        <v>1</v>
      </c>
      <c r="D816" s="5" t="s">
        <v>10</v>
      </c>
      <c r="E816" t="s">
        <v>1375</v>
      </c>
      <c r="F816" t="s">
        <v>1376</v>
      </c>
      <c r="G816">
        <v>0</v>
      </c>
      <c r="H816" t="s">
        <v>35</v>
      </c>
      <c r="I816" s="2">
        <v>9000</v>
      </c>
    </row>
    <row r="817" spans="1:9" x14ac:dyDescent="0.3">
      <c r="A817" s="5">
        <v>9705</v>
      </c>
      <c r="B817" s="5" t="s">
        <v>1374</v>
      </c>
      <c r="C817" s="5">
        <v>1</v>
      </c>
      <c r="D817" s="5" t="s">
        <v>10</v>
      </c>
      <c r="E817" t="s">
        <v>1375</v>
      </c>
      <c r="F817" t="s">
        <v>1376</v>
      </c>
      <c r="G817">
        <v>0</v>
      </c>
      <c r="H817" t="s">
        <v>869</v>
      </c>
      <c r="I817" s="2">
        <v>10000</v>
      </c>
    </row>
    <row r="818" spans="1:9" x14ac:dyDescent="0.3">
      <c r="A818" s="5">
        <v>9705</v>
      </c>
      <c r="B818" s="5" t="s">
        <v>1374</v>
      </c>
      <c r="C818" s="5">
        <v>1</v>
      </c>
      <c r="D818" s="5" t="s">
        <v>10</v>
      </c>
      <c r="E818" t="s">
        <v>1375</v>
      </c>
      <c r="F818" t="s">
        <v>1376</v>
      </c>
      <c r="G818">
        <v>0</v>
      </c>
      <c r="H818" t="s">
        <v>1380</v>
      </c>
      <c r="I818" s="2">
        <v>12000</v>
      </c>
    </row>
    <row r="819" spans="1:9" x14ac:dyDescent="0.3">
      <c r="A819" s="5">
        <v>9705</v>
      </c>
      <c r="B819" s="5" t="s">
        <v>1374</v>
      </c>
      <c r="C819" s="5">
        <v>1</v>
      </c>
      <c r="D819" s="5" t="s">
        <v>10</v>
      </c>
      <c r="E819" t="s">
        <v>1375</v>
      </c>
      <c r="F819" t="s">
        <v>1376</v>
      </c>
      <c r="G819">
        <v>0</v>
      </c>
      <c r="H819" t="s">
        <v>36</v>
      </c>
      <c r="I819" s="2">
        <v>10000</v>
      </c>
    </row>
    <row r="820" spans="1:9" x14ac:dyDescent="0.3">
      <c r="A820" s="5">
        <v>9704</v>
      </c>
      <c r="B820" s="5" t="s">
        <v>1381</v>
      </c>
      <c r="C820" s="5">
        <v>1</v>
      </c>
      <c r="D820" s="5" t="s">
        <v>10</v>
      </c>
      <c r="E820" t="s">
        <v>1382</v>
      </c>
      <c r="F820" t="s">
        <v>1383</v>
      </c>
      <c r="G820">
        <v>0</v>
      </c>
      <c r="H820" t="s">
        <v>1384</v>
      </c>
      <c r="I820" s="2">
        <v>15000</v>
      </c>
    </row>
    <row r="821" spans="1:9" x14ac:dyDescent="0.3">
      <c r="A821" s="5">
        <v>9704</v>
      </c>
      <c r="B821" s="5" t="s">
        <v>1381</v>
      </c>
      <c r="C821" s="5">
        <v>1</v>
      </c>
      <c r="D821" s="5" t="s">
        <v>10</v>
      </c>
      <c r="E821" t="s">
        <v>1382</v>
      </c>
      <c r="F821" t="s">
        <v>1383</v>
      </c>
      <c r="G821">
        <v>0</v>
      </c>
      <c r="H821" t="s">
        <v>1385</v>
      </c>
      <c r="I821" s="2">
        <v>15000</v>
      </c>
    </row>
    <row r="822" spans="1:9" x14ac:dyDescent="0.3">
      <c r="A822" s="5">
        <v>9704</v>
      </c>
      <c r="B822" s="5" t="s">
        <v>1381</v>
      </c>
      <c r="C822" s="5">
        <v>1</v>
      </c>
      <c r="D822" s="5" t="s">
        <v>10</v>
      </c>
      <c r="E822" t="s">
        <v>1382</v>
      </c>
      <c r="F822" t="s">
        <v>1383</v>
      </c>
      <c r="G822">
        <v>0</v>
      </c>
      <c r="H822" t="s">
        <v>1386</v>
      </c>
      <c r="I822" s="2">
        <v>19000</v>
      </c>
    </row>
    <row r="823" spans="1:9" x14ac:dyDescent="0.3">
      <c r="A823" s="5">
        <v>9704</v>
      </c>
      <c r="B823" s="5" t="s">
        <v>1381</v>
      </c>
      <c r="C823" s="5">
        <v>1</v>
      </c>
      <c r="D823" s="5" t="s">
        <v>10</v>
      </c>
      <c r="E823" t="s">
        <v>1382</v>
      </c>
      <c r="F823" t="s">
        <v>1383</v>
      </c>
      <c r="G823">
        <v>0</v>
      </c>
      <c r="H823" t="s">
        <v>1387</v>
      </c>
      <c r="I823" s="2">
        <v>13000</v>
      </c>
    </row>
    <row r="824" spans="1:9" x14ac:dyDescent="0.3">
      <c r="A824" s="5">
        <v>9704</v>
      </c>
      <c r="B824" s="5" t="s">
        <v>1381</v>
      </c>
      <c r="C824" s="5">
        <v>1</v>
      </c>
      <c r="D824" s="5" t="s">
        <v>10</v>
      </c>
      <c r="E824" t="s">
        <v>1382</v>
      </c>
      <c r="F824" t="s">
        <v>1383</v>
      </c>
      <c r="G824">
        <v>0</v>
      </c>
      <c r="H824" t="s">
        <v>1388</v>
      </c>
      <c r="I824" s="2">
        <v>13000</v>
      </c>
    </row>
    <row r="825" spans="1:9" x14ac:dyDescent="0.3">
      <c r="A825" s="5">
        <v>9703</v>
      </c>
      <c r="B825" s="5" t="s">
        <v>1389</v>
      </c>
      <c r="C825" s="5">
        <v>1</v>
      </c>
      <c r="D825" s="5" t="s">
        <v>10</v>
      </c>
      <c r="E825" t="s">
        <v>1390</v>
      </c>
      <c r="F825" t="s">
        <v>1391</v>
      </c>
      <c r="G825">
        <v>0</v>
      </c>
      <c r="H825" t="s">
        <v>1392</v>
      </c>
      <c r="I825" s="2">
        <v>12000</v>
      </c>
    </row>
    <row r="826" spans="1:9" x14ac:dyDescent="0.3">
      <c r="A826" s="5">
        <v>9703</v>
      </c>
      <c r="B826" s="5" t="s">
        <v>1389</v>
      </c>
      <c r="C826" s="5">
        <v>1</v>
      </c>
      <c r="D826" s="5" t="s">
        <v>10</v>
      </c>
      <c r="E826" t="s">
        <v>1390</v>
      </c>
      <c r="F826" t="s">
        <v>1391</v>
      </c>
      <c r="G826">
        <v>0</v>
      </c>
      <c r="H826" t="s">
        <v>35</v>
      </c>
      <c r="I826" s="2">
        <v>5000</v>
      </c>
    </row>
    <row r="827" spans="1:9" x14ac:dyDescent="0.3">
      <c r="A827" s="5">
        <v>9703</v>
      </c>
      <c r="B827" s="5" t="s">
        <v>1389</v>
      </c>
      <c r="C827" s="5">
        <v>1</v>
      </c>
      <c r="D827" s="5" t="s">
        <v>10</v>
      </c>
      <c r="E827" t="s">
        <v>1390</v>
      </c>
      <c r="F827" t="s">
        <v>1391</v>
      </c>
      <c r="G827">
        <v>0</v>
      </c>
      <c r="H827" t="s">
        <v>149</v>
      </c>
      <c r="I827" s="2">
        <v>5000</v>
      </c>
    </row>
    <row r="828" spans="1:9" x14ac:dyDescent="0.3">
      <c r="A828" s="5">
        <v>9702</v>
      </c>
      <c r="B828" s="5" t="s">
        <v>1393</v>
      </c>
      <c r="C828" s="5">
        <v>1</v>
      </c>
      <c r="D828" s="5" t="s">
        <v>10</v>
      </c>
      <c r="E828" t="s">
        <v>1394</v>
      </c>
      <c r="F828" t="s">
        <v>1395</v>
      </c>
      <c r="G828">
        <v>0</v>
      </c>
      <c r="H828" t="s">
        <v>875</v>
      </c>
      <c r="I828" s="2">
        <v>13000</v>
      </c>
    </row>
    <row r="829" spans="1:9" x14ac:dyDescent="0.3">
      <c r="A829" s="5">
        <v>9702</v>
      </c>
      <c r="B829" s="5" t="s">
        <v>1393</v>
      </c>
      <c r="C829" s="5">
        <v>1</v>
      </c>
      <c r="D829" s="5" t="s">
        <v>10</v>
      </c>
      <c r="E829" t="s">
        <v>1394</v>
      </c>
      <c r="F829" t="s">
        <v>1395</v>
      </c>
      <c r="G829">
        <v>0</v>
      </c>
      <c r="H829" t="s">
        <v>95</v>
      </c>
      <c r="I829" s="2">
        <v>9000</v>
      </c>
    </row>
    <row r="830" spans="1:9" x14ac:dyDescent="0.3">
      <c r="A830" s="5">
        <v>9702</v>
      </c>
      <c r="B830" s="5" t="s">
        <v>1393</v>
      </c>
      <c r="C830" s="5">
        <v>1</v>
      </c>
      <c r="D830" s="5" t="s">
        <v>10</v>
      </c>
      <c r="E830" t="s">
        <v>1394</v>
      </c>
      <c r="F830" t="s">
        <v>1395</v>
      </c>
      <c r="G830">
        <v>0</v>
      </c>
      <c r="H830" t="s">
        <v>259</v>
      </c>
      <c r="I830" s="2">
        <v>9000</v>
      </c>
    </row>
    <row r="831" spans="1:9" x14ac:dyDescent="0.3">
      <c r="A831" s="5">
        <v>9702</v>
      </c>
      <c r="B831" s="5" t="s">
        <v>1393</v>
      </c>
      <c r="C831" s="5">
        <v>1</v>
      </c>
      <c r="D831" s="5" t="s">
        <v>10</v>
      </c>
      <c r="E831" t="s">
        <v>1394</v>
      </c>
      <c r="F831" t="s">
        <v>1395</v>
      </c>
      <c r="G831">
        <v>0</v>
      </c>
      <c r="H831" t="s">
        <v>1396</v>
      </c>
      <c r="I831" s="2">
        <v>9000</v>
      </c>
    </row>
    <row r="832" spans="1:9" x14ac:dyDescent="0.3">
      <c r="A832" s="5">
        <v>9702</v>
      </c>
      <c r="B832" s="5" t="s">
        <v>1393</v>
      </c>
      <c r="C832" s="5">
        <v>1</v>
      </c>
      <c r="D832" s="5" t="s">
        <v>10</v>
      </c>
      <c r="E832" t="s">
        <v>1394</v>
      </c>
      <c r="F832" t="s">
        <v>1395</v>
      </c>
      <c r="G832">
        <v>0</v>
      </c>
      <c r="H832" t="s">
        <v>139</v>
      </c>
      <c r="I832" s="2">
        <v>9000</v>
      </c>
    </row>
    <row r="833" spans="1:9" x14ac:dyDescent="0.3">
      <c r="A833" s="5">
        <v>9702</v>
      </c>
      <c r="B833" s="5" t="s">
        <v>1393</v>
      </c>
      <c r="C833" s="5">
        <v>1</v>
      </c>
      <c r="D833" s="5" t="s">
        <v>10</v>
      </c>
      <c r="E833" t="s">
        <v>1394</v>
      </c>
      <c r="F833" t="s">
        <v>1395</v>
      </c>
      <c r="G833">
        <v>0</v>
      </c>
      <c r="H833" t="s">
        <v>126</v>
      </c>
      <c r="I833" s="2">
        <v>9000</v>
      </c>
    </row>
    <row r="834" spans="1:9" x14ac:dyDescent="0.3">
      <c r="A834" s="5">
        <v>9701</v>
      </c>
      <c r="B834" s="5" t="s">
        <v>1397</v>
      </c>
      <c r="C834" s="5">
        <v>4</v>
      </c>
      <c r="D834" s="5" t="s">
        <v>39</v>
      </c>
      <c r="E834" t="s">
        <v>1398</v>
      </c>
      <c r="F834" t="s">
        <v>1399</v>
      </c>
      <c r="G834">
        <v>0</v>
      </c>
      <c r="H834" t="s">
        <v>793</v>
      </c>
      <c r="I834" s="2">
        <v>10000</v>
      </c>
    </row>
    <row r="835" spans="1:9" x14ac:dyDescent="0.3">
      <c r="A835" s="5">
        <v>9701</v>
      </c>
      <c r="B835" s="5" t="s">
        <v>1397</v>
      </c>
      <c r="C835" s="5">
        <v>4</v>
      </c>
      <c r="D835" s="5" t="s">
        <v>39</v>
      </c>
      <c r="E835" t="s">
        <v>1398</v>
      </c>
      <c r="F835" t="s">
        <v>1399</v>
      </c>
      <c r="G835">
        <v>0</v>
      </c>
      <c r="H835" t="s">
        <v>100</v>
      </c>
      <c r="I835" s="2">
        <v>10000</v>
      </c>
    </row>
    <row r="836" spans="1:9" x14ac:dyDescent="0.3">
      <c r="A836" s="5">
        <v>9701</v>
      </c>
      <c r="B836" s="5" t="s">
        <v>1397</v>
      </c>
      <c r="C836" s="5">
        <v>4</v>
      </c>
      <c r="D836" s="5" t="s">
        <v>39</v>
      </c>
      <c r="E836" t="s">
        <v>1398</v>
      </c>
      <c r="F836" t="s">
        <v>1399</v>
      </c>
      <c r="G836">
        <v>0</v>
      </c>
      <c r="H836" t="s">
        <v>794</v>
      </c>
      <c r="I836" s="2">
        <v>10000</v>
      </c>
    </row>
    <row r="837" spans="1:9" x14ac:dyDescent="0.3">
      <c r="A837" s="5">
        <v>9701</v>
      </c>
      <c r="B837" s="5" t="s">
        <v>1397</v>
      </c>
      <c r="C837" s="5">
        <v>4</v>
      </c>
      <c r="D837" s="5" t="s">
        <v>39</v>
      </c>
      <c r="E837" t="s">
        <v>1398</v>
      </c>
      <c r="F837" t="s">
        <v>1399</v>
      </c>
      <c r="G837">
        <v>0</v>
      </c>
      <c r="H837" t="s">
        <v>1400</v>
      </c>
      <c r="I837" s="2">
        <v>11000</v>
      </c>
    </row>
    <row r="838" spans="1:9" x14ac:dyDescent="0.3">
      <c r="A838" s="5">
        <v>9701</v>
      </c>
      <c r="B838" s="5" t="s">
        <v>1397</v>
      </c>
      <c r="C838" s="5">
        <v>4</v>
      </c>
      <c r="D838" s="5" t="s">
        <v>39</v>
      </c>
      <c r="E838" t="s">
        <v>1398</v>
      </c>
      <c r="F838" t="s">
        <v>1399</v>
      </c>
      <c r="G838">
        <v>0</v>
      </c>
      <c r="H838" t="s">
        <v>1401</v>
      </c>
      <c r="I838" s="2">
        <v>12500</v>
      </c>
    </row>
    <row r="839" spans="1:9" x14ac:dyDescent="0.3">
      <c r="A839" s="5">
        <v>9701</v>
      </c>
      <c r="B839" s="5" t="s">
        <v>1397</v>
      </c>
      <c r="C839" s="5">
        <v>4</v>
      </c>
      <c r="D839" s="5" t="s">
        <v>39</v>
      </c>
      <c r="E839" t="s">
        <v>1398</v>
      </c>
      <c r="F839" t="s">
        <v>1399</v>
      </c>
      <c r="G839">
        <v>0</v>
      </c>
      <c r="H839" t="s">
        <v>1402</v>
      </c>
      <c r="I839" s="2">
        <v>9500</v>
      </c>
    </row>
    <row r="840" spans="1:9" x14ac:dyDescent="0.3">
      <c r="A840" s="5">
        <v>9701</v>
      </c>
      <c r="B840" s="5" t="s">
        <v>1397</v>
      </c>
      <c r="C840" s="5">
        <v>4</v>
      </c>
      <c r="D840" s="5" t="s">
        <v>39</v>
      </c>
      <c r="E840" t="s">
        <v>1398</v>
      </c>
      <c r="F840" t="s">
        <v>1399</v>
      </c>
      <c r="G840">
        <v>0</v>
      </c>
      <c r="H840" t="s">
        <v>1403</v>
      </c>
      <c r="I840" s="2">
        <v>9000</v>
      </c>
    </row>
    <row r="841" spans="1:9" x14ac:dyDescent="0.3">
      <c r="A841" s="5">
        <v>9701</v>
      </c>
      <c r="B841" s="5" t="s">
        <v>1397</v>
      </c>
      <c r="C841" s="5">
        <v>4</v>
      </c>
      <c r="D841" s="5" t="s">
        <v>39</v>
      </c>
      <c r="E841" t="s">
        <v>1398</v>
      </c>
      <c r="F841" t="s">
        <v>1399</v>
      </c>
      <c r="G841">
        <v>0</v>
      </c>
      <c r="H841" t="s">
        <v>1404</v>
      </c>
      <c r="I841" s="2">
        <v>9000</v>
      </c>
    </row>
    <row r="842" spans="1:9" x14ac:dyDescent="0.3">
      <c r="A842" s="5">
        <v>9701</v>
      </c>
      <c r="B842" s="5" t="s">
        <v>1397</v>
      </c>
      <c r="C842" s="5">
        <v>4</v>
      </c>
      <c r="D842" s="5" t="s">
        <v>39</v>
      </c>
      <c r="E842" t="s">
        <v>1398</v>
      </c>
      <c r="F842" t="s">
        <v>1399</v>
      </c>
      <c r="G842">
        <v>0</v>
      </c>
      <c r="H842" t="s">
        <v>1405</v>
      </c>
      <c r="I842" s="2">
        <v>10500</v>
      </c>
    </row>
    <row r="843" spans="1:9" x14ac:dyDescent="0.3">
      <c r="A843" s="5">
        <v>9700</v>
      </c>
      <c r="B843" s="5" t="s">
        <v>1406</v>
      </c>
      <c r="C843" s="5">
        <v>1</v>
      </c>
      <c r="D843" s="5" t="s">
        <v>10</v>
      </c>
      <c r="E843" t="s">
        <v>1407</v>
      </c>
      <c r="F843" t="s">
        <v>1408</v>
      </c>
      <c r="G843">
        <v>0</v>
      </c>
      <c r="H843" t="s">
        <v>1409</v>
      </c>
      <c r="I843" s="2">
        <v>10000</v>
      </c>
    </row>
    <row r="844" spans="1:9" x14ac:dyDescent="0.3">
      <c r="A844" s="5">
        <v>9700</v>
      </c>
      <c r="B844" s="5" t="s">
        <v>1406</v>
      </c>
      <c r="C844" s="5">
        <v>1</v>
      </c>
      <c r="D844" s="5" t="s">
        <v>10</v>
      </c>
      <c r="E844" t="s">
        <v>1407</v>
      </c>
      <c r="F844" t="s">
        <v>1408</v>
      </c>
      <c r="G844">
        <v>0</v>
      </c>
      <c r="H844" t="s">
        <v>126</v>
      </c>
      <c r="I844" s="2">
        <v>9000</v>
      </c>
    </row>
    <row r="845" spans="1:9" x14ac:dyDescent="0.3">
      <c r="A845" s="5">
        <v>9700</v>
      </c>
      <c r="B845" s="5" t="s">
        <v>1406</v>
      </c>
      <c r="C845" s="5">
        <v>1</v>
      </c>
      <c r="D845" s="5" t="s">
        <v>10</v>
      </c>
      <c r="E845" t="s">
        <v>1407</v>
      </c>
      <c r="F845" t="s">
        <v>1408</v>
      </c>
      <c r="G845">
        <v>0</v>
      </c>
      <c r="H845" t="s">
        <v>1410</v>
      </c>
      <c r="I845" s="2">
        <v>10000</v>
      </c>
    </row>
    <row r="846" spans="1:9" x14ac:dyDescent="0.3">
      <c r="A846" s="5">
        <v>9700</v>
      </c>
      <c r="B846" s="5" t="s">
        <v>1406</v>
      </c>
      <c r="C846" s="5">
        <v>1</v>
      </c>
      <c r="D846" s="5" t="s">
        <v>10</v>
      </c>
      <c r="E846" t="s">
        <v>1407</v>
      </c>
      <c r="F846" t="s">
        <v>1408</v>
      </c>
      <c r="G846">
        <v>0</v>
      </c>
      <c r="H846" t="s">
        <v>1409</v>
      </c>
      <c r="I846" s="2">
        <v>9000</v>
      </c>
    </row>
    <row r="847" spans="1:9" x14ac:dyDescent="0.3">
      <c r="A847" s="5">
        <v>9700</v>
      </c>
      <c r="B847" s="5" t="s">
        <v>1406</v>
      </c>
      <c r="C847" s="5">
        <v>1</v>
      </c>
      <c r="D847" s="5" t="s">
        <v>10</v>
      </c>
      <c r="E847" t="s">
        <v>1407</v>
      </c>
      <c r="F847" t="s">
        <v>1408</v>
      </c>
      <c r="G847">
        <v>0</v>
      </c>
      <c r="H847" t="s">
        <v>1411</v>
      </c>
      <c r="I847" s="2">
        <v>9000</v>
      </c>
    </row>
    <row r="848" spans="1:9" x14ac:dyDescent="0.3">
      <c r="A848" s="5">
        <v>9700</v>
      </c>
      <c r="B848" s="5" t="s">
        <v>1406</v>
      </c>
      <c r="C848" s="5">
        <v>1</v>
      </c>
      <c r="D848" s="5" t="s">
        <v>10</v>
      </c>
      <c r="E848" t="s">
        <v>1407</v>
      </c>
      <c r="F848" t="s">
        <v>1408</v>
      </c>
      <c r="G848">
        <v>0</v>
      </c>
      <c r="H848" t="s">
        <v>1412</v>
      </c>
      <c r="I848" s="2">
        <v>9000</v>
      </c>
    </row>
    <row r="849" spans="1:9" x14ac:dyDescent="0.3">
      <c r="A849" s="5">
        <v>9700</v>
      </c>
      <c r="B849" s="5" t="s">
        <v>1406</v>
      </c>
      <c r="C849" s="5">
        <v>1</v>
      </c>
      <c r="D849" s="5" t="s">
        <v>10</v>
      </c>
      <c r="E849" t="s">
        <v>1407</v>
      </c>
      <c r="F849" t="s">
        <v>1408</v>
      </c>
      <c r="G849">
        <v>0</v>
      </c>
      <c r="H849" t="s">
        <v>1412</v>
      </c>
      <c r="I849" s="2">
        <v>9000</v>
      </c>
    </row>
    <row r="850" spans="1:9" x14ac:dyDescent="0.3">
      <c r="A850" s="5">
        <v>9699</v>
      </c>
      <c r="B850" s="5" t="s">
        <v>1413</v>
      </c>
      <c r="C850" s="5">
        <v>1</v>
      </c>
      <c r="D850" s="5" t="s">
        <v>10</v>
      </c>
      <c r="E850" t="s">
        <v>1414</v>
      </c>
      <c r="F850" t="s">
        <v>1415</v>
      </c>
      <c r="G850">
        <v>0</v>
      </c>
      <c r="H850" t="s">
        <v>35</v>
      </c>
      <c r="I850" s="2">
        <v>8000</v>
      </c>
    </row>
    <row r="851" spans="1:9" x14ac:dyDescent="0.3">
      <c r="A851" s="5">
        <v>9699</v>
      </c>
      <c r="B851" s="5" t="s">
        <v>1413</v>
      </c>
      <c r="C851" s="5">
        <v>1</v>
      </c>
      <c r="D851" s="5" t="s">
        <v>10</v>
      </c>
      <c r="E851" t="s">
        <v>1414</v>
      </c>
      <c r="F851" t="s">
        <v>1415</v>
      </c>
      <c r="G851">
        <v>0</v>
      </c>
      <c r="H851" t="s">
        <v>1416</v>
      </c>
      <c r="I851" s="2">
        <v>8000</v>
      </c>
    </row>
    <row r="852" spans="1:9" x14ac:dyDescent="0.3">
      <c r="A852" s="5">
        <v>9699</v>
      </c>
      <c r="B852" s="5" t="s">
        <v>1413</v>
      </c>
      <c r="C852" s="5">
        <v>1</v>
      </c>
      <c r="D852" s="5" t="s">
        <v>10</v>
      </c>
      <c r="E852" t="s">
        <v>1414</v>
      </c>
      <c r="F852" t="s">
        <v>1415</v>
      </c>
      <c r="G852">
        <v>0</v>
      </c>
      <c r="H852" t="s">
        <v>1416</v>
      </c>
      <c r="I852" s="2">
        <v>7000</v>
      </c>
    </row>
    <row r="853" spans="1:9" x14ac:dyDescent="0.3">
      <c r="A853" s="5">
        <v>9699</v>
      </c>
      <c r="B853" s="5" t="s">
        <v>1413</v>
      </c>
      <c r="C853" s="5">
        <v>1</v>
      </c>
      <c r="D853" s="5" t="s">
        <v>10</v>
      </c>
      <c r="E853" t="s">
        <v>1414</v>
      </c>
      <c r="F853" t="s">
        <v>1415</v>
      </c>
      <c r="G853">
        <v>0</v>
      </c>
      <c r="H853" t="s">
        <v>35</v>
      </c>
      <c r="I853" s="2">
        <v>10000</v>
      </c>
    </row>
    <row r="854" spans="1:9" x14ac:dyDescent="0.3">
      <c r="A854" s="5">
        <v>9699</v>
      </c>
      <c r="B854" s="5" t="s">
        <v>1413</v>
      </c>
      <c r="C854" s="5">
        <v>1</v>
      </c>
      <c r="D854" s="5" t="s">
        <v>10</v>
      </c>
      <c r="E854" t="s">
        <v>1414</v>
      </c>
      <c r="F854" t="s">
        <v>1415</v>
      </c>
      <c r="G854">
        <v>0</v>
      </c>
      <c r="H854" t="s">
        <v>133</v>
      </c>
      <c r="I854" s="2">
        <v>8000</v>
      </c>
    </row>
    <row r="855" spans="1:9" x14ac:dyDescent="0.3">
      <c r="A855" s="5">
        <v>9699</v>
      </c>
      <c r="B855" s="5" t="s">
        <v>1413</v>
      </c>
      <c r="C855" s="5">
        <v>1</v>
      </c>
      <c r="D855" s="5" t="s">
        <v>10</v>
      </c>
      <c r="E855" t="s">
        <v>1414</v>
      </c>
      <c r="F855" t="s">
        <v>1415</v>
      </c>
      <c r="G855">
        <v>0</v>
      </c>
      <c r="H855" t="s">
        <v>929</v>
      </c>
      <c r="I855" s="2">
        <v>10000</v>
      </c>
    </row>
    <row r="856" spans="1:9" x14ac:dyDescent="0.3">
      <c r="A856" s="5">
        <v>9699</v>
      </c>
      <c r="B856" s="5" t="s">
        <v>1413</v>
      </c>
      <c r="C856" s="5">
        <v>1</v>
      </c>
      <c r="D856" s="5" t="s">
        <v>10</v>
      </c>
      <c r="E856" t="s">
        <v>1414</v>
      </c>
      <c r="F856" t="s">
        <v>1415</v>
      </c>
      <c r="G856">
        <v>0</v>
      </c>
      <c r="H856" t="s">
        <v>1417</v>
      </c>
      <c r="I856" s="2">
        <v>8000</v>
      </c>
    </row>
    <row r="857" spans="1:9" x14ac:dyDescent="0.3">
      <c r="A857" s="5">
        <v>9699</v>
      </c>
      <c r="B857" s="5" t="s">
        <v>1413</v>
      </c>
      <c r="C857" s="5">
        <v>1</v>
      </c>
      <c r="D857" s="5" t="s">
        <v>10</v>
      </c>
      <c r="E857" t="s">
        <v>1414</v>
      </c>
      <c r="F857" t="s">
        <v>1415</v>
      </c>
      <c r="G857">
        <v>0</v>
      </c>
      <c r="H857" t="s">
        <v>929</v>
      </c>
      <c r="I857" s="2">
        <v>8000</v>
      </c>
    </row>
    <row r="858" spans="1:9" x14ac:dyDescent="0.3">
      <c r="A858" s="5">
        <v>9698</v>
      </c>
      <c r="B858" s="5" t="s">
        <v>1418</v>
      </c>
      <c r="C858" s="5">
        <v>5</v>
      </c>
      <c r="D858" s="5" t="s">
        <v>63</v>
      </c>
      <c r="E858" t="s">
        <v>1419</v>
      </c>
      <c r="F858" t="s">
        <v>1420</v>
      </c>
      <c r="G858">
        <v>0</v>
      </c>
      <c r="H858" t="s">
        <v>67</v>
      </c>
      <c r="I858" s="2">
        <v>15000</v>
      </c>
    </row>
    <row r="859" spans="1:9" x14ac:dyDescent="0.3">
      <c r="A859" s="5">
        <v>9698</v>
      </c>
      <c r="B859" s="5" t="s">
        <v>1418</v>
      </c>
      <c r="C859" s="5">
        <v>5</v>
      </c>
      <c r="D859" s="5" t="s">
        <v>63</v>
      </c>
      <c r="E859" t="s">
        <v>1419</v>
      </c>
      <c r="F859" t="s">
        <v>1420</v>
      </c>
      <c r="G859">
        <v>0</v>
      </c>
      <c r="H859" t="s">
        <v>88</v>
      </c>
      <c r="I859" s="2">
        <v>30000</v>
      </c>
    </row>
    <row r="860" spans="1:9" x14ac:dyDescent="0.3">
      <c r="A860" s="5">
        <v>9697</v>
      </c>
      <c r="B860" s="5" t="s">
        <v>1421</v>
      </c>
      <c r="C860" s="5">
        <v>7</v>
      </c>
      <c r="D860" s="5" t="s">
        <v>360</v>
      </c>
      <c r="E860" t="s">
        <v>1422</v>
      </c>
      <c r="F860" t="s">
        <v>1423</v>
      </c>
      <c r="G860">
        <v>0</v>
      </c>
      <c r="H860" t="s">
        <v>1424</v>
      </c>
      <c r="I860" s="2">
        <v>3000</v>
      </c>
    </row>
    <row r="861" spans="1:9" x14ac:dyDescent="0.3">
      <c r="A861" s="5">
        <v>9697</v>
      </c>
      <c r="B861" s="5" t="s">
        <v>1421</v>
      </c>
      <c r="C861" s="5">
        <v>7</v>
      </c>
      <c r="D861" s="5" t="s">
        <v>360</v>
      </c>
      <c r="E861" t="s">
        <v>1422</v>
      </c>
      <c r="F861" t="s">
        <v>1423</v>
      </c>
      <c r="G861">
        <v>0</v>
      </c>
      <c r="H861" t="s">
        <v>446</v>
      </c>
      <c r="I861" s="2">
        <v>7000</v>
      </c>
    </row>
    <row r="862" spans="1:9" x14ac:dyDescent="0.3">
      <c r="A862" s="5">
        <v>9696</v>
      </c>
      <c r="B862" s="5" t="s">
        <v>1425</v>
      </c>
      <c r="C862" s="5">
        <v>5</v>
      </c>
      <c r="D862" s="5" t="s">
        <v>63</v>
      </c>
      <c r="E862" t="s">
        <v>1426</v>
      </c>
      <c r="F862" t="s">
        <v>1427</v>
      </c>
      <c r="G862">
        <v>0</v>
      </c>
      <c r="H862" t="s">
        <v>67</v>
      </c>
      <c r="I862" s="2">
        <v>14000</v>
      </c>
    </row>
    <row r="863" spans="1:9" x14ac:dyDescent="0.3">
      <c r="A863" s="5">
        <v>9696</v>
      </c>
      <c r="B863" s="5" t="s">
        <v>1425</v>
      </c>
      <c r="C863" s="5">
        <v>5</v>
      </c>
      <c r="D863" s="5" t="s">
        <v>63</v>
      </c>
      <c r="E863" t="s">
        <v>1426</v>
      </c>
      <c r="F863" t="s">
        <v>1427</v>
      </c>
      <c r="G863">
        <v>0</v>
      </c>
      <c r="H863" t="s">
        <v>1428</v>
      </c>
      <c r="I863" s="2">
        <v>11000</v>
      </c>
    </row>
    <row r="864" spans="1:9" x14ac:dyDescent="0.3">
      <c r="A864" s="5">
        <v>9696</v>
      </c>
      <c r="B864" s="5" t="s">
        <v>1425</v>
      </c>
      <c r="C864" s="5">
        <v>5</v>
      </c>
      <c r="D864" s="5" t="s">
        <v>63</v>
      </c>
      <c r="E864" t="s">
        <v>1426</v>
      </c>
      <c r="F864" t="s">
        <v>1427</v>
      </c>
      <c r="G864">
        <v>0</v>
      </c>
      <c r="H864" t="s">
        <v>88</v>
      </c>
      <c r="I864" s="2">
        <v>40000</v>
      </c>
    </row>
    <row r="865" spans="1:9" x14ac:dyDescent="0.3">
      <c r="A865" s="5">
        <v>9696</v>
      </c>
      <c r="B865" s="5" t="s">
        <v>1425</v>
      </c>
      <c r="C865" s="5">
        <v>5</v>
      </c>
      <c r="D865" s="5" t="s">
        <v>63</v>
      </c>
      <c r="E865" t="s">
        <v>1426</v>
      </c>
      <c r="F865" t="s">
        <v>1427</v>
      </c>
      <c r="G865">
        <v>0</v>
      </c>
      <c r="H865" t="s">
        <v>88</v>
      </c>
      <c r="I865" s="2">
        <v>40000</v>
      </c>
    </row>
    <row r="866" spans="1:9" x14ac:dyDescent="0.3">
      <c r="A866" s="5">
        <v>9695</v>
      </c>
      <c r="B866" s="5" t="s">
        <v>1429</v>
      </c>
      <c r="C866" s="5">
        <v>4</v>
      </c>
      <c r="D866" s="5" t="s">
        <v>39</v>
      </c>
      <c r="E866" t="s">
        <v>1430</v>
      </c>
      <c r="F866" t="s">
        <v>74</v>
      </c>
      <c r="G866">
        <v>0</v>
      </c>
      <c r="H866" t="s">
        <v>1431</v>
      </c>
      <c r="I866" s="2">
        <v>14000</v>
      </c>
    </row>
    <row r="867" spans="1:9" x14ac:dyDescent="0.3">
      <c r="A867" s="5">
        <v>9694</v>
      </c>
      <c r="B867" s="5" t="s">
        <v>1432</v>
      </c>
      <c r="C867" s="5">
        <v>4</v>
      </c>
      <c r="D867" s="5" t="s">
        <v>39</v>
      </c>
      <c r="E867" t="s">
        <v>1433</v>
      </c>
      <c r="F867" t="s">
        <v>1434</v>
      </c>
      <c r="G867">
        <v>0</v>
      </c>
      <c r="H867" t="s">
        <v>80</v>
      </c>
      <c r="I867" s="2">
        <v>3000</v>
      </c>
    </row>
    <row r="868" spans="1:9" x14ac:dyDescent="0.3">
      <c r="A868" s="5">
        <v>9694</v>
      </c>
      <c r="B868" s="5" t="s">
        <v>1432</v>
      </c>
      <c r="C868" s="5">
        <v>4</v>
      </c>
      <c r="D868" s="5" t="s">
        <v>39</v>
      </c>
      <c r="E868" t="s">
        <v>1433</v>
      </c>
      <c r="F868" t="s">
        <v>1434</v>
      </c>
      <c r="G868">
        <v>0</v>
      </c>
      <c r="H868" t="s">
        <v>1435</v>
      </c>
      <c r="I868" s="2">
        <v>7000</v>
      </c>
    </row>
    <row r="869" spans="1:9" x14ac:dyDescent="0.3">
      <c r="A869" s="5">
        <v>9694</v>
      </c>
      <c r="B869" s="5" t="s">
        <v>1432</v>
      </c>
      <c r="C869" s="5">
        <v>4</v>
      </c>
      <c r="D869" s="5" t="s">
        <v>39</v>
      </c>
      <c r="E869" t="s">
        <v>1433</v>
      </c>
      <c r="F869" t="s">
        <v>1434</v>
      </c>
      <c r="G869">
        <v>0</v>
      </c>
      <c r="H869" t="s">
        <v>1436</v>
      </c>
      <c r="I869" s="2">
        <v>3500</v>
      </c>
    </row>
    <row r="870" spans="1:9" x14ac:dyDescent="0.3">
      <c r="A870" s="5">
        <v>9694</v>
      </c>
      <c r="B870" s="5" t="s">
        <v>1432</v>
      </c>
      <c r="C870" s="5">
        <v>4</v>
      </c>
      <c r="D870" s="5" t="s">
        <v>39</v>
      </c>
      <c r="E870" t="s">
        <v>1433</v>
      </c>
      <c r="F870" t="s">
        <v>1434</v>
      </c>
      <c r="G870">
        <v>0</v>
      </c>
      <c r="H870" t="s">
        <v>1437</v>
      </c>
      <c r="I870" s="2">
        <v>6000</v>
      </c>
    </row>
    <row r="871" spans="1:9" x14ac:dyDescent="0.3">
      <c r="A871" s="5">
        <v>9693</v>
      </c>
      <c r="B871" s="5" t="s">
        <v>1438</v>
      </c>
      <c r="C871" s="5">
        <v>5</v>
      </c>
      <c r="D871" s="5" t="s">
        <v>63</v>
      </c>
      <c r="E871" t="s">
        <v>1439</v>
      </c>
      <c r="F871" t="s">
        <v>74</v>
      </c>
      <c r="G871">
        <v>0</v>
      </c>
      <c r="H871" t="s">
        <v>88</v>
      </c>
      <c r="I871" s="2">
        <v>30000</v>
      </c>
    </row>
    <row r="872" spans="1:9" x14ac:dyDescent="0.3">
      <c r="A872" s="5">
        <v>9693</v>
      </c>
      <c r="B872" s="5" t="s">
        <v>1438</v>
      </c>
      <c r="C872" s="5">
        <v>5</v>
      </c>
      <c r="D872" s="5" t="s">
        <v>63</v>
      </c>
      <c r="E872" t="s">
        <v>1439</v>
      </c>
      <c r="F872" t="s">
        <v>74</v>
      </c>
      <c r="G872">
        <v>0</v>
      </c>
      <c r="H872" t="s">
        <v>67</v>
      </c>
      <c r="I872" s="2">
        <v>7000</v>
      </c>
    </row>
    <row r="873" spans="1:9" x14ac:dyDescent="0.3">
      <c r="A873" s="5">
        <v>9693</v>
      </c>
      <c r="B873" s="5" t="s">
        <v>1438</v>
      </c>
      <c r="C873" s="5">
        <v>5</v>
      </c>
      <c r="D873" s="5" t="s">
        <v>63</v>
      </c>
      <c r="E873" t="s">
        <v>1439</v>
      </c>
      <c r="F873" t="s">
        <v>74</v>
      </c>
      <c r="G873">
        <v>0</v>
      </c>
      <c r="H873" t="s">
        <v>67</v>
      </c>
      <c r="I873" s="2">
        <v>7000</v>
      </c>
    </row>
    <row r="874" spans="1:9" x14ac:dyDescent="0.3">
      <c r="A874" s="5">
        <v>9693</v>
      </c>
      <c r="B874" s="5" t="s">
        <v>1438</v>
      </c>
      <c r="C874" s="5">
        <v>5</v>
      </c>
      <c r="D874" s="5" t="s">
        <v>63</v>
      </c>
      <c r="E874" t="s">
        <v>1439</v>
      </c>
      <c r="F874" t="s">
        <v>74</v>
      </c>
      <c r="G874">
        <v>0</v>
      </c>
      <c r="H874" t="s">
        <v>88</v>
      </c>
      <c r="I874" s="2">
        <v>30000</v>
      </c>
    </row>
    <row r="875" spans="1:9" x14ac:dyDescent="0.3">
      <c r="A875" s="5">
        <v>9692</v>
      </c>
      <c r="B875" s="5" t="s">
        <v>1440</v>
      </c>
      <c r="C875" s="5">
        <v>5</v>
      </c>
      <c r="D875" s="5" t="s">
        <v>63</v>
      </c>
      <c r="E875" t="s">
        <v>1441</v>
      </c>
      <c r="F875" t="s">
        <v>74</v>
      </c>
      <c r="G875">
        <v>0</v>
      </c>
      <c r="H875" t="s">
        <v>88</v>
      </c>
      <c r="I875" s="2">
        <v>25000</v>
      </c>
    </row>
    <row r="876" spans="1:9" x14ac:dyDescent="0.3">
      <c r="A876" s="5">
        <v>9692</v>
      </c>
      <c r="B876" s="5" t="s">
        <v>1440</v>
      </c>
      <c r="C876" s="5">
        <v>5</v>
      </c>
      <c r="D876" s="5" t="s">
        <v>63</v>
      </c>
      <c r="E876" t="s">
        <v>1441</v>
      </c>
      <c r="F876" t="s">
        <v>74</v>
      </c>
      <c r="G876">
        <v>0</v>
      </c>
      <c r="H876" t="s">
        <v>67</v>
      </c>
      <c r="I876" s="2">
        <v>10000</v>
      </c>
    </row>
    <row r="877" spans="1:9" x14ac:dyDescent="0.3">
      <c r="A877" s="5">
        <v>9691</v>
      </c>
      <c r="B877" s="5" t="s">
        <v>1442</v>
      </c>
      <c r="C877" s="5">
        <v>1</v>
      </c>
      <c r="D877" s="5" t="s">
        <v>10</v>
      </c>
      <c r="E877" t="s">
        <v>1443</v>
      </c>
      <c r="F877" t="s">
        <v>1444</v>
      </c>
      <c r="G877">
        <v>0</v>
      </c>
      <c r="H877" t="s">
        <v>229</v>
      </c>
      <c r="I877" s="2">
        <v>7000</v>
      </c>
    </row>
    <row r="878" spans="1:9" x14ac:dyDescent="0.3">
      <c r="A878" s="5">
        <v>9691</v>
      </c>
      <c r="B878" s="5" t="s">
        <v>1442</v>
      </c>
      <c r="C878" s="5">
        <v>1</v>
      </c>
      <c r="D878" s="5" t="s">
        <v>10</v>
      </c>
      <c r="E878" t="s">
        <v>1443</v>
      </c>
      <c r="F878" t="s">
        <v>1444</v>
      </c>
      <c r="G878">
        <v>0</v>
      </c>
      <c r="H878" t="s">
        <v>259</v>
      </c>
      <c r="I878" s="2">
        <v>7000</v>
      </c>
    </row>
    <row r="879" spans="1:9" x14ac:dyDescent="0.3">
      <c r="A879" s="5">
        <v>9691</v>
      </c>
      <c r="B879" s="5" t="s">
        <v>1442</v>
      </c>
      <c r="C879" s="5">
        <v>1</v>
      </c>
      <c r="D879" s="5" t="s">
        <v>10</v>
      </c>
      <c r="E879" t="s">
        <v>1443</v>
      </c>
      <c r="F879" t="s">
        <v>1444</v>
      </c>
      <c r="G879">
        <v>0</v>
      </c>
      <c r="H879" t="s">
        <v>229</v>
      </c>
      <c r="I879" s="2">
        <v>7000</v>
      </c>
    </row>
    <row r="880" spans="1:9" x14ac:dyDescent="0.3">
      <c r="A880" s="5">
        <v>9691</v>
      </c>
      <c r="B880" s="5" t="s">
        <v>1442</v>
      </c>
      <c r="C880" s="5">
        <v>1</v>
      </c>
      <c r="D880" s="5" t="s">
        <v>10</v>
      </c>
      <c r="E880" t="s">
        <v>1443</v>
      </c>
      <c r="F880" t="s">
        <v>1444</v>
      </c>
      <c r="G880">
        <v>0</v>
      </c>
      <c r="H880" t="s">
        <v>1047</v>
      </c>
      <c r="I880" s="2">
        <v>14000</v>
      </c>
    </row>
    <row r="881" spans="1:9" x14ac:dyDescent="0.3">
      <c r="A881" s="5">
        <v>9690</v>
      </c>
      <c r="B881" s="5" t="s">
        <v>1445</v>
      </c>
      <c r="C881" s="5">
        <v>5</v>
      </c>
      <c r="D881" s="5" t="s">
        <v>63</v>
      </c>
      <c r="E881" t="s">
        <v>1446</v>
      </c>
      <c r="F881" t="s">
        <v>1447</v>
      </c>
      <c r="G881">
        <v>0</v>
      </c>
      <c r="H881" t="s">
        <v>1428</v>
      </c>
      <c r="I881" s="2">
        <v>10000</v>
      </c>
    </row>
    <row r="882" spans="1:9" x14ac:dyDescent="0.3">
      <c r="A882" s="5">
        <v>9690</v>
      </c>
      <c r="B882" s="5" t="s">
        <v>1445</v>
      </c>
      <c r="C882" s="5">
        <v>5</v>
      </c>
      <c r="D882" s="5" t="s">
        <v>63</v>
      </c>
      <c r="E882" t="s">
        <v>1446</v>
      </c>
      <c r="F882" t="s">
        <v>1447</v>
      </c>
      <c r="G882">
        <v>0</v>
      </c>
      <c r="H882" t="s">
        <v>67</v>
      </c>
      <c r="I882" s="2">
        <v>12000</v>
      </c>
    </row>
    <row r="883" spans="1:9" x14ac:dyDescent="0.3">
      <c r="A883" s="5">
        <v>9690</v>
      </c>
      <c r="B883" s="5" t="s">
        <v>1445</v>
      </c>
      <c r="C883" s="5">
        <v>5</v>
      </c>
      <c r="D883" s="5" t="s">
        <v>63</v>
      </c>
      <c r="E883" t="s">
        <v>1446</v>
      </c>
      <c r="F883" t="s">
        <v>1447</v>
      </c>
      <c r="G883">
        <v>0</v>
      </c>
      <c r="H883" t="s">
        <v>88</v>
      </c>
      <c r="I883" s="2">
        <v>35000</v>
      </c>
    </row>
    <row r="884" spans="1:9" x14ac:dyDescent="0.3">
      <c r="A884" s="5">
        <v>9689</v>
      </c>
      <c r="B884" s="5" t="s">
        <v>1448</v>
      </c>
      <c r="C884" s="5">
        <v>5</v>
      </c>
      <c r="D884" s="5" t="s">
        <v>63</v>
      </c>
      <c r="E884" t="s">
        <v>1449</v>
      </c>
      <c r="F884" t="s">
        <v>1450</v>
      </c>
      <c r="G884">
        <v>0</v>
      </c>
      <c r="H884" t="s">
        <v>88</v>
      </c>
      <c r="I884" s="2">
        <v>40000</v>
      </c>
    </row>
    <row r="885" spans="1:9" x14ac:dyDescent="0.3">
      <c r="A885" s="5">
        <v>9689</v>
      </c>
      <c r="B885" s="5" t="s">
        <v>1448</v>
      </c>
      <c r="C885" s="5">
        <v>5</v>
      </c>
      <c r="D885" s="5" t="s">
        <v>63</v>
      </c>
      <c r="E885" t="s">
        <v>1449</v>
      </c>
      <c r="F885" t="s">
        <v>1450</v>
      </c>
      <c r="G885">
        <v>0</v>
      </c>
      <c r="H885" t="s">
        <v>67</v>
      </c>
      <c r="I885" s="2">
        <v>12000</v>
      </c>
    </row>
    <row r="886" spans="1:9" x14ac:dyDescent="0.3">
      <c r="A886" s="5">
        <v>9688</v>
      </c>
      <c r="B886" s="5" t="s">
        <v>1451</v>
      </c>
      <c r="C886" s="5">
        <v>2</v>
      </c>
      <c r="D886" s="5" t="s">
        <v>261</v>
      </c>
      <c r="E886" t="s">
        <v>1452</v>
      </c>
      <c r="F886" t="s">
        <v>1453</v>
      </c>
      <c r="G886">
        <v>0</v>
      </c>
      <c r="H886" t="s">
        <v>265</v>
      </c>
      <c r="I886" s="2">
        <v>4500</v>
      </c>
    </row>
    <row r="887" spans="1:9" x14ac:dyDescent="0.3">
      <c r="A887" s="5">
        <v>9688</v>
      </c>
      <c r="B887" s="5" t="s">
        <v>1451</v>
      </c>
      <c r="C887" s="5">
        <v>2</v>
      </c>
      <c r="D887" s="5" t="s">
        <v>261</v>
      </c>
      <c r="E887" t="s">
        <v>1452</v>
      </c>
      <c r="F887" t="s">
        <v>1453</v>
      </c>
      <c r="G887">
        <v>0</v>
      </c>
      <c r="H887" t="s">
        <v>264</v>
      </c>
      <c r="I887" s="2">
        <v>4000</v>
      </c>
    </row>
    <row r="888" spans="1:9" x14ac:dyDescent="0.3">
      <c r="A888" s="5">
        <v>9688</v>
      </c>
      <c r="B888" s="5" t="s">
        <v>1451</v>
      </c>
      <c r="C888" s="5">
        <v>2</v>
      </c>
      <c r="D888" s="5" t="s">
        <v>261</v>
      </c>
      <c r="E888" t="s">
        <v>1452</v>
      </c>
      <c r="F888" t="s">
        <v>1453</v>
      </c>
      <c r="G888">
        <v>0</v>
      </c>
      <c r="H888" t="s">
        <v>641</v>
      </c>
      <c r="I888" s="2">
        <v>10000</v>
      </c>
    </row>
    <row r="889" spans="1:9" x14ac:dyDescent="0.3">
      <c r="A889" s="5">
        <v>9687</v>
      </c>
      <c r="B889" s="5" t="s">
        <v>1454</v>
      </c>
      <c r="C889" s="5">
        <v>5</v>
      </c>
      <c r="D889" s="5" t="s">
        <v>63</v>
      </c>
      <c r="E889" t="s">
        <v>1455</v>
      </c>
      <c r="F889" t="s">
        <v>1456</v>
      </c>
      <c r="G889">
        <v>0</v>
      </c>
      <c r="H889" t="s">
        <v>88</v>
      </c>
      <c r="I889" s="2">
        <v>25000</v>
      </c>
    </row>
    <row r="890" spans="1:9" x14ac:dyDescent="0.3">
      <c r="A890" s="5">
        <v>9687</v>
      </c>
      <c r="B890" s="5" t="s">
        <v>1454</v>
      </c>
      <c r="C890" s="5">
        <v>5</v>
      </c>
      <c r="D890" s="5" t="s">
        <v>63</v>
      </c>
      <c r="E890" t="s">
        <v>1455</v>
      </c>
      <c r="F890" t="s">
        <v>1456</v>
      </c>
      <c r="G890">
        <v>0</v>
      </c>
      <c r="H890" t="s">
        <v>67</v>
      </c>
      <c r="I890" s="2">
        <v>8000</v>
      </c>
    </row>
    <row r="891" spans="1:9" x14ac:dyDescent="0.3">
      <c r="A891" s="5">
        <v>9687</v>
      </c>
      <c r="B891" s="5" t="s">
        <v>1454</v>
      </c>
      <c r="C891" s="5">
        <v>5</v>
      </c>
      <c r="D891" s="5" t="s">
        <v>63</v>
      </c>
      <c r="E891" t="s">
        <v>1455</v>
      </c>
      <c r="F891" t="s">
        <v>1456</v>
      </c>
      <c r="G891">
        <v>0</v>
      </c>
      <c r="H891" t="s">
        <v>88</v>
      </c>
      <c r="I891" s="2">
        <v>30000</v>
      </c>
    </row>
    <row r="892" spans="1:9" x14ac:dyDescent="0.3">
      <c r="A892" s="5">
        <v>9687</v>
      </c>
      <c r="B892" s="5" t="s">
        <v>1454</v>
      </c>
      <c r="C892" s="5">
        <v>5</v>
      </c>
      <c r="D892" s="5" t="s">
        <v>63</v>
      </c>
      <c r="E892" t="s">
        <v>1455</v>
      </c>
      <c r="F892" t="s">
        <v>1456</v>
      </c>
      <c r="G892">
        <v>0</v>
      </c>
      <c r="H892" t="s">
        <v>1457</v>
      </c>
      <c r="I892" s="2">
        <v>15000</v>
      </c>
    </row>
    <row r="893" spans="1:9" x14ac:dyDescent="0.3">
      <c r="A893" s="5">
        <v>9686</v>
      </c>
      <c r="B893" s="5" t="s">
        <v>1458</v>
      </c>
      <c r="C893" s="5">
        <v>1</v>
      </c>
      <c r="D893" s="5" t="s">
        <v>10</v>
      </c>
      <c r="E893" t="s">
        <v>1459</v>
      </c>
      <c r="F893" t="s">
        <v>1460</v>
      </c>
      <c r="G893">
        <v>0</v>
      </c>
      <c r="H893" t="s">
        <v>217</v>
      </c>
      <c r="I893" s="2">
        <v>12000</v>
      </c>
    </row>
    <row r="894" spans="1:9" x14ac:dyDescent="0.3">
      <c r="A894" s="5">
        <v>9686</v>
      </c>
      <c r="B894" s="5" t="s">
        <v>1458</v>
      </c>
      <c r="C894" s="5">
        <v>1</v>
      </c>
      <c r="D894" s="5" t="s">
        <v>10</v>
      </c>
      <c r="E894" t="s">
        <v>1459</v>
      </c>
      <c r="F894" t="s">
        <v>1460</v>
      </c>
      <c r="G894">
        <v>0</v>
      </c>
      <c r="H894" t="s">
        <v>217</v>
      </c>
      <c r="I894" s="2">
        <v>12000</v>
      </c>
    </row>
    <row r="895" spans="1:9" x14ac:dyDescent="0.3">
      <c r="A895" s="5">
        <v>9685</v>
      </c>
      <c r="B895" s="5" t="s">
        <v>1461</v>
      </c>
      <c r="C895" s="5">
        <v>5</v>
      </c>
      <c r="D895" s="5" t="s">
        <v>63</v>
      </c>
      <c r="E895" t="s">
        <v>1462</v>
      </c>
      <c r="F895" t="s">
        <v>1463</v>
      </c>
      <c r="G895">
        <v>0</v>
      </c>
      <c r="H895" t="s">
        <v>67</v>
      </c>
      <c r="I895" s="2">
        <v>12000</v>
      </c>
    </row>
    <row r="896" spans="1:9" x14ac:dyDescent="0.3">
      <c r="A896" s="5">
        <v>9685</v>
      </c>
      <c r="B896" s="5" t="s">
        <v>1461</v>
      </c>
      <c r="C896" s="5">
        <v>5</v>
      </c>
      <c r="D896" s="5" t="s">
        <v>63</v>
      </c>
      <c r="E896" t="s">
        <v>1462</v>
      </c>
      <c r="F896" t="s">
        <v>1463</v>
      </c>
      <c r="G896">
        <v>0</v>
      </c>
      <c r="H896" t="s">
        <v>88</v>
      </c>
      <c r="I896" s="2">
        <v>35000</v>
      </c>
    </row>
    <row r="897" spans="1:9" x14ac:dyDescent="0.3">
      <c r="A897" s="5">
        <v>9684</v>
      </c>
      <c r="B897" s="5" t="s">
        <v>1464</v>
      </c>
      <c r="C897" s="5">
        <v>1</v>
      </c>
      <c r="D897" s="5" t="s">
        <v>10</v>
      </c>
      <c r="E897" t="s">
        <v>1465</v>
      </c>
      <c r="F897" t="s">
        <v>1466</v>
      </c>
      <c r="G897">
        <v>0</v>
      </c>
      <c r="H897" t="s">
        <v>1047</v>
      </c>
      <c r="I897" s="2">
        <v>13000</v>
      </c>
    </row>
    <row r="898" spans="1:9" x14ac:dyDescent="0.3">
      <c r="A898" s="5">
        <v>9683</v>
      </c>
      <c r="B898" s="5" t="s">
        <v>1467</v>
      </c>
      <c r="C898" s="5">
        <v>5</v>
      </c>
      <c r="D898" s="5" t="s">
        <v>63</v>
      </c>
      <c r="E898" t="s">
        <v>1468</v>
      </c>
      <c r="F898" t="s">
        <v>1469</v>
      </c>
      <c r="G898">
        <v>0</v>
      </c>
      <c r="H898" t="s">
        <v>67</v>
      </c>
      <c r="I898" s="2">
        <v>10000</v>
      </c>
    </row>
    <row r="899" spans="1:9" x14ac:dyDescent="0.3">
      <c r="A899" s="5">
        <v>9683</v>
      </c>
      <c r="B899" s="5" t="s">
        <v>1467</v>
      </c>
      <c r="C899" s="5">
        <v>5</v>
      </c>
      <c r="D899" s="5" t="s">
        <v>63</v>
      </c>
      <c r="E899" t="s">
        <v>1468</v>
      </c>
      <c r="F899" t="s">
        <v>1469</v>
      </c>
      <c r="G899">
        <v>0</v>
      </c>
      <c r="H899" t="s">
        <v>88</v>
      </c>
      <c r="I899" s="2">
        <v>30000</v>
      </c>
    </row>
    <row r="900" spans="1:9" x14ac:dyDescent="0.3">
      <c r="A900" s="5">
        <v>9682</v>
      </c>
      <c r="B900" s="5" t="s">
        <v>1470</v>
      </c>
      <c r="C900" s="5">
        <v>1</v>
      </c>
      <c r="D900" s="5" t="s">
        <v>10</v>
      </c>
      <c r="E900" t="s">
        <v>1471</v>
      </c>
      <c r="F900" t="s">
        <v>1472</v>
      </c>
      <c r="G900">
        <v>0</v>
      </c>
      <c r="H900" t="s">
        <v>1473</v>
      </c>
      <c r="I900" s="2">
        <v>10000</v>
      </c>
    </row>
    <row r="901" spans="1:9" x14ac:dyDescent="0.3">
      <c r="A901" s="5">
        <v>9682</v>
      </c>
      <c r="B901" s="5" t="s">
        <v>1470</v>
      </c>
      <c r="C901" s="5">
        <v>1</v>
      </c>
      <c r="D901" s="5" t="s">
        <v>10</v>
      </c>
      <c r="E901" t="s">
        <v>1471</v>
      </c>
      <c r="F901" t="s">
        <v>1472</v>
      </c>
      <c r="G901">
        <v>0</v>
      </c>
      <c r="H901" t="s">
        <v>1474</v>
      </c>
      <c r="I901" s="2">
        <v>10000</v>
      </c>
    </row>
    <row r="902" spans="1:9" x14ac:dyDescent="0.3">
      <c r="A902" s="5">
        <v>9681</v>
      </c>
      <c r="B902" s="5" t="s">
        <v>1475</v>
      </c>
      <c r="C902" s="5">
        <v>5</v>
      </c>
      <c r="D902" s="5" t="s">
        <v>63</v>
      </c>
      <c r="E902" t="s">
        <v>1476</v>
      </c>
      <c r="F902" t="s">
        <v>1477</v>
      </c>
      <c r="G902">
        <v>0</v>
      </c>
      <c r="H902" t="s">
        <v>88</v>
      </c>
      <c r="I902" s="2">
        <v>35000</v>
      </c>
    </row>
    <row r="903" spans="1:9" x14ac:dyDescent="0.3">
      <c r="A903" s="5">
        <v>9681</v>
      </c>
      <c r="B903" s="5" t="s">
        <v>1475</v>
      </c>
      <c r="C903" s="5">
        <v>5</v>
      </c>
      <c r="D903" s="5" t="s">
        <v>63</v>
      </c>
      <c r="E903" t="s">
        <v>1476</v>
      </c>
      <c r="F903" t="s">
        <v>1477</v>
      </c>
      <c r="G903">
        <v>0</v>
      </c>
      <c r="H903" t="s">
        <v>67</v>
      </c>
      <c r="I903" s="2">
        <v>12000</v>
      </c>
    </row>
    <row r="904" spans="1:9" x14ac:dyDescent="0.3">
      <c r="A904" s="5">
        <v>9680</v>
      </c>
      <c r="B904" s="5" t="s">
        <v>1478</v>
      </c>
      <c r="C904" s="5">
        <v>5</v>
      </c>
      <c r="D904" s="5" t="s">
        <v>63</v>
      </c>
      <c r="E904" t="s">
        <v>1479</v>
      </c>
      <c r="G904">
        <v>0</v>
      </c>
      <c r="H904" t="s">
        <v>88</v>
      </c>
      <c r="I904" s="2">
        <v>25000</v>
      </c>
    </row>
    <row r="905" spans="1:9" x14ac:dyDescent="0.3">
      <c r="A905" s="5">
        <v>9680</v>
      </c>
      <c r="B905" s="5" t="s">
        <v>1478</v>
      </c>
      <c r="C905" s="5">
        <v>5</v>
      </c>
      <c r="D905" s="5" t="s">
        <v>63</v>
      </c>
      <c r="E905" t="s">
        <v>1479</v>
      </c>
      <c r="G905">
        <v>0</v>
      </c>
      <c r="H905" t="s">
        <v>67</v>
      </c>
      <c r="I905" s="2">
        <v>7000</v>
      </c>
    </row>
    <row r="906" spans="1:9" x14ac:dyDescent="0.3">
      <c r="A906" s="5">
        <v>9679</v>
      </c>
      <c r="B906" s="5" t="s">
        <v>1480</v>
      </c>
      <c r="C906" s="5">
        <v>1</v>
      </c>
      <c r="D906" s="5" t="s">
        <v>10</v>
      </c>
      <c r="E906" t="s">
        <v>1481</v>
      </c>
      <c r="F906" t="s">
        <v>1482</v>
      </c>
      <c r="G906">
        <v>0</v>
      </c>
      <c r="H906" t="s">
        <v>126</v>
      </c>
      <c r="I906" s="2">
        <v>3000</v>
      </c>
    </row>
    <row r="907" spans="1:9" x14ac:dyDescent="0.3">
      <c r="A907" s="5">
        <v>9678</v>
      </c>
      <c r="B907" s="5" t="s">
        <v>1275</v>
      </c>
      <c r="C907" s="5">
        <v>5</v>
      </c>
      <c r="D907" s="5" t="s">
        <v>63</v>
      </c>
      <c r="E907" t="s">
        <v>1276</v>
      </c>
      <c r="F907" t="s">
        <v>1483</v>
      </c>
      <c r="G907">
        <v>0</v>
      </c>
      <c r="H907" t="s">
        <v>88</v>
      </c>
      <c r="I907" s="2">
        <v>30000</v>
      </c>
    </row>
    <row r="908" spans="1:9" x14ac:dyDescent="0.3">
      <c r="A908" s="5">
        <v>9678</v>
      </c>
      <c r="B908" s="5" t="s">
        <v>1275</v>
      </c>
      <c r="C908" s="5">
        <v>5</v>
      </c>
      <c r="D908" s="5" t="s">
        <v>63</v>
      </c>
      <c r="E908" t="s">
        <v>1276</v>
      </c>
      <c r="F908" t="s">
        <v>1483</v>
      </c>
      <c r="G908">
        <v>0</v>
      </c>
      <c r="H908" t="s">
        <v>67</v>
      </c>
      <c r="I908" s="2">
        <v>8000</v>
      </c>
    </row>
    <row r="909" spans="1:9" x14ac:dyDescent="0.3">
      <c r="A909" s="5">
        <v>9677</v>
      </c>
      <c r="B909" s="5" t="s">
        <v>1484</v>
      </c>
      <c r="C909" s="5">
        <v>1</v>
      </c>
      <c r="D909" s="5" t="s">
        <v>10</v>
      </c>
      <c r="E909" t="s">
        <v>1485</v>
      </c>
      <c r="F909" t="s">
        <v>1486</v>
      </c>
      <c r="G909">
        <v>0</v>
      </c>
      <c r="H909" t="s">
        <v>187</v>
      </c>
      <c r="I909" s="2">
        <v>8000</v>
      </c>
    </row>
    <row r="910" spans="1:9" x14ac:dyDescent="0.3">
      <c r="A910" s="5">
        <v>9677</v>
      </c>
      <c r="B910" s="5" t="s">
        <v>1484</v>
      </c>
      <c r="C910" s="5">
        <v>1</v>
      </c>
      <c r="D910" s="5" t="s">
        <v>10</v>
      </c>
      <c r="E910" t="s">
        <v>1485</v>
      </c>
      <c r="F910" t="s">
        <v>1486</v>
      </c>
      <c r="G910">
        <v>0</v>
      </c>
      <c r="H910" t="s">
        <v>236</v>
      </c>
      <c r="I910" s="2">
        <v>8000</v>
      </c>
    </row>
    <row r="911" spans="1:9" x14ac:dyDescent="0.3">
      <c r="A911" s="5">
        <v>9676</v>
      </c>
      <c r="B911" s="5" t="s">
        <v>1487</v>
      </c>
      <c r="C911" s="5">
        <v>1</v>
      </c>
      <c r="D911" s="5" t="s">
        <v>10</v>
      </c>
      <c r="E911" t="s">
        <v>1488</v>
      </c>
      <c r="F911" t="s">
        <v>1489</v>
      </c>
      <c r="G911">
        <v>0</v>
      </c>
      <c r="H911" t="s">
        <v>21</v>
      </c>
      <c r="I911" s="2">
        <v>6000</v>
      </c>
    </row>
    <row r="912" spans="1:9" x14ac:dyDescent="0.3">
      <c r="A912" s="5">
        <v>9676</v>
      </c>
      <c r="B912" s="5" t="s">
        <v>1487</v>
      </c>
      <c r="C912" s="5">
        <v>1</v>
      </c>
      <c r="D912" s="5" t="s">
        <v>10</v>
      </c>
      <c r="E912" t="s">
        <v>1488</v>
      </c>
      <c r="F912" t="s">
        <v>1489</v>
      </c>
      <c r="G912">
        <v>0</v>
      </c>
      <c r="H912" t="s">
        <v>20</v>
      </c>
      <c r="I912" s="2">
        <v>6000</v>
      </c>
    </row>
    <row r="913" spans="1:9" x14ac:dyDescent="0.3">
      <c r="A913" s="5">
        <v>9675</v>
      </c>
      <c r="B913" s="5" t="s">
        <v>1490</v>
      </c>
      <c r="C913" s="5">
        <v>1</v>
      </c>
      <c r="D913" s="5" t="s">
        <v>10</v>
      </c>
      <c r="E913" t="s">
        <v>1491</v>
      </c>
      <c r="F913" t="s">
        <v>1492</v>
      </c>
      <c r="G913">
        <v>0</v>
      </c>
      <c r="H913" t="s">
        <v>1042</v>
      </c>
      <c r="I913" s="2">
        <v>8000</v>
      </c>
    </row>
    <row r="914" spans="1:9" x14ac:dyDescent="0.3">
      <c r="A914" s="5">
        <v>9675</v>
      </c>
      <c r="B914" s="5" t="s">
        <v>1490</v>
      </c>
      <c r="C914" s="5">
        <v>1</v>
      </c>
      <c r="D914" s="5" t="s">
        <v>10</v>
      </c>
      <c r="E914" t="s">
        <v>1491</v>
      </c>
      <c r="F914" t="s">
        <v>1492</v>
      </c>
      <c r="G914">
        <v>0</v>
      </c>
      <c r="H914" t="s">
        <v>1493</v>
      </c>
      <c r="I914" s="2">
        <v>8000</v>
      </c>
    </row>
    <row r="915" spans="1:9" x14ac:dyDescent="0.3">
      <c r="A915" s="5">
        <v>9674</v>
      </c>
      <c r="B915" s="5" t="s">
        <v>1494</v>
      </c>
      <c r="C915" s="5">
        <v>1</v>
      </c>
      <c r="D915" s="5" t="s">
        <v>10</v>
      </c>
      <c r="E915" t="s">
        <v>1495</v>
      </c>
      <c r="F915" t="s">
        <v>1496</v>
      </c>
      <c r="G915">
        <v>0</v>
      </c>
      <c r="H915" t="s">
        <v>259</v>
      </c>
      <c r="I915" s="2">
        <v>6000</v>
      </c>
    </row>
    <row r="916" spans="1:9" x14ac:dyDescent="0.3">
      <c r="A916" s="5">
        <v>9673</v>
      </c>
      <c r="B916" s="5" t="s">
        <v>1497</v>
      </c>
      <c r="C916" s="5">
        <v>1</v>
      </c>
      <c r="D916" s="5" t="s">
        <v>10</v>
      </c>
      <c r="E916" t="s">
        <v>1498</v>
      </c>
      <c r="F916" t="s">
        <v>1499</v>
      </c>
      <c r="G916">
        <v>0</v>
      </c>
      <c r="H916" t="s">
        <v>324</v>
      </c>
      <c r="I916" s="2">
        <v>9000</v>
      </c>
    </row>
    <row r="917" spans="1:9" x14ac:dyDescent="0.3">
      <c r="A917" s="5">
        <v>9672</v>
      </c>
      <c r="B917" s="5" t="s">
        <v>1500</v>
      </c>
      <c r="C917" s="5">
        <v>1</v>
      </c>
      <c r="D917" s="5" t="s">
        <v>10</v>
      </c>
      <c r="E917" t="s">
        <v>1501</v>
      </c>
      <c r="F917" t="s">
        <v>1502</v>
      </c>
      <c r="G917">
        <v>0</v>
      </c>
      <c r="H917" t="s">
        <v>1503</v>
      </c>
      <c r="I917" s="2">
        <v>10000</v>
      </c>
    </row>
    <row r="918" spans="1:9" x14ac:dyDescent="0.3">
      <c r="A918" s="5">
        <v>9672</v>
      </c>
      <c r="B918" s="5" t="s">
        <v>1500</v>
      </c>
      <c r="C918" s="5">
        <v>1</v>
      </c>
      <c r="D918" s="5" t="s">
        <v>10</v>
      </c>
      <c r="E918" t="s">
        <v>1501</v>
      </c>
      <c r="F918" t="s">
        <v>1502</v>
      </c>
      <c r="G918">
        <v>0</v>
      </c>
      <c r="H918" t="s">
        <v>1504</v>
      </c>
      <c r="I918" s="2">
        <v>10000</v>
      </c>
    </row>
    <row r="919" spans="1:9" x14ac:dyDescent="0.3">
      <c r="A919" s="5">
        <v>9671</v>
      </c>
      <c r="B919" s="5" t="s">
        <v>1505</v>
      </c>
      <c r="C919" s="5">
        <v>1</v>
      </c>
      <c r="D919" s="5" t="s">
        <v>10</v>
      </c>
      <c r="E919" t="s">
        <v>1506</v>
      </c>
      <c r="F919" t="s">
        <v>1507</v>
      </c>
      <c r="G919">
        <v>0</v>
      </c>
      <c r="H919" t="s">
        <v>1043</v>
      </c>
      <c r="I919" s="2">
        <v>6500</v>
      </c>
    </row>
    <row r="920" spans="1:9" x14ac:dyDescent="0.3">
      <c r="A920" s="5">
        <v>9671</v>
      </c>
      <c r="B920" s="5" t="s">
        <v>1505</v>
      </c>
      <c r="C920" s="5">
        <v>1</v>
      </c>
      <c r="D920" s="5" t="s">
        <v>10</v>
      </c>
      <c r="E920" t="s">
        <v>1506</v>
      </c>
      <c r="F920" t="s">
        <v>1507</v>
      </c>
      <c r="G920">
        <v>0</v>
      </c>
      <c r="H920" t="s">
        <v>368</v>
      </c>
      <c r="I920" s="2">
        <v>6000</v>
      </c>
    </row>
    <row r="921" spans="1:9" x14ac:dyDescent="0.3">
      <c r="A921" s="5">
        <v>9671</v>
      </c>
      <c r="B921" s="5" t="s">
        <v>1505</v>
      </c>
      <c r="C921" s="5">
        <v>1</v>
      </c>
      <c r="D921" s="5" t="s">
        <v>10</v>
      </c>
      <c r="E921" t="s">
        <v>1506</v>
      </c>
      <c r="F921" t="s">
        <v>1507</v>
      </c>
      <c r="G921">
        <v>0</v>
      </c>
      <c r="H921" t="s">
        <v>1042</v>
      </c>
      <c r="I921" s="2">
        <v>6500</v>
      </c>
    </row>
    <row r="922" spans="1:9" x14ac:dyDescent="0.3">
      <c r="A922" s="5">
        <v>9670</v>
      </c>
      <c r="B922" s="5" t="s">
        <v>1508</v>
      </c>
      <c r="C922" s="5">
        <v>1</v>
      </c>
      <c r="D922" s="5" t="s">
        <v>10</v>
      </c>
      <c r="E922" t="s">
        <v>1509</v>
      </c>
      <c r="F922" t="s">
        <v>1510</v>
      </c>
      <c r="G922">
        <v>0</v>
      </c>
      <c r="H922" t="s">
        <v>126</v>
      </c>
      <c r="I922" s="2">
        <v>3000</v>
      </c>
    </row>
    <row r="923" spans="1:9" x14ac:dyDescent="0.3">
      <c r="A923" s="5">
        <v>9670</v>
      </c>
      <c r="B923" s="5" t="s">
        <v>1508</v>
      </c>
      <c r="C923" s="5">
        <v>1</v>
      </c>
      <c r="D923" s="5" t="s">
        <v>10</v>
      </c>
      <c r="E923" t="s">
        <v>1509</v>
      </c>
      <c r="F923" t="s">
        <v>1510</v>
      </c>
      <c r="G923">
        <v>0</v>
      </c>
      <c r="H923" t="s">
        <v>1511</v>
      </c>
      <c r="I923" s="2">
        <v>1000</v>
      </c>
    </row>
    <row r="924" spans="1:9" x14ac:dyDescent="0.3">
      <c r="A924" s="5">
        <v>9669</v>
      </c>
      <c r="B924" s="5" t="s">
        <v>1512</v>
      </c>
      <c r="C924" s="5">
        <v>1</v>
      </c>
      <c r="D924" s="5" t="s">
        <v>10</v>
      </c>
      <c r="E924" t="s">
        <v>1513</v>
      </c>
      <c r="F924" t="s">
        <v>1514</v>
      </c>
      <c r="G924">
        <v>0</v>
      </c>
      <c r="H924" t="s">
        <v>1515</v>
      </c>
      <c r="I924" s="2">
        <v>9500</v>
      </c>
    </row>
    <row r="925" spans="1:9" x14ac:dyDescent="0.3">
      <c r="A925" s="5">
        <v>9669</v>
      </c>
      <c r="B925" s="5" t="s">
        <v>1512</v>
      </c>
      <c r="C925" s="5">
        <v>1</v>
      </c>
      <c r="D925" s="5" t="s">
        <v>10</v>
      </c>
      <c r="E925" t="s">
        <v>1513</v>
      </c>
      <c r="F925" t="s">
        <v>1514</v>
      </c>
      <c r="G925">
        <v>0</v>
      </c>
      <c r="H925" t="s">
        <v>128</v>
      </c>
      <c r="I925" s="2">
        <v>8000</v>
      </c>
    </row>
    <row r="926" spans="1:9" x14ac:dyDescent="0.3">
      <c r="A926" s="5">
        <v>9669</v>
      </c>
      <c r="B926" s="5" t="s">
        <v>1512</v>
      </c>
      <c r="C926" s="5">
        <v>1</v>
      </c>
      <c r="D926" s="5" t="s">
        <v>10</v>
      </c>
      <c r="E926" t="s">
        <v>1513</v>
      </c>
      <c r="F926" t="s">
        <v>1514</v>
      </c>
      <c r="G926">
        <v>0</v>
      </c>
      <c r="H926" t="s">
        <v>1516</v>
      </c>
      <c r="I926" s="2">
        <v>9000</v>
      </c>
    </row>
    <row r="927" spans="1:9" x14ac:dyDescent="0.3">
      <c r="A927" s="5">
        <v>9668</v>
      </c>
      <c r="B927" s="5" t="s">
        <v>1517</v>
      </c>
      <c r="C927" s="5">
        <v>1</v>
      </c>
      <c r="D927" s="5" t="s">
        <v>10</v>
      </c>
      <c r="E927" t="s">
        <v>1518</v>
      </c>
      <c r="F927" t="s">
        <v>1519</v>
      </c>
      <c r="G927">
        <v>0</v>
      </c>
      <c r="H927" t="s">
        <v>1520</v>
      </c>
      <c r="I927" s="2">
        <v>7000</v>
      </c>
    </row>
    <row r="928" spans="1:9" x14ac:dyDescent="0.3">
      <c r="A928" s="5">
        <v>9668</v>
      </c>
      <c r="B928" s="5" t="s">
        <v>1517</v>
      </c>
      <c r="C928" s="5">
        <v>1</v>
      </c>
      <c r="D928" s="5" t="s">
        <v>10</v>
      </c>
      <c r="E928" t="s">
        <v>1518</v>
      </c>
      <c r="F928" t="s">
        <v>1519</v>
      </c>
      <c r="G928">
        <v>0</v>
      </c>
      <c r="H928" t="s">
        <v>765</v>
      </c>
      <c r="I928" s="2">
        <v>8000</v>
      </c>
    </row>
    <row r="929" spans="1:9" x14ac:dyDescent="0.3">
      <c r="A929" s="5">
        <v>9667</v>
      </c>
      <c r="B929" s="5" t="s">
        <v>1521</v>
      </c>
      <c r="C929" s="5">
        <v>1</v>
      </c>
      <c r="D929" s="5" t="s">
        <v>10</v>
      </c>
      <c r="E929" t="s">
        <v>1522</v>
      </c>
      <c r="F929" t="s">
        <v>1523</v>
      </c>
      <c r="G929">
        <v>0</v>
      </c>
      <c r="H929" t="s">
        <v>126</v>
      </c>
      <c r="I929" s="2">
        <v>7000</v>
      </c>
    </row>
    <row r="930" spans="1:9" x14ac:dyDescent="0.3">
      <c r="A930" s="5">
        <v>9667</v>
      </c>
      <c r="B930" s="5" t="s">
        <v>1521</v>
      </c>
      <c r="C930" s="5">
        <v>1</v>
      </c>
      <c r="D930" s="5" t="s">
        <v>10</v>
      </c>
      <c r="E930" t="s">
        <v>1522</v>
      </c>
      <c r="F930" t="s">
        <v>1523</v>
      </c>
      <c r="G930">
        <v>0</v>
      </c>
      <c r="H930" t="s">
        <v>139</v>
      </c>
      <c r="I930" s="2">
        <v>6000</v>
      </c>
    </row>
    <row r="931" spans="1:9" x14ac:dyDescent="0.3">
      <c r="A931" s="5">
        <v>9667</v>
      </c>
      <c r="B931" s="5" t="s">
        <v>1521</v>
      </c>
      <c r="C931" s="5">
        <v>1</v>
      </c>
      <c r="D931" s="5" t="s">
        <v>10</v>
      </c>
      <c r="E931" t="s">
        <v>1522</v>
      </c>
      <c r="F931" t="s">
        <v>1523</v>
      </c>
      <c r="G931">
        <v>0</v>
      </c>
      <c r="H931" t="s">
        <v>1524</v>
      </c>
      <c r="I931" s="2">
        <v>15000</v>
      </c>
    </row>
    <row r="932" spans="1:9" x14ac:dyDescent="0.3">
      <c r="A932" s="5">
        <v>9666</v>
      </c>
      <c r="B932" s="5" t="s">
        <v>1525</v>
      </c>
      <c r="C932" s="5">
        <v>3</v>
      </c>
      <c r="D932" s="5" t="s">
        <v>44</v>
      </c>
      <c r="E932" t="s">
        <v>1526</v>
      </c>
      <c r="F932" t="s">
        <v>1527</v>
      </c>
      <c r="G932">
        <v>0</v>
      </c>
      <c r="H932" t="s">
        <v>1528</v>
      </c>
      <c r="I932" s="2">
        <v>8900</v>
      </c>
    </row>
    <row r="933" spans="1:9" x14ac:dyDescent="0.3">
      <c r="A933" s="5">
        <v>9666</v>
      </c>
      <c r="B933" s="5" t="s">
        <v>1525</v>
      </c>
      <c r="C933" s="5">
        <v>3</v>
      </c>
      <c r="D933" s="5" t="s">
        <v>44</v>
      </c>
      <c r="E933" t="s">
        <v>1526</v>
      </c>
      <c r="F933" t="s">
        <v>1527</v>
      </c>
      <c r="G933">
        <v>0</v>
      </c>
      <c r="H933" t="s">
        <v>1529</v>
      </c>
      <c r="I933" s="2">
        <v>8900</v>
      </c>
    </row>
    <row r="934" spans="1:9" x14ac:dyDescent="0.3">
      <c r="A934" s="5">
        <v>9665</v>
      </c>
      <c r="B934" s="5" t="s">
        <v>1530</v>
      </c>
      <c r="C934" s="5">
        <v>1</v>
      </c>
      <c r="D934" s="5" t="s">
        <v>10</v>
      </c>
      <c r="E934" t="s">
        <v>1531</v>
      </c>
      <c r="F934" t="s">
        <v>1532</v>
      </c>
      <c r="G934">
        <v>0</v>
      </c>
      <c r="H934" t="s">
        <v>259</v>
      </c>
      <c r="I934" s="2">
        <v>7000</v>
      </c>
    </row>
    <row r="935" spans="1:9" x14ac:dyDescent="0.3">
      <c r="A935" s="5">
        <v>9664</v>
      </c>
      <c r="B935" s="5" t="s">
        <v>1533</v>
      </c>
      <c r="C935" s="5">
        <v>1</v>
      </c>
      <c r="D935" s="5" t="s">
        <v>10</v>
      </c>
      <c r="E935" t="s">
        <v>1534</v>
      </c>
      <c r="F935" t="s">
        <v>1535</v>
      </c>
      <c r="G935">
        <v>0</v>
      </c>
      <c r="H935" t="s">
        <v>153</v>
      </c>
      <c r="I935" s="2">
        <v>8000</v>
      </c>
    </row>
    <row r="936" spans="1:9" x14ac:dyDescent="0.3">
      <c r="A936" s="5">
        <v>9663</v>
      </c>
      <c r="B936" s="5" t="s">
        <v>1536</v>
      </c>
      <c r="C936" s="5">
        <v>5</v>
      </c>
      <c r="D936" s="5" t="s">
        <v>63</v>
      </c>
      <c r="E936" t="s">
        <v>1537</v>
      </c>
      <c r="F936" t="s">
        <v>1538</v>
      </c>
      <c r="G936">
        <v>0</v>
      </c>
      <c r="H936" t="s">
        <v>458</v>
      </c>
      <c r="I936" s="2">
        <v>30000</v>
      </c>
    </row>
    <row r="937" spans="1:9" x14ac:dyDescent="0.3">
      <c r="A937" s="5">
        <v>9663</v>
      </c>
      <c r="B937" s="5" t="s">
        <v>1536</v>
      </c>
      <c r="C937" s="5">
        <v>5</v>
      </c>
      <c r="D937" s="5" t="s">
        <v>63</v>
      </c>
      <c r="E937" t="s">
        <v>1537</v>
      </c>
      <c r="F937" t="s">
        <v>1538</v>
      </c>
      <c r="G937">
        <v>0</v>
      </c>
      <c r="H937" t="s">
        <v>586</v>
      </c>
      <c r="I937" s="2">
        <v>12000</v>
      </c>
    </row>
    <row r="938" spans="1:9" x14ac:dyDescent="0.3">
      <c r="A938" s="5">
        <v>9663</v>
      </c>
      <c r="B938" s="5" t="s">
        <v>1536</v>
      </c>
      <c r="C938" s="5">
        <v>5</v>
      </c>
      <c r="D938" s="5" t="s">
        <v>63</v>
      </c>
      <c r="E938" t="s">
        <v>1537</v>
      </c>
      <c r="F938" t="s">
        <v>1538</v>
      </c>
      <c r="G938">
        <v>0</v>
      </c>
      <c r="H938" t="s">
        <v>462</v>
      </c>
      <c r="I938" s="2">
        <v>12000</v>
      </c>
    </row>
    <row r="939" spans="1:9" x14ac:dyDescent="0.3">
      <c r="A939" s="5">
        <v>9662</v>
      </c>
      <c r="B939" s="5" t="s">
        <v>1539</v>
      </c>
      <c r="C939" s="5">
        <v>1</v>
      </c>
      <c r="D939" s="5" t="s">
        <v>10</v>
      </c>
      <c r="E939" t="s">
        <v>1540</v>
      </c>
      <c r="F939" t="s">
        <v>1541</v>
      </c>
      <c r="G939">
        <v>0</v>
      </c>
      <c r="H939" t="s">
        <v>1042</v>
      </c>
      <c r="I939" s="2">
        <v>6000</v>
      </c>
    </row>
    <row r="940" spans="1:9" x14ac:dyDescent="0.3">
      <c r="A940" s="5">
        <v>9662</v>
      </c>
      <c r="B940" s="5" t="s">
        <v>1539</v>
      </c>
      <c r="C940" s="5">
        <v>1</v>
      </c>
      <c r="D940" s="5" t="s">
        <v>10</v>
      </c>
      <c r="E940" t="s">
        <v>1540</v>
      </c>
      <c r="F940" t="s">
        <v>1541</v>
      </c>
      <c r="G940">
        <v>0</v>
      </c>
      <c r="H940" t="s">
        <v>1542</v>
      </c>
      <c r="I940" s="2">
        <v>12000</v>
      </c>
    </row>
    <row r="941" spans="1:9" x14ac:dyDescent="0.3">
      <c r="A941" s="5">
        <v>9662</v>
      </c>
      <c r="B941" s="5" t="s">
        <v>1539</v>
      </c>
      <c r="C941" s="5">
        <v>1</v>
      </c>
      <c r="D941" s="5" t="s">
        <v>10</v>
      </c>
      <c r="E941" t="s">
        <v>1540</v>
      </c>
      <c r="F941" t="s">
        <v>1541</v>
      </c>
      <c r="G941">
        <v>0</v>
      </c>
      <c r="H941" t="s">
        <v>1543</v>
      </c>
      <c r="I941" s="2">
        <v>18000</v>
      </c>
    </row>
    <row r="942" spans="1:9" x14ac:dyDescent="0.3">
      <c r="A942" s="5">
        <v>9661</v>
      </c>
      <c r="B942" s="5" t="s">
        <v>1544</v>
      </c>
      <c r="C942" s="5">
        <v>5</v>
      </c>
      <c r="D942" s="5" t="s">
        <v>63</v>
      </c>
      <c r="E942" t="s">
        <v>1545</v>
      </c>
      <c r="F942" t="s">
        <v>1546</v>
      </c>
      <c r="G942">
        <v>0</v>
      </c>
      <c r="H942" t="s">
        <v>1547</v>
      </c>
      <c r="I942" s="2">
        <v>9000</v>
      </c>
    </row>
    <row r="943" spans="1:9" x14ac:dyDescent="0.3">
      <c r="A943" s="5">
        <v>9661</v>
      </c>
      <c r="B943" s="5" t="s">
        <v>1544</v>
      </c>
      <c r="C943" s="5">
        <v>5</v>
      </c>
      <c r="D943" s="5" t="s">
        <v>63</v>
      </c>
      <c r="E943" t="s">
        <v>1545</v>
      </c>
      <c r="F943" t="s">
        <v>1546</v>
      </c>
      <c r="G943">
        <v>0</v>
      </c>
      <c r="H943" t="s">
        <v>1548</v>
      </c>
      <c r="I943" s="2">
        <v>4000</v>
      </c>
    </row>
    <row r="944" spans="1:9" x14ac:dyDescent="0.3">
      <c r="A944" s="5">
        <v>9661</v>
      </c>
      <c r="B944" s="5" t="s">
        <v>1544</v>
      </c>
      <c r="C944" s="5">
        <v>5</v>
      </c>
      <c r="D944" s="5" t="s">
        <v>63</v>
      </c>
      <c r="E944" t="s">
        <v>1545</v>
      </c>
      <c r="F944" t="s">
        <v>1546</v>
      </c>
      <c r="G944">
        <v>0</v>
      </c>
      <c r="H944" t="s">
        <v>1549</v>
      </c>
      <c r="I944" s="2">
        <v>6000</v>
      </c>
    </row>
    <row r="945" spans="1:9" x14ac:dyDescent="0.3">
      <c r="A945" s="5">
        <v>9660</v>
      </c>
      <c r="B945" s="5" t="s">
        <v>1327</v>
      </c>
      <c r="C945" s="5">
        <v>3</v>
      </c>
      <c r="D945" s="5" t="s">
        <v>44</v>
      </c>
      <c r="E945" t="s">
        <v>1328</v>
      </c>
      <c r="F945" t="s">
        <v>1550</v>
      </c>
      <c r="G945">
        <v>0</v>
      </c>
      <c r="H945" t="s">
        <v>1551</v>
      </c>
      <c r="I945" s="2">
        <v>12900</v>
      </c>
    </row>
    <row r="946" spans="1:9" x14ac:dyDescent="0.3">
      <c r="A946" s="5">
        <v>9660</v>
      </c>
      <c r="B946" s="5" t="s">
        <v>1327</v>
      </c>
      <c r="C946" s="5">
        <v>3</v>
      </c>
      <c r="D946" s="5" t="s">
        <v>44</v>
      </c>
      <c r="E946" t="s">
        <v>1328</v>
      </c>
      <c r="F946" t="s">
        <v>1550</v>
      </c>
      <c r="G946">
        <v>0</v>
      </c>
      <c r="H946" t="s">
        <v>1552</v>
      </c>
      <c r="I946" s="2">
        <v>12000</v>
      </c>
    </row>
    <row r="947" spans="1:9" x14ac:dyDescent="0.3">
      <c r="A947" s="5">
        <v>9660</v>
      </c>
      <c r="B947" s="5" t="s">
        <v>1327</v>
      </c>
      <c r="C947" s="5">
        <v>3</v>
      </c>
      <c r="D947" s="5" t="s">
        <v>44</v>
      </c>
      <c r="E947" t="s">
        <v>1328</v>
      </c>
      <c r="F947" t="s">
        <v>1550</v>
      </c>
      <c r="G947">
        <v>0</v>
      </c>
      <c r="H947" t="s">
        <v>1330</v>
      </c>
      <c r="I947" s="2">
        <v>9900</v>
      </c>
    </row>
    <row r="948" spans="1:9" x14ac:dyDescent="0.3">
      <c r="A948" s="5">
        <v>9659</v>
      </c>
      <c r="B948" s="5" t="s">
        <v>1553</v>
      </c>
      <c r="C948" s="5">
        <v>1</v>
      </c>
      <c r="D948" s="5" t="s">
        <v>10</v>
      </c>
      <c r="E948" t="s">
        <v>1554</v>
      </c>
      <c r="F948" t="s">
        <v>1555</v>
      </c>
      <c r="G948">
        <v>0</v>
      </c>
      <c r="H948" t="s">
        <v>1556</v>
      </c>
      <c r="I948" s="2">
        <v>6000</v>
      </c>
    </row>
    <row r="949" spans="1:9" x14ac:dyDescent="0.3">
      <c r="A949" s="5">
        <v>9658</v>
      </c>
      <c r="B949" s="5" t="s">
        <v>1557</v>
      </c>
      <c r="C949" s="5">
        <v>1</v>
      </c>
      <c r="D949" s="5" t="s">
        <v>10</v>
      </c>
      <c r="E949" t="s">
        <v>1558</v>
      </c>
      <c r="F949" t="s">
        <v>1559</v>
      </c>
      <c r="G949">
        <v>0</v>
      </c>
      <c r="H949" t="s">
        <v>1560</v>
      </c>
      <c r="I949" s="2">
        <v>15000</v>
      </c>
    </row>
    <row r="950" spans="1:9" x14ac:dyDescent="0.3">
      <c r="A950" s="5">
        <v>9658</v>
      </c>
      <c r="B950" s="5" t="s">
        <v>1557</v>
      </c>
      <c r="C950" s="5">
        <v>1</v>
      </c>
      <c r="D950" s="5" t="s">
        <v>10</v>
      </c>
      <c r="E950" t="s">
        <v>1558</v>
      </c>
      <c r="F950" t="s">
        <v>1559</v>
      </c>
      <c r="G950">
        <v>0</v>
      </c>
      <c r="H950" t="s">
        <v>1561</v>
      </c>
      <c r="I950" s="2">
        <v>13000</v>
      </c>
    </row>
    <row r="951" spans="1:9" x14ac:dyDescent="0.3">
      <c r="A951" s="5">
        <v>9658</v>
      </c>
      <c r="B951" s="5" t="s">
        <v>1557</v>
      </c>
      <c r="C951" s="5">
        <v>1</v>
      </c>
      <c r="D951" s="5" t="s">
        <v>10</v>
      </c>
      <c r="E951" t="s">
        <v>1558</v>
      </c>
      <c r="F951" t="s">
        <v>1559</v>
      </c>
      <c r="G951">
        <v>0</v>
      </c>
      <c r="H951" t="s">
        <v>1562</v>
      </c>
      <c r="I951" s="2">
        <v>15000</v>
      </c>
    </row>
    <row r="952" spans="1:9" x14ac:dyDescent="0.3">
      <c r="A952" s="5">
        <v>9657</v>
      </c>
      <c r="B952" s="5" t="s">
        <v>1563</v>
      </c>
      <c r="C952" s="5">
        <v>1</v>
      </c>
      <c r="D952" s="5" t="s">
        <v>10</v>
      </c>
      <c r="E952" t="s">
        <v>1564</v>
      </c>
      <c r="F952" t="s">
        <v>1565</v>
      </c>
      <c r="G952">
        <v>0</v>
      </c>
      <c r="H952" t="s">
        <v>139</v>
      </c>
      <c r="I952" s="2">
        <v>7000</v>
      </c>
    </row>
    <row r="953" spans="1:9" x14ac:dyDescent="0.3">
      <c r="A953" s="5">
        <v>9657</v>
      </c>
      <c r="B953" s="5" t="s">
        <v>1563</v>
      </c>
      <c r="C953" s="5">
        <v>1</v>
      </c>
      <c r="D953" s="5" t="s">
        <v>10</v>
      </c>
      <c r="E953" t="s">
        <v>1564</v>
      </c>
      <c r="F953" t="s">
        <v>1565</v>
      </c>
      <c r="G953">
        <v>0</v>
      </c>
      <c r="H953" t="s">
        <v>1566</v>
      </c>
      <c r="I953" s="2">
        <v>16000</v>
      </c>
    </row>
    <row r="954" spans="1:9" x14ac:dyDescent="0.3">
      <c r="A954" s="5">
        <v>9657</v>
      </c>
      <c r="B954" s="5" t="s">
        <v>1563</v>
      </c>
      <c r="C954" s="5">
        <v>1</v>
      </c>
      <c r="D954" s="5" t="s">
        <v>10</v>
      </c>
      <c r="E954" t="s">
        <v>1564</v>
      </c>
      <c r="F954" t="s">
        <v>1565</v>
      </c>
      <c r="G954">
        <v>0</v>
      </c>
      <c r="H954" t="s">
        <v>1001</v>
      </c>
      <c r="I954" s="2">
        <v>16000</v>
      </c>
    </row>
    <row r="955" spans="1:9" x14ac:dyDescent="0.3">
      <c r="A955" s="5">
        <v>9656</v>
      </c>
      <c r="B955" s="5" t="s">
        <v>1567</v>
      </c>
      <c r="C955" s="5">
        <v>1</v>
      </c>
      <c r="D955" s="5" t="s">
        <v>10</v>
      </c>
      <c r="E955" t="s">
        <v>1568</v>
      </c>
      <c r="F955" t="s">
        <v>1569</v>
      </c>
      <c r="G955">
        <v>0</v>
      </c>
      <c r="H955" t="s">
        <v>259</v>
      </c>
      <c r="I955" s="2">
        <v>8000</v>
      </c>
    </row>
    <row r="956" spans="1:9" x14ac:dyDescent="0.3">
      <c r="A956" s="5">
        <v>9655</v>
      </c>
      <c r="B956" s="5" t="s">
        <v>1570</v>
      </c>
      <c r="C956" s="5">
        <v>1</v>
      </c>
      <c r="D956" s="5" t="s">
        <v>10</v>
      </c>
      <c r="E956" t="s">
        <v>1571</v>
      </c>
      <c r="F956" t="s">
        <v>1572</v>
      </c>
      <c r="G956">
        <v>0</v>
      </c>
      <c r="H956" t="s">
        <v>1001</v>
      </c>
      <c r="I956" s="2">
        <v>15000</v>
      </c>
    </row>
    <row r="957" spans="1:9" x14ac:dyDescent="0.3">
      <c r="A957" s="5">
        <v>9655</v>
      </c>
      <c r="B957" s="5" t="s">
        <v>1570</v>
      </c>
      <c r="C957" s="5">
        <v>1</v>
      </c>
      <c r="D957" s="5" t="s">
        <v>10</v>
      </c>
      <c r="E957" t="s">
        <v>1571</v>
      </c>
      <c r="F957" t="s">
        <v>1572</v>
      </c>
      <c r="G957">
        <v>0</v>
      </c>
      <c r="H957" t="s">
        <v>1573</v>
      </c>
      <c r="I957" s="2">
        <v>17000</v>
      </c>
    </row>
    <row r="958" spans="1:9" x14ac:dyDescent="0.3">
      <c r="A958" s="5">
        <v>9654</v>
      </c>
      <c r="B958" s="5" t="s">
        <v>1574</v>
      </c>
      <c r="C958" s="5">
        <v>1</v>
      </c>
      <c r="D958" s="5" t="s">
        <v>10</v>
      </c>
      <c r="E958" t="s">
        <v>1575</v>
      </c>
      <c r="F958" t="s">
        <v>1576</v>
      </c>
      <c r="G958">
        <v>0</v>
      </c>
      <c r="H958" t="s">
        <v>1577</v>
      </c>
      <c r="I958" s="2">
        <v>8000</v>
      </c>
    </row>
    <row r="959" spans="1:9" x14ac:dyDescent="0.3">
      <c r="A959" s="5">
        <v>9654</v>
      </c>
      <c r="B959" s="5" t="s">
        <v>1574</v>
      </c>
      <c r="C959" s="5">
        <v>1</v>
      </c>
      <c r="D959" s="5" t="s">
        <v>10</v>
      </c>
      <c r="E959" t="s">
        <v>1575</v>
      </c>
      <c r="F959" t="s">
        <v>1576</v>
      </c>
      <c r="G959">
        <v>0</v>
      </c>
      <c r="H959" t="s">
        <v>1578</v>
      </c>
      <c r="I959" s="2">
        <v>8000</v>
      </c>
    </row>
    <row r="960" spans="1:9" x14ac:dyDescent="0.3">
      <c r="A960" s="5">
        <v>9654</v>
      </c>
      <c r="B960" s="5" t="s">
        <v>1574</v>
      </c>
      <c r="C960" s="5">
        <v>1</v>
      </c>
      <c r="D960" s="5" t="s">
        <v>10</v>
      </c>
      <c r="E960" t="s">
        <v>1575</v>
      </c>
      <c r="F960" t="s">
        <v>1576</v>
      </c>
      <c r="G960">
        <v>0</v>
      </c>
      <c r="H960" t="s">
        <v>1379</v>
      </c>
      <c r="I960" s="2">
        <v>7000</v>
      </c>
    </row>
    <row r="961" spans="1:9" x14ac:dyDescent="0.3">
      <c r="A961" s="5">
        <v>9653</v>
      </c>
      <c r="B961" s="5" t="s">
        <v>1579</v>
      </c>
      <c r="C961" s="5">
        <v>4</v>
      </c>
      <c r="D961" s="5" t="s">
        <v>39</v>
      </c>
      <c r="E961" t="s">
        <v>1580</v>
      </c>
      <c r="F961" t="s">
        <v>1581</v>
      </c>
      <c r="G961">
        <v>0</v>
      </c>
      <c r="H961" t="s">
        <v>304</v>
      </c>
      <c r="I961" s="2">
        <v>7000</v>
      </c>
    </row>
    <row r="962" spans="1:9" x14ac:dyDescent="0.3">
      <c r="A962" s="5">
        <v>9652</v>
      </c>
      <c r="B962" s="5" t="s">
        <v>1582</v>
      </c>
      <c r="C962" s="5">
        <v>5</v>
      </c>
      <c r="D962" s="5" t="s">
        <v>63</v>
      </c>
      <c r="E962" t="s">
        <v>1583</v>
      </c>
      <c r="F962" t="s">
        <v>1584</v>
      </c>
      <c r="G962">
        <v>0</v>
      </c>
      <c r="H962" t="s">
        <v>88</v>
      </c>
      <c r="I962" s="2">
        <v>25000</v>
      </c>
    </row>
    <row r="963" spans="1:9" x14ac:dyDescent="0.3">
      <c r="A963" s="5">
        <v>9652</v>
      </c>
      <c r="B963" s="5" t="s">
        <v>1582</v>
      </c>
      <c r="C963" s="5">
        <v>5</v>
      </c>
      <c r="D963" s="5" t="s">
        <v>63</v>
      </c>
      <c r="E963" t="s">
        <v>1583</v>
      </c>
      <c r="F963" t="s">
        <v>1584</v>
      </c>
      <c r="G963">
        <v>0</v>
      </c>
      <c r="H963" t="s">
        <v>67</v>
      </c>
      <c r="I963" s="2">
        <v>5000</v>
      </c>
    </row>
    <row r="964" spans="1:9" x14ac:dyDescent="0.3">
      <c r="A964" s="5">
        <v>9651</v>
      </c>
      <c r="B964" s="5" t="s">
        <v>1585</v>
      </c>
      <c r="C964" s="5">
        <v>5</v>
      </c>
      <c r="D964" s="5" t="s">
        <v>63</v>
      </c>
      <c r="E964" t="s">
        <v>1586</v>
      </c>
      <c r="G964">
        <v>0</v>
      </c>
      <c r="H964" t="s">
        <v>67</v>
      </c>
      <c r="I964" s="2">
        <v>6000</v>
      </c>
    </row>
    <row r="965" spans="1:9" x14ac:dyDescent="0.3">
      <c r="A965" s="5">
        <v>9651</v>
      </c>
      <c r="B965" s="5" t="s">
        <v>1585</v>
      </c>
      <c r="C965" s="5">
        <v>5</v>
      </c>
      <c r="D965" s="5" t="s">
        <v>63</v>
      </c>
      <c r="E965" t="s">
        <v>1586</v>
      </c>
      <c r="G965">
        <v>0</v>
      </c>
      <c r="H965" t="s">
        <v>88</v>
      </c>
      <c r="I965" s="2">
        <v>20000</v>
      </c>
    </row>
    <row r="966" spans="1:9" x14ac:dyDescent="0.3">
      <c r="A966" s="5">
        <v>9650</v>
      </c>
      <c r="B966" s="5" t="s">
        <v>1587</v>
      </c>
      <c r="C966" s="5">
        <v>1</v>
      </c>
      <c r="D966" s="5" t="s">
        <v>10</v>
      </c>
      <c r="E966" t="s">
        <v>1588</v>
      </c>
      <c r="F966" t="s">
        <v>1589</v>
      </c>
      <c r="G966">
        <v>0</v>
      </c>
      <c r="H966" t="s">
        <v>1590</v>
      </c>
      <c r="I966" s="2">
        <v>2500</v>
      </c>
    </row>
    <row r="967" spans="1:9" x14ac:dyDescent="0.3">
      <c r="A967" s="5">
        <v>9650</v>
      </c>
      <c r="B967" s="5" t="s">
        <v>1587</v>
      </c>
      <c r="C967" s="5">
        <v>1</v>
      </c>
      <c r="D967" s="5" t="s">
        <v>10</v>
      </c>
      <c r="E967" t="s">
        <v>1588</v>
      </c>
      <c r="F967" t="s">
        <v>1589</v>
      </c>
      <c r="G967">
        <v>0</v>
      </c>
      <c r="H967" t="s">
        <v>258</v>
      </c>
      <c r="I967" s="2">
        <v>2500</v>
      </c>
    </row>
    <row r="968" spans="1:9" x14ac:dyDescent="0.3">
      <c r="A968" s="5">
        <v>9650</v>
      </c>
      <c r="B968" s="5" t="s">
        <v>1587</v>
      </c>
      <c r="C968" s="5">
        <v>1</v>
      </c>
      <c r="D968" s="5" t="s">
        <v>10</v>
      </c>
      <c r="E968" t="s">
        <v>1588</v>
      </c>
      <c r="F968" t="s">
        <v>1589</v>
      </c>
      <c r="G968">
        <v>0</v>
      </c>
      <c r="H968" t="s">
        <v>258</v>
      </c>
      <c r="I968" s="2">
        <v>2500</v>
      </c>
    </row>
    <row r="969" spans="1:9" x14ac:dyDescent="0.3">
      <c r="A969" s="5">
        <v>9649</v>
      </c>
      <c r="B969" s="5" t="s">
        <v>1591</v>
      </c>
      <c r="C969" s="5">
        <v>4</v>
      </c>
      <c r="D969" s="5" t="s">
        <v>39</v>
      </c>
      <c r="E969" t="s">
        <v>1592</v>
      </c>
      <c r="F969" t="s">
        <v>1593</v>
      </c>
      <c r="G969">
        <v>0</v>
      </c>
      <c r="H969" t="s">
        <v>342</v>
      </c>
      <c r="I969" s="2">
        <v>3000</v>
      </c>
    </row>
    <row r="970" spans="1:9" x14ac:dyDescent="0.3">
      <c r="A970" s="5">
        <v>9649</v>
      </c>
      <c r="B970" s="5" t="s">
        <v>1591</v>
      </c>
      <c r="C970" s="5">
        <v>4</v>
      </c>
      <c r="D970" s="5" t="s">
        <v>39</v>
      </c>
      <c r="E970" t="s">
        <v>1592</v>
      </c>
      <c r="F970" t="s">
        <v>1593</v>
      </c>
      <c r="G970">
        <v>0</v>
      </c>
      <c r="H970" t="s">
        <v>205</v>
      </c>
      <c r="I970" s="2">
        <v>2800</v>
      </c>
    </row>
    <row r="971" spans="1:9" x14ac:dyDescent="0.3">
      <c r="A971" s="5">
        <v>9648</v>
      </c>
      <c r="B971" s="5" t="s">
        <v>1594</v>
      </c>
      <c r="C971" s="5">
        <v>1</v>
      </c>
      <c r="D971" s="5" t="s">
        <v>10</v>
      </c>
      <c r="E971" t="s">
        <v>1595</v>
      </c>
      <c r="F971" t="s">
        <v>1596</v>
      </c>
      <c r="G971">
        <v>0</v>
      </c>
      <c r="H971" t="s">
        <v>21</v>
      </c>
      <c r="I971" s="2">
        <v>5000</v>
      </c>
    </row>
    <row r="972" spans="1:9" x14ac:dyDescent="0.3">
      <c r="A972" s="5">
        <v>9648</v>
      </c>
      <c r="B972" s="5" t="s">
        <v>1594</v>
      </c>
      <c r="C972" s="5">
        <v>1</v>
      </c>
      <c r="D972" s="5" t="s">
        <v>10</v>
      </c>
      <c r="E972" t="s">
        <v>1595</v>
      </c>
      <c r="F972" t="s">
        <v>1596</v>
      </c>
      <c r="G972">
        <v>0</v>
      </c>
      <c r="H972" t="s">
        <v>21</v>
      </c>
      <c r="I972" s="2">
        <v>5000</v>
      </c>
    </row>
    <row r="973" spans="1:9" x14ac:dyDescent="0.3">
      <c r="A973" s="5">
        <v>9647</v>
      </c>
      <c r="B973" s="5" t="s">
        <v>1597</v>
      </c>
      <c r="C973" s="5">
        <v>1</v>
      </c>
      <c r="D973" s="5" t="s">
        <v>10</v>
      </c>
      <c r="E973" t="s">
        <v>1598</v>
      </c>
      <c r="F973" t="s">
        <v>1599</v>
      </c>
      <c r="G973">
        <v>0</v>
      </c>
      <c r="H973" t="s">
        <v>21</v>
      </c>
      <c r="I973" s="2">
        <v>5000</v>
      </c>
    </row>
    <row r="974" spans="1:9" x14ac:dyDescent="0.3">
      <c r="A974" s="5">
        <v>9647</v>
      </c>
      <c r="B974" s="5" t="s">
        <v>1597</v>
      </c>
      <c r="C974" s="5">
        <v>1</v>
      </c>
      <c r="D974" s="5" t="s">
        <v>10</v>
      </c>
      <c r="E974" t="s">
        <v>1598</v>
      </c>
      <c r="F974" t="s">
        <v>1599</v>
      </c>
      <c r="G974">
        <v>0</v>
      </c>
      <c r="H974" t="s">
        <v>1600</v>
      </c>
      <c r="I974" s="2">
        <v>5000</v>
      </c>
    </row>
    <row r="975" spans="1:9" x14ac:dyDescent="0.3">
      <c r="A975" s="5">
        <v>9647</v>
      </c>
      <c r="B975" s="5" t="s">
        <v>1597</v>
      </c>
      <c r="C975" s="5">
        <v>1</v>
      </c>
      <c r="D975" s="5" t="s">
        <v>10</v>
      </c>
      <c r="E975" t="s">
        <v>1598</v>
      </c>
      <c r="F975" t="s">
        <v>1599</v>
      </c>
      <c r="G975">
        <v>0</v>
      </c>
      <c r="H975" t="s">
        <v>21</v>
      </c>
      <c r="I975" s="2">
        <v>5000</v>
      </c>
    </row>
    <row r="976" spans="1:9" x14ac:dyDescent="0.3">
      <c r="A976" s="5">
        <v>9646</v>
      </c>
      <c r="B976" s="5" t="s">
        <v>1601</v>
      </c>
      <c r="C976" s="5">
        <v>1</v>
      </c>
      <c r="D976" s="5" t="s">
        <v>10</v>
      </c>
      <c r="E976" t="s">
        <v>1602</v>
      </c>
      <c r="F976" t="s">
        <v>1603</v>
      </c>
      <c r="G976">
        <v>0</v>
      </c>
      <c r="H976" t="s">
        <v>794</v>
      </c>
      <c r="I976" s="2">
        <v>7000</v>
      </c>
    </row>
    <row r="977" spans="1:9" x14ac:dyDescent="0.3">
      <c r="A977" s="5">
        <v>9646</v>
      </c>
      <c r="B977" s="5" t="s">
        <v>1601</v>
      </c>
      <c r="C977" s="5">
        <v>1</v>
      </c>
      <c r="D977" s="5" t="s">
        <v>10</v>
      </c>
      <c r="E977" t="s">
        <v>1602</v>
      </c>
      <c r="F977" t="s">
        <v>1603</v>
      </c>
      <c r="G977">
        <v>0</v>
      </c>
      <c r="H977" t="s">
        <v>19</v>
      </c>
      <c r="I977" s="2">
        <v>6000</v>
      </c>
    </row>
    <row r="978" spans="1:9" x14ac:dyDescent="0.3">
      <c r="A978" s="5">
        <v>9646</v>
      </c>
      <c r="B978" s="5" t="s">
        <v>1601</v>
      </c>
      <c r="C978" s="5">
        <v>1</v>
      </c>
      <c r="D978" s="5" t="s">
        <v>10</v>
      </c>
      <c r="E978" t="s">
        <v>1602</v>
      </c>
      <c r="F978" t="s">
        <v>1603</v>
      </c>
      <c r="G978">
        <v>0</v>
      </c>
      <c r="H978" t="s">
        <v>175</v>
      </c>
      <c r="I978" s="2">
        <v>5000</v>
      </c>
    </row>
    <row r="979" spans="1:9" x14ac:dyDescent="0.3">
      <c r="A979" s="5">
        <v>9645</v>
      </c>
      <c r="B979" s="5" t="s">
        <v>1604</v>
      </c>
      <c r="C979" s="5">
        <v>1</v>
      </c>
      <c r="D979" s="5" t="s">
        <v>10</v>
      </c>
      <c r="E979" t="s">
        <v>1605</v>
      </c>
      <c r="F979" t="s">
        <v>1606</v>
      </c>
      <c r="G979">
        <v>0</v>
      </c>
      <c r="H979" t="s">
        <v>930</v>
      </c>
      <c r="I979" s="2">
        <v>7000</v>
      </c>
    </row>
    <row r="980" spans="1:9" x14ac:dyDescent="0.3">
      <c r="A980" s="5">
        <v>9644</v>
      </c>
      <c r="B980" s="5" t="s">
        <v>1607</v>
      </c>
      <c r="C980" s="5">
        <v>5</v>
      </c>
      <c r="D980" s="5" t="s">
        <v>63</v>
      </c>
      <c r="E980" t="s">
        <v>1608</v>
      </c>
      <c r="F980" t="s">
        <v>74</v>
      </c>
      <c r="G980">
        <v>0</v>
      </c>
      <c r="H980" t="s">
        <v>67</v>
      </c>
      <c r="I980" s="2">
        <v>8000</v>
      </c>
    </row>
    <row r="981" spans="1:9" x14ac:dyDescent="0.3">
      <c r="A981" s="5">
        <v>9643</v>
      </c>
      <c r="B981" s="5" t="s">
        <v>1609</v>
      </c>
      <c r="C981" s="5">
        <v>5</v>
      </c>
      <c r="D981" s="5" t="s">
        <v>63</v>
      </c>
      <c r="E981" t="s">
        <v>1610</v>
      </c>
      <c r="F981" t="s">
        <v>1611</v>
      </c>
      <c r="G981">
        <v>0</v>
      </c>
      <c r="H981" t="s">
        <v>67</v>
      </c>
      <c r="I981" s="2">
        <v>6000</v>
      </c>
    </row>
    <row r="982" spans="1:9" x14ac:dyDescent="0.3">
      <c r="A982" s="5">
        <v>9642</v>
      </c>
      <c r="B982" s="5" t="s">
        <v>1612</v>
      </c>
      <c r="C982" s="5">
        <v>1</v>
      </c>
      <c r="D982" s="5" t="s">
        <v>10</v>
      </c>
      <c r="E982" t="s">
        <v>1613</v>
      </c>
      <c r="F982" t="s">
        <v>1614</v>
      </c>
      <c r="G982">
        <v>0</v>
      </c>
      <c r="H982" t="s">
        <v>1615</v>
      </c>
      <c r="I982" s="2">
        <v>6000</v>
      </c>
    </row>
    <row r="983" spans="1:9" x14ac:dyDescent="0.3">
      <c r="A983" s="5">
        <v>9642</v>
      </c>
      <c r="B983" s="5" t="s">
        <v>1612</v>
      </c>
      <c r="C983" s="5">
        <v>1</v>
      </c>
      <c r="D983" s="5" t="s">
        <v>10</v>
      </c>
      <c r="E983" t="s">
        <v>1613</v>
      </c>
      <c r="F983" t="s">
        <v>1614</v>
      </c>
      <c r="G983">
        <v>0</v>
      </c>
      <c r="H983" t="s">
        <v>1616</v>
      </c>
      <c r="I983" s="2">
        <v>6000</v>
      </c>
    </row>
    <row r="984" spans="1:9" x14ac:dyDescent="0.3">
      <c r="A984" s="5">
        <v>9642</v>
      </c>
      <c r="B984" s="5" t="s">
        <v>1612</v>
      </c>
      <c r="C984" s="5">
        <v>1</v>
      </c>
      <c r="D984" s="5" t="s">
        <v>10</v>
      </c>
      <c r="E984" t="s">
        <v>1613</v>
      </c>
      <c r="F984" t="s">
        <v>1614</v>
      </c>
      <c r="G984">
        <v>0</v>
      </c>
      <c r="H984" t="s">
        <v>1617</v>
      </c>
      <c r="I984" s="2">
        <v>5000</v>
      </c>
    </row>
    <row r="985" spans="1:9" x14ac:dyDescent="0.3">
      <c r="A985" s="5">
        <v>9641</v>
      </c>
      <c r="B985" s="5" t="s">
        <v>1618</v>
      </c>
      <c r="C985" s="5">
        <v>1</v>
      </c>
      <c r="D985" s="5" t="s">
        <v>10</v>
      </c>
      <c r="E985" t="s">
        <v>1619</v>
      </c>
      <c r="F985" t="s">
        <v>1620</v>
      </c>
      <c r="G985">
        <v>0</v>
      </c>
      <c r="H985" t="s">
        <v>1621</v>
      </c>
      <c r="I985" s="2">
        <v>23000</v>
      </c>
    </row>
    <row r="986" spans="1:9" x14ac:dyDescent="0.3">
      <c r="A986" s="5">
        <v>9641</v>
      </c>
      <c r="B986" s="5" t="s">
        <v>1618</v>
      </c>
      <c r="C986" s="5">
        <v>1</v>
      </c>
      <c r="D986" s="5" t="s">
        <v>10</v>
      </c>
      <c r="E986" t="s">
        <v>1619</v>
      </c>
      <c r="F986" t="s">
        <v>1620</v>
      </c>
      <c r="G986">
        <v>0</v>
      </c>
      <c r="H986" t="s">
        <v>1622</v>
      </c>
      <c r="I986" s="2">
        <v>19000</v>
      </c>
    </row>
    <row r="987" spans="1:9" x14ac:dyDescent="0.3">
      <c r="A987" s="5">
        <v>9641</v>
      </c>
      <c r="B987" s="5" t="s">
        <v>1618</v>
      </c>
      <c r="C987" s="5">
        <v>1</v>
      </c>
      <c r="D987" s="5" t="s">
        <v>10</v>
      </c>
      <c r="E987" t="s">
        <v>1619</v>
      </c>
      <c r="F987" t="s">
        <v>1620</v>
      </c>
      <c r="G987">
        <v>0</v>
      </c>
      <c r="H987" t="s">
        <v>1623</v>
      </c>
      <c r="I987" s="2">
        <v>18000</v>
      </c>
    </row>
    <row r="988" spans="1:9" x14ac:dyDescent="0.3">
      <c r="A988" s="5">
        <v>9640</v>
      </c>
      <c r="B988" s="5" t="s">
        <v>1624</v>
      </c>
      <c r="C988" s="5">
        <v>1</v>
      </c>
      <c r="D988" s="5" t="s">
        <v>10</v>
      </c>
      <c r="E988" t="s">
        <v>1625</v>
      </c>
      <c r="F988" t="s">
        <v>1626</v>
      </c>
      <c r="G988">
        <v>0</v>
      </c>
      <c r="H988" t="s">
        <v>1627</v>
      </c>
      <c r="I988" s="2">
        <v>16000</v>
      </c>
    </row>
    <row r="989" spans="1:9" x14ac:dyDescent="0.3">
      <c r="A989" s="5">
        <v>9640</v>
      </c>
      <c r="B989" s="5" t="s">
        <v>1624</v>
      </c>
      <c r="C989" s="5">
        <v>1</v>
      </c>
      <c r="D989" s="5" t="s">
        <v>10</v>
      </c>
      <c r="E989" t="s">
        <v>1625</v>
      </c>
      <c r="F989" t="s">
        <v>1626</v>
      </c>
      <c r="G989">
        <v>0</v>
      </c>
      <c r="H989" t="s">
        <v>1628</v>
      </c>
      <c r="I989" s="2">
        <v>15000</v>
      </c>
    </row>
    <row r="990" spans="1:9" x14ac:dyDescent="0.3">
      <c r="A990" s="5">
        <v>9640</v>
      </c>
      <c r="B990" s="5" t="s">
        <v>1624</v>
      </c>
      <c r="C990" s="5">
        <v>1</v>
      </c>
      <c r="D990" s="5" t="s">
        <v>10</v>
      </c>
      <c r="E990" t="s">
        <v>1625</v>
      </c>
      <c r="F990" t="s">
        <v>1626</v>
      </c>
      <c r="G990">
        <v>0</v>
      </c>
      <c r="H990" t="s">
        <v>1629</v>
      </c>
      <c r="I990" s="2">
        <v>16000</v>
      </c>
    </row>
    <row r="991" spans="1:9" x14ac:dyDescent="0.3">
      <c r="A991" s="5">
        <v>9639</v>
      </c>
      <c r="B991" s="5" t="s">
        <v>1630</v>
      </c>
      <c r="C991" s="5">
        <v>3</v>
      </c>
      <c r="D991" s="5" t="s">
        <v>44</v>
      </c>
      <c r="E991" t="s">
        <v>1631</v>
      </c>
      <c r="F991" t="s">
        <v>1632</v>
      </c>
      <c r="G991">
        <v>0</v>
      </c>
      <c r="H991" t="s">
        <v>1633</v>
      </c>
      <c r="I991" s="2">
        <v>7700</v>
      </c>
    </row>
    <row r="992" spans="1:9" x14ac:dyDescent="0.3">
      <c r="A992" s="5">
        <v>9639</v>
      </c>
      <c r="B992" s="5" t="s">
        <v>1630</v>
      </c>
      <c r="C992" s="5">
        <v>3</v>
      </c>
      <c r="D992" s="5" t="s">
        <v>44</v>
      </c>
      <c r="E992" t="s">
        <v>1631</v>
      </c>
      <c r="F992" t="s">
        <v>1632</v>
      </c>
      <c r="G992">
        <v>0</v>
      </c>
      <c r="H992" t="s">
        <v>372</v>
      </c>
      <c r="I992" s="2">
        <v>5000</v>
      </c>
    </row>
    <row r="993" spans="1:9" x14ac:dyDescent="0.3">
      <c r="A993" s="5">
        <v>9639</v>
      </c>
      <c r="B993" s="5" t="s">
        <v>1630</v>
      </c>
      <c r="C993" s="5">
        <v>3</v>
      </c>
      <c r="D993" s="5" t="s">
        <v>44</v>
      </c>
      <c r="E993" t="s">
        <v>1631</v>
      </c>
      <c r="F993" t="s">
        <v>1632</v>
      </c>
      <c r="G993">
        <v>0</v>
      </c>
      <c r="H993" t="s">
        <v>938</v>
      </c>
      <c r="I993" s="2">
        <v>6700</v>
      </c>
    </row>
    <row r="994" spans="1:9" x14ac:dyDescent="0.3">
      <c r="A994" s="5">
        <v>9638</v>
      </c>
      <c r="B994" s="5" t="s">
        <v>389</v>
      </c>
      <c r="C994" s="5">
        <v>1</v>
      </c>
      <c r="D994" s="5" t="s">
        <v>10</v>
      </c>
      <c r="E994" t="s">
        <v>1634</v>
      </c>
      <c r="F994" t="s">
        <v>1635</v>
      </c>
      <c r="G994">
        <v>0</v>
      </c>
      <c r="H994" t="s">
        <v>1636</v>
      </c>
      <c r="I994" s="2">
        <v>6000</v>
      </c>
    </row>
    <row r="995" spans="1:9" x14ac:dyDescent="0.3">
      <c r="A995" s="5">
        <v>9638</v>
      </c>
      <c r="B995" s="5" t="s">
        <v>389</v>
      </c>
      <c r="C995" s="5">
        <v>1</v>
      </c>
      <c r="D995" s="5" t="s">
        <v>10</v>
      </c>
      <c r="E995" t="s">
        <v>1634</v>
      </c>
      <c r="F995" t="s">
        <v>1635</v>
      </c>
      <c r="G995">
        <v>0</v>
      </c>
      <c r="H995" t="s">
        <v>1636</v>
      </c>
      <c r="I995" s="2">
        <v>6000</v>
      </c>
    </row>
    <row r="996" spans="1:9" x14ac:dyDescent="0.3">
      <c r="A996" s="5">
        <v>9638</v>
      </c>
      <c r="B996" s="5" t="s">
        <v>389</v>
      </c>
      <c r="C996" s="5">
        <v>1</v>
      </c>
      <c r="D996" s="5" t="s">
        <v>10</v>
      </c>
      <c r="E996" t="s">
        <v>1634</v>
      </c>
      <c r="F996" t="s">
        <v>1635</v>
      </c>
      <c r="G996">
        <v>0</v>
      </c>
      <c r="H996" t="s">
        <v>21</v>
      </c>
      <c r="I996" s="2">
        <v>5000</v>
      </c>
    </row>
    <row r="997" spans="1:9" x14ac:dyDescent="0.3">
      <c r="A997" s="5">
        <v>9637</v>
      </c>
      <c r="B997" s="5" t="s">
        <v>1637</v>
      </c>
      <c r="C997" s="5">
        <v>1</v>
      </c>
      <c r="D997" s="5" t="s">
        <v>10</v>
      </c>
      <c r="E997" t="s">
        <v>1638</v>
      </c>
      <c r="F997" t="s">
        <v>1639</v>
      </c>
      <c r="G997">
        <v>0</v>
      </c>
      <c r="H997" t="s">
        <v>1640</v>
      </c>
      <c r="I997" s="2">
        <v>7500</v>
      </c>
    </row>
    <row r="998" spans="1:9" x14ac:dyDescent="0.3">
      <c r="A998" s="5">
        <v>9637</v>
      </c>
      <c r="B998" s="5" t="s">
        <v>1637</v>
      </c>
      <c r="C998" s="5">
        <v>1</v>
      </c>
      <c r="D998" s="5" t="s">
        <v>10</v>
      </c>
      <c r="E998" t="s">
        <v>1638</v>
      </c>
      <c r="F998" t="s">
        <v>1639</v>
      </c>
      <c r="G998">
        <v>0</v>
      </c>
      <c r="H998" t="s">
        <v>57</v>
      </c>
      <c r="I998" s="2">
        <v>7000</v>
      </c>
    </row>
    <row r="999" spans="1:9" x14ac:dyDescent="0.3">
      <c r="A999" s="5">
        <v>9637</v>
      </c>
      <c r="B999" s="5" t="s">
        <v>1637</v>
      </c>
      <c r="C999" s="5">
        <v>1</v>
      </c>
      <c r="D999" s="5" t="s">
        <v>10</v>
      </c>
      <c r="E999" t="s">
        <v>1638</v>
      </c>
      <c r="F999" t="s">
        <v>1639</v>
      </c>
      <c r="G999">
        <v>0</v>
      </c>
      <c r="H999" t="s">
        <v>1641</v>
      </c>
      <c r="I999" s="2">
        <v>5000</v>
      </c>
    </row>
    <row r="1000" spans="1:9" x14ac:dyDescent="0.3">
      <c r="A1000" s="5">
        <v>9636</v>
      </c>
      <c r="B1000" s="5" t="s">
        <v>1642</v>
      </c>
      <c r="C1000" s="5">
        <v>1</v>
      </c>
      <c r="D1000" s="5" t="s">
        <v>10</v>
      </c>
      <c r="E1000" t="s">
        <v>1643</v>
      </c>
      <c r="F1000" t="s">
        <v>1644</v>
      </c>
      <c r="G1000">
        <v>0</v>
      </c>
      <c r="H1000" t="s">
        <v>126</v>
      </c>
      <c r="I1000" s="2">
        <v>3000</v>
      </c>
    </row>
    <row r="1001" spans="1:9" x14ac:dyDescent="0.3">
      <c r="A1001" s="5">
        <v>9636</v>
      </c>
      <c r="B1001" s="5" t="s">
        <v>1642</v>
      </c>
      <c r="C1001" s="5">
        <v>1</v>
      </c>
      <c r="D1001" s="5" t="s">
        <v>10</v>
      </c>
      <c r="E1001" t="s">
        <v>1643</v>
      </c>
      <c r="F1001" t="s">
        <v>1644</v>
      </c>
      <c r="G1001">
        <v>0</v>
      </c>
      <c r="H1001" t="s">
        <v>126</v>
      </c>
      <c r="I1001" s="2">
        <v>3000</v>
      </c>
    </row>
    <row r="1002" spans="1:9" x14ac:dyDescent="0.3">
      <c r="A1002" s="5">
        <v>9636</v>
      </c>
      <c r="B1002" s="5" t="s">
        <v>1642</v>
      </c>
      <c r="C1002" s="5">
        <v>1</v>
      </c>
      <c r="D1002" s="5" t="s">
        <v>10</v>
      </c>
      <c r="E1002" t="s">
        <v>1643</v>
      </c>
      <c r="F1002" t="s">
        <v>1644</v>
      </c>
      <c r="G1002">
        <v>0</v>
      </c>
      <c r="H1002" t="s">
        <v>1645</v>
      </c>
      <c r="I1002" s="2">
        <v>1000</v>
      </c>
    </row>
    <row r="1003" spans="1:9" x14ac:dyDescent="0.3">
      <c r="A1003" s="5">
        <v>9635</v>
      </c>
      <c r="B1003" s="5" t="s">
        <v>1646</v>
      </c>
      <c r="C1003" s="5">
        <v>5</v>
      </c>
      <c r="D1003" s="5" t="s">
        <v>63</v>
      </c>
      <c r="E1003" t="s">
        <v>1647</v>
      </c>
      <c r="F1003" t="s">
        <v>1648</v>
      </c>
      <c r="G1003">
        <v>0</v>
      </c>
      <c r="H1003" t="s">
        <v>67</v>
      </c>
      <c r="I1003" s="2">
        <v>8000</v>
      </c>
    </row>
    <row r="1004" spans="1:9" x14ac:dyDescent="0.3">
      <c r="A1004" s="5">
        <v>9635</v>
      </c>
      <c r="B1004" s="5" t="s">
        <v>1646</v>
      </c>
      <c r="C1004" s="5">
        <v>5</v>
      </c>
      <c r="D1004" s="5" t="s">
        <v>63</v>
      </c>
      <c r="E1004" t="s">
        <v>1647</v>
      </c>
      <c r="F1004" t="s">
        <v>1648</v>
      </c>
      <c r="G1004">
        <v>0</v>
      </c>
      <c r="H1004" t="s">
        <v>88</v>
      </c>
      <c r="I1004" s="2">
        <v>30000</v>
      </c>
    </row>
    <row r="1005" spans="1:9" x14ac:dyDescent="0.3">
      <c r="A1005" s="5">
        <v>9634</v>
      </c>
      <c r="B1005" s="5" t="s">
        <v>1649</v>
      </c>
      <c r="C1005" s="5">
        <v>5</v>
      </c>
      <c r="D1005" s="5" t="s">
        <v>63</v>
      </c>
      <c r="E1005" t="s">
        <v>1650</v>
      </c>
      <c r="F1005" t="s">
        <v>1651</v>
      </c>
      <c r="G1005">
        <v>0</v>
      </c>
      <c r="H1005" t="s">
        <v>67</v>
      </c>
      <c r="I1005" s="2">
        <v>6000</v>
      </c>
    </row>
    <row r="1006" spans="1:9" x14ac:dyDescent="0.3">
      <c r="A1006" s="5">
        <v>9634</v>
      </c>
      <c r="B1006" s="5" t="s">
        <v>1649</v>
      </c>
      <c r="C1006" s="5">
        <v>5</v>
      </c>
      <c r="D1006" s="5" t="s">
        <v>63</v>
      </c>
      <c r="E1006" t="s">
        <v>1650</v>
      </c>
      <c r="F1006" t="s">
        <v>1651</v>
      </c>
      <c r="G1006">
        <v>0</v>
      </c>
      <c r="H1006" t="s">
        <v>66</v>
      </c>
      <c r="I1006" s="2">
        <v>8000</v>
      </c>
    </row>
    <row r="1007" spans="1:9" x14ac:dyDescent="0.3">
      <c r="A1007" s="5">
        <v>9633</v>
      </c>
      <c r="B1007" s="5" t="s">
        <v>1652</v>
      </c>
      <c r="C1007" s="5">
        <v>1</v>
      </c>
      <c r="D1007" s="5" t="s">
        <v>10</v>
      </c>
      <c r="E1007" t="s">
        <v>1653</v>
      </c>
      <c r="F1007" t="s">
        <v>1654</v>
      </c>
      <c r="G1007">
        <v>0</v>
      </c>
      <c r="H1007" t="s">
        <v>1655</v>
      </c>
      <c r="I1007" s="2">
        <v>7000</v>
      </c>
    </row>
    <row r="1008" spans="1:9" x14ac:dyDescent="0.3">
      <c r="A1008" s="5">
        <v>9633</v>
      </c>
      <c r="B1008" s="5" t="s">
        <v>1652</v>
      </c>
      <c r="C1008" s="5">
        <v>1</v>
      </c>
      <c r="D1008" s="5" t="s">
        <v>10</v>
      </c>
      <c r="E1008" t="s">
        <v>1653</v>
      </c>
      <c r="F1008" t="s">
        <v>1654</v>
      </c>
      <c r="G1008">
        <v>0</v>
      </c>
      <c r="H1008" t="s">
        <v>189</v>
      </c>
      <c r="I1008" s="2">
        <v>12000</v>
      </c>
    </row>
    <row r="1009" spans="1:9" x14ac:dyDescent="0.3">
      <c r="A1009" s="5">
        <v>9632</v>
      </c>
      <c r="B1009" s="5" t="s">
        <v>1656</v>
      </c>
      <c r="C1009" s="5">
        <v>1</v>
      </c>
      <c r="D1009" s="5" t="s">
        <v>10</v>
      </c>
      <c r="E1009" t="s">
        <v>1657</v>
      </c>
      <c r="F1009" t="s">
        <v>1658</v>
      </c>
      <c r="G1009">
        <v>0</v>
      </c>
      <c r="H1009" t="s">
        <v>521</v>
      </c>
      <c r="I1009" s="2">
        <v>5500</v>
      </c>
    </row>
    <row r="1010" spans="1:9" x14ac:dyDescent="0.3">
      <c r="A1010" s="5">
        <v>9632</v>
      </c>
      <c r="B1010" s="5" t="s">
        <v>1656</v>
      </c>
      <c r="C1010" s="5">
        <v>1</v>
      </c>
      <c r="D1010" s="5" t="s">
        <v>10</v>
      </c>
      <c r="E1010" t="s">
        <v>1657</v>
      </c>
      <c r="F1010" t="s">
        <v>1658</v>
      </c>
      <c r="G1010">
        <v>0</v>
      </c>
      <c r="H1010" t="s">
        <v>128</v>
      </c>
      <c r="I1010" s="2">
        <v>6000</v>
      </c>
    </row>
    <row r="1011" spans="1:9" x14ac:dyDescent="0.3">
      <c r="A1011" s="5">
        <v>9631</v>
      </c>
      <c r="B1011" s="5" t="s">
        <v>1659</v>
      </c>
      <c r="C1011" s="5">
        <v>2</v>
      </c>
      <c r="D1011" s="5" t="s">
        <v>261</v>
      </c>
      <c r="E1011" t="s">
        <v>1660</v>
      </c>
      <c r="F1011" t="s">
        <v>1661</v>
      </c>
      <c r="G1011">
        <v>0</v>
      </c>
      <c r="H1011" t="s">
        <v>641</v>
      </c>
      <c r="I1011" s="2">
        <v>14000</v>
      </c>
    </row>
    <row r="1012" spans="1:9" x14ac:dyDescent="0.3">
      <c r="A1012" s="5">
        <v>9631</v>
      </c>
      <c r="B1012" s="5" t="s">
        <v>1659</v>
      </c>
      <c r="C1012" s="5">
        <v>2</v>
      </c>
      <c r="D1012" s="5" t="s">
        <v>261</v>
      </c>
      <c r="E1012" t="s">
        <v>1660</v>
      </c>
      <c r="F1012" t="s">
        <v>1661</v>
      </c>
      <c r="G1012">
        <v>0</v>
      </c>
      <c r="H1012" t="s">
        <v>264</v>
      </c>
      <c r="I1012" s="2">
        <v>4500</v>
      </c>
    </row>
    <row r="1013" spans="1:9" x14ac:dyDescent="0.3">
      <c r="A1013" s="5">
        <v>9630</v>
      </c>
      <c r="B1013" s="5" t="s">
        <v>1662</v>
      </c>
      <c r="C1013" s="5">
        <v>13</v>
      </c>
      <c r="D1013" s="5" t="s">
        <v>27</v>
      </c>
      <c r="E1013" t="s">
        <v>1663</v>
      </c>
      <c r="F1013" t="s">
        <v>1664</v>
      </c>
      <c r="G1013">
        <v>0</v>
      </c>
      <c r="H1013" t="s">
        <v>1665</v>
      </c>
      <c r="I1013" s="2">
        <v>350</v>
      </c>
    </row>
    <row r="1014" spans="1:9" x14ac:dyDescent="0.3">
      <c r="A1014" s="5">
        <v>9630</v>
      </c>
      <c r="B1014" s="5" t="s">
        <v>1662</v>
      </c>
      <c r="C1014" s="5">
        <v>13</v>
      </c>
      <c r="D1014" s="5" t="s">
        <v>27</v>
      </c>
      <c r="E1014" t="s">
        <v>1663</v>
      </c>
      <c r="F1014" t="s">
        <v>1664</v>
      </c>
      <c r="G1014">
        <v>0</v>
      </c>
      <c r="H1014" t="s">
        <v>633</v>
      </c>
      <c r="I1014" s="2">
        <v>8000</v>
      </c>
    </row>
    <row r="1015" spans="1:9" x14ac:dyDescent="0.3">
      <c r="A1015" s="5">
        <v>9629</v>
      </c>
      <c r="B1015" s="5" t="s">
        <v>1666</v>
      </c>
      <c r="C1015" s="5">
        <v>7</v>
      </c>
      <c r="D1015" s="5" t="s">
        <v>360</v>
      </c>
      <c r="E1015" t="s">
        <v>1667</v>
      </c>
      <c r="F1015" t="s">
        <v>1668</v>
      </c>
      <c r="G1015">
        <v>0</v>
      </c>
      <c r="H1015" t="s">
        <v>1669</v>
      </c>
      <c r="I1015" s="2">
        <v>4000</v>
      </c>
    </row>
    <row r="1016" spans="1:9" x14ac:dyDescent="0.3">
      <c r="A1016" s="5">
        <v>9629</v>
      </c>
      <c r="B1016" s="5" t="s">
        <v>1666</v>
      </c>
      <c r="C1016" s="5">
        <v>7</v>
      </c>
      <c r="D1016" s="5" t="s">
        <v>360</v>
      </c>
      <c r="E1016" t="s">
        <v>1667</v>
      </c>
      <c r="F1016" t="s">
        <v>1668</v>
      </c>
      <c r="G1016">
        <v>0</v>
      </c>
      <c r="H1016" t="s">
        <v>1670</v>
      </c>
      <c r="I1016" s="2">
        <v>15000</v>
      </c>
    </row>
    <row r="1017" spans="1:9" x14ac:dyDescent="0.3">
      <c r="A1017" s="5">
        <v>9629</v>
      </c>
      <c r="B1017" s="5" t="s">
        <v>1666</v>
      </c>
      <c r="C1017" s="5">
        <v>7</v>
      </c>
      <c r="D1017" s="5" t="s">
        <v>360</v>
      </c>
      <c r="E1017" t="s">
        <v>1667</v>
      </c>
      <c r="F1017" t="s">
        <v>1668</v>
      </c>
      <c r="G1017">
        <v>0</v>
      </c>
      <c r="H1017" t="s">
        <v>1671</v>
      </c>
      <c r="I1017" s="2">
        <v>6000</v>
      </c>
    </row>
    <row r="1018" spans="1:9" x14ac:dyDescent="0.3">
      <c r="A1018" s="5">
        <v>9629</v>
      </c>
      <c r="B1018" s="5" t="s">
        <v>1666</v>
      </c>
      <c r="C1018" s="5">
        <v>7</v>
      </c>
      <c r="D1018" s="5" t="s">
        <v>360</v>
      </c>
      <c r="E1018" t="s">
        <v>1667</v>
      </c>
      <c r="F1018" t="s">
        <v>1668</v>
      </c>
      <c r="G1018">
        <v>0</v>
      </c>
      <c r="H1018" t="s">
        <v>1672</v>
      </c>
      <c r="I1018" s="2">
        <v>4000</v>
      </c>
    </row>
    <row r="1019" spans="1:9" x14ac:dyDescent="0.3">
      <c r="A1019" s="5">
        <v>9628</v>
      </c>
      <c r="B1019" s="5" t="s">
        <v>1673</v>
      </c>
      <c r="C1019" s="5">
        <v>1</v>
      </c>
      <c r="D1019" s="5" t="s">
        <v>10</v>
      </c>
      <c r="E1019" t="s">
        <v>1674</v>
      </c>
      <c r="F1019" t="s">
        <v>1675</v>
      </c>
      <c r="G1019">
        <v>0</v>
      </c>
      <c r="H1019" t="s">
        <v>126</v>
      </c>
      <c r="I1019" s="2">
        <v>8000</v>
      </c>
    </row>
    <row r="1020" spans="1:9" x14ac:dyDescent="0.3">
      <c r="A1020" s="5">
        <v>9628</v>
      </c>
      <c r="B1020" s="5" t="s">
        <v>1673</v>
      </c>
      <c r="C1020" s="5">
        <v>1</v>
      </c>
      <c r="D1020" s="5" t="s">
        <v>10</v>
      </c>
      <c r="E1020" t="s">
        <v>1674</v>
      </c>
      <c r="F1020" t="s">
        <v>1675</v>
      </c>
      <c r="G1020">
        <v>0</v>
      </c>
      <c r="H1020" t="s">
        <v>139</v>
      </c>
      <c r="I1020" s="2">
        <v>8000</v>
      </c>
    </row>
    <row r="1021" spans="1:9" x14ac:dyDescent="0.3">
      <c r="A1021" s="5">
        <v>9627</v>
      </c>
      <c r="B1021" s="5" t="s">
        <v>1676</v>
      </c>
      <c r="C1021" s="5">
        <v>5</v>
      </c>
      <c r="D1021" s="5" t="s">
        <v>63</v>
      </c>
      <c r="E1021" t="s">
        <v>1677</v>
      </c>
      <c r="F1021" t="s">
        <v>1678</v>
      </c>
      <c r="G1021">
        <v>0</v>
      </c>
      <c r="H1021" t="s">
        <v>67</v>
      </c>
      <c r="I1021" s="2">
        <v>10000</v>
      </c>
    </row>
    <row r="1022" spans="1:9" x14ac:dyDescent="0.3">
      <c r="A1022" s="5">
        <v>9627</v>
      </c>
      <c r="B1022" s="5" t="s">
        <v>1676</v>
      </c>
      <c r="C1022" s="5">
        <v>5</v>
      </c>
      <c r="D1022" s="5" t="s">
        <v>63</v>
      </c>
      <c r="E1022" t="s">
        <v>1677</v>
      </c>
      <c r="F1022" t="s">
        <v>1678</v>
      </c>
      <c r="G1022">
        <v>0</v>
      </c>
      <c r="H1022" t="s">
        <v>67</v>
      </c>
      <c r="I1022" s="2">
        <v>10000</v>
      </c>
    </row>
    <row r="1023" spans="1:9" x14ac:dyDescent="0.3">
      <c r="A1023" s="5">
        <v>9626</v>
      </c>
      <c r="B1023" s="5" t="s">
        <v>1679</v>
      </c>
      <c r="C1023" s="5">
        <v>1</v>
      </c>
      <c r="D1023" s="5" t="s">
        <v>10</v>
      </c>
      <c r="E1023" t="s">
        <v>1680</v>
      </c>
      <c r="F1023" t="s">
        <v>1681</v>
      </c>
      <c r="G1023">
        <v>0</v>
      </c>
      <c r="H1023" t="s">
        <v>970</v>
      </c>
      <c r="I1023" s="2">
        <v>7000</v>
      </c>
    </row>
    <row r="1024" spans="1:9" x14ac:dyDescent="0.3">
      <c r="A1024" s="5">
        <v>9625</v>
      </c>
      <c r="B1024" s="5" t="s">
        <v>1682</v>
      </c>
      <c r="C1024" s="5">
        <v>1</v>
      </c>
      <c r="D1024" s="5" t="s">
        <v>10</v>
      </c>
      <c r="E1024" t="s">
        <v>1683</v>
      </c>
      <c r="F1024" t="s">
        <v>1684</v>
      </c>
      <c r="G1024">
        <v>0</v>
      </c>
      <c r="H1024" t="s">
        <v>169</v>
      </c>
      <c r="I1024" s="2">
        <v>4500</v>
      </c>
    </row>
    <row r="1025" spans="1:9" x14ac:dyDescent="0.3">
      <c r="A1025" s="5">
        <v>9625</v>
      </c>
      <c r="B1025" s="5" t="s">
        <v>1682</v>
      </c>
      <c r="C1025" s="5">
        <v>1</v>
      </c>
      <c r="D1025" s="5" t="s">
        <v>10</v>
      </c>
      <c r="E1025" t="s">
        <v>1683</v>
      </c>
      <c r="F1025" t="s">
        <v>1684</v>
      </c>
      <c r="G1025">
        <v>0</v>
      </c>
      <c r="H1025" t="s">
        <v>374</v>
      </c>
      <c r="I1025" s="2">
        <v>3000</v>
      </c>
    </row>
    <row r="1026" spans="1:9" x14ac:dyDescent="0.3">
      <c r="A1026" s="5">
        <v>9624</v>
      </c>
      <c r="B1026" s="5" t="s">
        <v>1685</v>
      </c>
      <c r="C1026" s="5">
        <v>1</v>
      </c>
      <c r="D1026" s="5" t="s">
        <v>10</v>
      </c>
      <c r="E1026" t="s">
        <v>1686</v>
      </c>
      <c r="F1026" t="s">
        <v>1687</v>
      </c>
      <c r="G1026">
        <v>0</v>
      </c>
      <c r="H1026" t="s">
        <v>217</v>
      </c>
      <c r="I1026" s="2">
        <v>7000</v>
      </c>
    </row>
    <row r="1027" spans="1:9" x14ac:dyDescent="0.3">
      <c r="A1027" s="5">
        <v>9624</v>
      </c>
      <c r="B1027" s="5" t="s">
        <v>1685</v>
      </c>
      <c r="C1027" s="5">
        <v>1</v>
      </c>
      <c r="D1027" s="5" t="s">
        <v>10</v>
      </c>
      <c r="E1027" t="s">
        <v>1686</v>
      </c>
      <c r="F1027" t="s">
        <v>1687</v>
      </c>
      <c r="G1027">
        <v>0</v>
      </c>
      <c r="H1027" t="s">
        <v>217</v>
      </c>
      <c r="I1027" s="2">
        <v>7000</v>
      </c>
    </row>
    <row r="1028" spans="1:9" x14ac:dyDescent="0.3">
      <c r="A1028" s="5">
        <v>9623</v>
      </c>
      <c r="B1028" s="5" t="s">
        <v>1688</v>
      </c>
      <c r="C1028" s="5">
        <v>1</v>
      </c>
      <c r="D1028" s="5" t="s">
        <v>10</v>
      </c>
      <c r="E1028" t="s">
        <v>1689</v>
      </c>
      <c r="F1028" t="s">
        <v>1690</v>
      </c>
      <c r="G1028">
        <v>0</v>
      </c>
      <c r="H1028" t="s">
        <v>1691</v>
      </c>
      <c r="I1028" s="2">
        <v>12000</v>
      </c>
    </row>
    <row r="1029" spans="1:9" x14ac:dyDescent="0.3">
      <c r="A1029" s="5">
        <v>9622</v>
      </c>
      <c r="B1029" s="5" t="s">
        <v>1413</v>
      </c>
      <c r="C1029" s="5">
        <v>1</v>
      </c>
      <c r="D1029" s="5" t="s">
        <v>10</v>
      </c>
      <c r="E1029" t="s">
        <v>1692</v>
      </c>
      <c r="F1029" t="s">
        <v>816</v>
      </c>
      <c r="G1029">
        <v>0</v>
      </c>
      <c r="H1029" t="s">
        <v>149</v>
      </c>
      <c r="I1029" s="2">
        <v>7000</v>
      </c>
    </row>
    <row r="1030" spans="1:9" x14ac:dyDescent="0.3">
      <c r="A1030" s="5">
        <v>9622</v>
      </c>
      <c r="B1030" s="5" t="s">
        <v>1413</v>
      </c>
      <c r="C1030" s="5">
        <v>1</v>
      </c>
      <c r="D1030" s="5" t="s">
        <v>10</v>
      </c>
      <c r="E1030" t="s">
        <v>1692</v>
      </c>
      <c r="F1030" t="s">
        <v>816</v>
      </c>
      <c r="G1030">
        <v>0</v>
      </c>
      <c r="H1030" t="s">
        <v>133</v>
      </c>
      <c r="I1030" s="2">
        <v>7000</v>
      </c>
    </row>
    <row r="1031" spans="1:9" x14ac:dyDescent="0.3">
      <c r="A1031" s="5">
        <v>9622</v>
      </c>
      <c r="B1031" s="5" t="s">
        <v>1413</v>
      </c>
      <c r="C1031" s="5">
        <v>1</v>
      </c>
      <c r="D1031" s="5" t="s">
        <v>10</v>
      </c>
      <c r="E1031" t="s">
        <v>1692</v>
      </c>
      <c r="F1031" t="s">
        <v>816</v>
      </c>
      <c r="G1031">
        <v>0</v>
      </c>
      <c r="H1031" t="s">
        <v>149</v>
      </c>
      <c r="I1031" s="2">
        <v>7000</v>
      </c>
    </row>
    <row r="1032" spans="1:9" x14ac:dyDescent="0.3">
      <c r="A1032" s="5">
        <v>9621</v>
      </c>
      <c r="B1032" s="5" t="s">
        <v>1693</v>
      </c>
      <c r="C1032" s="5">
        <v>1</v>
      </c>
      <c r="D1032" s="5" t="s">
        <v>10</v>
      </c>
      <c r="E1032" t="s">
        <v>1694</v>
      </c>
      <c r="F1032" t="s">
        <v>1695</v>
      </c>
      <c r="G1032">
        <v>0</v>
      </c>
      <c r="H1032" t="s">
        <v>1696</v>
      </c>
      <c r="I1032" s="2">
        <v>6000</v>
      </c>
    </row>
    <row r="1033" spans="1:9" x14ac:dyDescent="0.3">
      <c r="A1033" s="5">
        <v>9621</v>
      </c>
      <c r="B1033" s="5" t="s">
        <v>1693</v>
      </c>
      <c r="C1033" s="5">
        <v>1</v>
      </c>
      <c r="D1033" s="5" t="s">
        <v>10</v>
      </c>
      <c r="E1033" t="s">
        <v>1694</v>
      </c>
      <c r="F1033" t="s">
        <v>1695</v>
      </c>
      <c r="G1033">
        <v>0</v>
      </c>
      <c r="H1033" t="s">
        <v>1697</v>
      </c>
      <c r="I1033" s="2">
        <v>6000</v>
      </c>
    </row>
    <row r="1034" spans="1:9" x14ac:dyDescent="0.3">
      <c r="A1034" s="5">
        <v>9620</v>
      </c>
      <c r="B1034" s="5" t="s">
        <v>169</v>
      </c>
      <c r="C1034" s="5">
        <v>1</v>
      </c>
      <c r="D1034" s="5" t="s">
        <v>10</v>
      </c>
      <c r="E1034" t="s">
        <v>1698</v>
      </c>
      <c r="F1034" t="s">
        <v>1699</v>
      </c>
      <c r="G1034">
        <v>0</v>
      </c>
      <c r="H1034" t="s">
        <v>37</v>
      </c>
      <c r="I1034" s="2">
        <v>7000</v>
      </c>
    </row>
    <row r="1035" spans="1:9" x14ac:dyDescent="0.3">
      <c r="A1035" s="5">
        <v>9620</v>
      </c>
      <c r="B1035" s="5" t="s">
        <v>169</v>
      </c>
      <c r="C1035" s="5">
        <v>1</v>
      </c>
      <c r="D1035" s="5" t="s">
        <v>10</v>
      </c>
      <c r="E1035" t="s">
        <v>1698</v>
      </c>
      <c r="F1035" t="s">
        <v>1699</v>
      </c>
      <c r="G1035">
        <v>0</v>
      </c>
      <c r="H1035" t="s">
        <v>169</v>
      </c>
      <c r="I1035" s="2">
        <v>6000</v>
      </c>
    </row>
    <row r="1036" spans="1:9" x14ac:dyDescent="0.3">
      <c r="A1036" s="5">
        <v>9619</v>
      </c>
      <c r="B1036" s="5" t="s">
        <v>1700</v>
      </c>
      <c r="C1036" s="5">
        <v>3</v>
      </c>
      <c r="D1036" s="5" t="s">
        <v>44</v>
      </c>
      <c r="E1036" t="s">
        <v>1701</v>
      </c>
      <c r="F1036" t="s">
        <v>1702</v>
      </c>
      <c r="G1036">
        <v>0</v>
      </c>
      <c r="H1036" t="s">
        <v>1703</v>
      </c>
      <c r="I1036" s="2">
        <v>20000</v>
      </c>
    </row>
    <row r="1037" spans="1:9" x14ac:dyDescent="0.3">
      <c r="A1037" s="5">
        <v>9619</v>
      </c>
      <c r="B1037" s="5" t="s">
        <v>1700</v>
      </c>
      <c r="C1037" s="5">
        <v>3</v>
      </c>
      <c r="D1037" s="5" t="s">
        <v>44</v>
      </c>
      <c r="E1037" t="s">
        <v>1701</v>
      </c>
      <c r="F1037" t="s">
        <v>1702</v>
      </c>
      <c r="G1037">
        <v>0</v>
      </c>
      <c r="H1037" t="s">
        <v>1704</v>
      </c>
      <c r="I1037" s="2">
        <v>7000</v>
      </c>
    </row>
    <row r="1038" spans="1:9" x14ac:dyDescent="0.3">
      <c r="A1038" s="5">
        <v>9618</v>
      </c>
      <c r="B1038" s="5" t="s">
        <v>1705</v>
      </c>
      <c r="C1038" s="5">
        <v>1</v>
      </c>
      <c r="D1038" s="5" t="s">
        <v>10</v>
      </c>
      <c r="E1038" t="s">
        <v>1706</v>
      </c>
      <c r="F1038" t="s">
        <v>1707</v>
      </c>
      <c r="G1038">
        <v>0</v>
      </c>
      <c r="H1038" t="s">
        <v>1043</v>
      </c>
      <c r="I1038" s="2">
        <v>6500</v>
      </c>
    </row>
    <row r="1039" spans="1:9" x14ac:dyDescent="0.3">
      <c r="A1039" s="5">
        <v>9618</v>
      </c>
      <c r="B1039" s="5" t="s">
        <v>1705</v>
      </c>
      <c r="C1039" s="5">
        <v>1</v>
      </c>
      <c r="D1039" s="5" t="s">
        <v>10</v>
      </c>
      <c r="E1039" t="s">
        <v>1706</v>
      </c>
      <c r="F1039" t="s">
        <v>1707</v>
      </c>
      <c r="G1039">
        <v>0</v>
      </c>
      <c r="H1039" t="s">
        <v>1042</v>
      </c>
      <c r="I1039" s="2">
        <v>6000</v>
      </c>
    </row>
    <row r="1040" spans="1:9" x14ac:dyDescent="0.3">
      <c r="A1040" s="5">
        <v>9617</v>
      </c>
      <c r="B1040" s="5" t="s">
        <v>1708</v>
      </c>
      <c r="C1040" s="5">
        <v>1</v>
      </c>
      <c r="D1040" s="5" t="s">
        <v>10</v>
      </c>
      <c r="E1040" t="s">
        <v>1709</v>
      </c>
      <c r="F1040" t="s">
        <v>1710</v>
      </c>
      <c r="G1040">
        <v>0</v>
      </c>
      <c r="H1040" t="s">
        <v>37</v>
      </c>
      <c r="I1040" s="2">
        <v>6000</v>
      </c>
    </row>
    <row r="1041" spans="1:9" x14ac:dyDescent="0.3">
      <c r="A1041" s="5">
        <v>9617</v>
      </c>
      <c r="B1041" s="5" t="s">
        <v>1708</v>
      </c>
      <c r="C1041" s="5">
        <v>1</v>
      </c>
      <c r="D1041" s="5" t="s">
        <v>10</v>
      </c>
      <c r="E1041" t="s">
        <v>1709</v>
      </c>
      <c r="F1041" t="s">
        <v>1710</v>
      </c>
      <c r="G1041">
        <v>0</v>
      </c>
      <c r="H1041" t="s">
        <v>126</v>
      </c>
      <c r="I1041" s="2">
        <v>6000</v>
      </c>
    </row>
    <row r="1042" spans="1:9" x14ac:dyDescent="0.3">
      <c r="A1042" s="5">
        <v>9617</v>
      </c>
      <c r="B1042" s="5" t="s">
        <v>1708</v>
      </c>
      <c r="C1042" s="5">
        <v>1</v>
      </c>
      <c r="D1042" s="5" t="s">
        <v>10</v>
      </c>
      <c r="E1042" t="s">
        <v>1709</v>
      </c>
      <c r="F1042" t="s">
        <v>1710</v>
      </c>
      <c r="G1042">
        <v>0</v>
      </c>
      <c r="H1042" t="s">
        <v>149</v>
      </c>
      <c r="I1042" s="2">
        <v>6000</v>
      </c>
    </row>
    <row r="1043" spans="1:9" x14ac:dyDescent="0.3">
      <c r="A1043" s="5">
        <v>9617</v>
      </c>
      <c r="B1043" s="5" t="s">
        <v>1708</v>
      </c>
      <c r="C1043" s="5">
        <v>1</v>
      </c>
      <c r="D1043" s="5" t="s">
        <v>10</v>
      </c>
      <c r="E1043" t="s">
        <v>1709</v>
      </c>
      <c r="F1043" t="s">
        <v>1710</v>
      </c>
      <c r="G1043">
        <v>0</v>
      </c>
      <c r="H1043" t="s">
        <v>1359</v>
      </c>
      <c r="I1043" s="2">
        <v>7000</v>
      </c>
    </row>
    <row r="1044" spans="1:9" x14ac:dyDescent="0.3">
      <c r="A1044" s="5">
        <v>9617</v>
      </c>
      <c r="B1044" s="5" t="s">
        <v>1708</v>
      </c>
      <c r="C1044" s="5">
        <v>1</v>
      </c>
      <c r="D1044" s="5" t="s">
        <v>10</v>
      </c>
      <c r="E1044" t="s">
        <v>1709</v>
      </c>
      <c r="F1044" t="s">
        <v>1710</v>
      </c>
      <c r="G1044">
        <v>0</v>
      </c>
      <c r="H1044" t="s">
        <v>1711</v>
      </c>
      <c r="I1044" s="2">
        <v>6000</v>
      </c>
    </row>
    <row r="1045" spans="1:9" x14ac:dyDescent="0.3">
      <c r="A1045" s="5">
        <v>9617</v>
      </c>
      <c r="B1045" s="5" t="s">
        <v>1708</v>
      </c>
      <c r="C1045" s="5">
        <v>1</v>
      </c>
      <c r="D1045" s="5" t="s">
        <v>10</v>
      </c>
      <c r="E1045" t="s">
        <v>1709</v>
      </c>
      <c r="F1045" t="s">
        <v>1710</v>
      </c>
      <c r="G1045">
        <v>0</v>
      </c>
      <c r="H1045" t="s">
        <v>236</v>
      </c>
      <c r="I1045" s="2">
        <v>7000</v>
      </c>
    </row>
    <row r="1046" spans="1:9" x14ac:dyDescent="0.3">
      <c r="A1046" s="5">
        <v>9616</v>
      </c>
      <c r="B1046" s="5" t="s">
        <v>1712</v>
      </c>
      <c r="C1046" s="5">
        <v>3</v>
      </c>
      <c r="D1046" s="5" t="s">
        <v>44</v>
      </c>
      <c r="E1046" t="s">
        <v>1713</v>
      </c>
      <c r="F1046" t="s">
        <v>74</v>
      </c>
      <c r="G1046">
        <v>0</v>
      </c>
      <c r="H1046" t="s">
        <v>1714</v>
      </c>
      <c r="I1046" s="2">
        <v>3800</v>
      </c>
    </row>
    <row r="1047" spans="1:9" x14ac:dyDescent="0.3">
      <c r="A1047" s="5">
        <v>9616</v>
      </c>
      <c r="B1047" s="5" t="s">
        <v>1712</v>
      </c>
      <c r="C1047" s="5">
        <v>3</v>
      </c>
      <c r="D1047" s="5" t="s">
        <v>44</v>
      </c>
      <c r="E1047" t="s">
        <v>1713</v>
      </c>
      <c r="F1047" t="s">
        <v>74</v>
      </c>
      <c r="G1047">
        <v>0</v>
      </c>
      <c r="H1047" t="s">
        <v>1715</v>
      </c>
      <c r="I1047" s="2">
        <v>4000</v>
      </c>
    </row>
    <row r="1048" spans="1:9" x14ac:dyDescent="0.3">
      <c r="A1048" s="5">
        <v>9616</v>
      </c>
      <c r="B1048" s="5" t="s">
        <v>1712</v>
      </c>
      <c r="C1048" s="5">
        <v>3</v>
      </c>
      <c r="D1048" s="5" t="s">
        <v>44</v>
      </c>
      <c r="E1048" t="s">
        <v>1713</v>
      </c>
      <c r="F1048" t="s">
        <v>74</v>
      </c>
      <c r="G1048">
        <v>0</v>
      </c>
      <c r="H1048" t="s">
        <v>1716</v>
      </c>
      <c r="I1048" s="2">
        <v>9000</v>
      </c>
    </row>
    <row r="1049" spans="1:9" x14ac:dyDescent="0.3">
      <c r="A1049" s="5">
        <v>9615</v>
      </c>
      <c r="B1049" s="5" t="s">
        <v>1717</v>
      </c>
      <c r="C1049" s="5">
        <v>5</v>
      </c>
      <c r="D1049" s="5" t="s">
        <v>63</v>
      </c>
      <c r="E1049" t="s">
        <v>1718</v>
      </c>
      <c r="F1049" t="s">
        <v>1719</v>
      </c>
      <c r="G1049">
        <v>0</v>
      </c>
      <c r="H1049" t="s">
        <v>1720</v>
      </c>
      <c r="I1049" s="2">
        <v>10000</v>
      </c>
    </row>
    <row r="1050" spans="1:9" x14ac:dyDescent="0.3">
      <c r="A1050" s="5">
        <v>9615</v>
      </c>
      <c r="B1050" s="5" t="s">
        <v>1717</v>
      </c>
      <c r="C1050" s="5">
        <v>5</v>
      </c>
      <c r="D1050" s="5" t="s">
        <v>63</v>
      </c>
      <c r="E1050" t="s">
        <v>1718</v>
      </c>
      <c r="F1050" t="s">
        <v>1719</v>
      </c>
      <c r="G1050">
        <v>0</v>
      </c>
      <c r="H1050" t="s">
        <v>67</v>
      </c>
      <c r="I1050" s="2">
        <v>12000</v>
      </c>
    </row>
    <row r="1051" spans="1:9" x14ac:dyDescent="0.3">
      <c r="A1051" s="5">
        <v>9615</v>
      </c>
      <c r="B1051" s="5" t="s">
        <v>1717</v>
      </c>
      <c r="C1051" s="5">
        <v>5</v>
      </c>
      <c r="D1051" s="5" t="s">
        <v>63</v>
      </c>
      <c r="E1051" t="s">
        <v>1718</v>
      </c>
      <c r="F1051" t="s">
        <v>1719</v>
      </c>
      <c r="G1051">
        <v>0</v>
      </c>
      <c r="H1051" t="s">
        <v>66</v>
      </c>
      <c r="I1051" s="2">
        <v>20000</v>
      </c>
    </row>
    <row r="1052" spans="1:9" x14ac:dyDescent="0.3">
      <c r="A1052" s="5">
        <v>9614</v>
      </c>
      <c r="B1052" s="5" t="s">
        <v>1721</v>
      </c>
      <c r="C1052" s="5">
        <v>5</v>
      </c>
      <c r="D1052" s="5" t="s">
        <v>63</v>
      </c>
      <c r="E1052" t="s">
        <v>1722</v>
      </c>
      <c r="F1052" t="s">
        <v>1723</v>
      </c>
      <c r="G1052">
        <v>0</v>
      </c>
      <c r="H1052" t="s">
        <v>88</v>
      </c>
      <c r="I1052" s="2">
        <v>20000</v>
      </c>
    </row>
    <row r="1053" spans="1:9" x14ac:dyDescent="0.3">
      <c r="A1053" s="5">
        <v>9614</v>
      </c>
      <c r="B1053" s="5" t="s">
        <v>1721</v>
      </c>
      <c r="C1053" s="5">
        <v>5</v>
      </c>
      <c r="D1053" s="5" t="s">
        <v>63</v>
      </c>
      <c r="E1053" t="s">
        <v>1722</v>
      </c>
      <c r="F1053" t="s">
        <v>1723</v>
      </c>
      <c r="G1053">
        <v>0</v>
      </c>
      <c r="H1053" t="s">
        <v>67</v>
      </c>
      <c r="I1053" s="2">
        <v>10000</v>
      </c>
    </row>
    <row r="1054" spans="1:9" x14ac:dyDescent="0.3">
      <c r="A1054" s="5">
        <v>9613</v>
      </c>
      <c r="B1054" s="5" t="s">
        <v>1724</v>
      </c>
      <c r="C1054" s="5">
        <v>5</v>
      </c>
      <c r="D1054" s="5" t="s">
        <v>63</v>
      </c>
      <c r="E1054" t="s">
        <v>1725</v>
      </c>
      <c r="F1054" t="s">
        <v>1726</v>
      </c>
      <c r="G1054">
        <v>0</v>
      </c>
      <c r="H1054" t="s">
        <v>67</v>
      </c>
      <c r="I1054" s="2">
        <v>10000</v>
      </c>
    </row>
    <row r="1055" spans="1:9" x14ac:dyDescent="0.3">
      <c r="A1055" s="5">
        <v>9613</v>
      </c>
      <c r="B1055" s="5" t="s">
        <v>1724</v>
      </c>
      <c r="C1055" s="5">
        <v>5</v>
      </c>
      <c r="D1055" s="5" t="s">
        <v>63</v>
      </c>
      <c r="E1055" t="s">
        <v>1725</v>
      </c>
      <c r="F1055" t="s">
        <v>1726</v>
      </c>
      <c r="G1055">
        <v>0</v>
      </c>
      <c r="H1055" t="s">
        <v>88</v>
      </c>
      <c r="I1055" s="2">
        <v>30000</v>
      </c>
    </row>
    <row r="1056" spans="1:9" x14ac:dyDescent="0.3">
      <c r="A1056" s="5">
        <v>9612</v>
      </c>
      <c r="B1056" s="5" t="s">
        <v>1727</v>
      </c>
      <c r="C1056" s="5">
        <v>5</v>
      </c>
      <c r="D1056" s="5" t="s">
        <v>63</v>
      </c>
      <c r="E1056" t="s">
        <v>1728</v>
      </c>
      <c r="G1056">
        <v>0</v>
      </c>
      <c r="H1056" t="s">
        <v>67</v>
      </c>
      <c r="I1056" s="2">
        <v>13000</v>
      </c>
    </row>
    <row r="1057" spans="1:9" x14ac:dyDescent="0.3">
      <c r="A1057" s="5">
        <v>9612</v>
      </c>
      <c r="B1057" s="5" t="s">
        <v>1727</v>
      </c>
      <c r="C1057" s="5">
        <v>5</v>
      </c>
      <c r="D1057" s="5" t="s">
        <v>63</v>
      </c>
      <c r="E1057" t="s">
        <v>1728</v>
      </c>
      <c r="G1057">
        <v>0</v>
      </c>
      <c r="H1057" t="s">
        <v>88</v>
      </c>
      <c r="I1057" s="2">
        <v>35000</v>
      </c>
    </row>
    <row r="1058" spans="1:9" x14ac:dyDescent="0.3">
      <c r="A1058" s="5">
        <v>9611</v>
      </c>
      <c r="B1058" s="5" t="s">
        <v>1729</v>
      </c>
      <c r="C1058" s="5">
        <v>13</v>
      </c>
      <c r="D1058" s="5" t="s">
        <v>27</v>
      </c>
      <c r="E1058" t="s">
        <v>1730</v>
      </c>
      <c r="F1058" t="s">
        <v>1731</v>
      </c>
      <c r="G1058">
        <v>0</v>
      </c>
      <c r="H1058" t="s">
        <v>1732</v>
      </c>
      <c r="I1058" s="2">
        <v>15000</v>
      </c>
    </row>
    <row r="1059" spans="1:9" x14ac:dyDescent="0.3">
      <c r="A1059" s="5">
        <v>9611</v>
      </c>
      <c r="B1059" s="5" t="s">
        <v>1729</v>
      </c>
      <c r="C1059" s="5">
        <v>13</v>
      </c>
      <c r="D1059" s="5" t="s">
        <v>27</v>
      </c>
      <c r="E1059" t="s">
        <v>1730</v>
      </c>
      <c r="F1059" t="s">
        <v>1731</v>
      </c>
      <c r="G1059">
        <v>0</v>
      </c>
      <c r="H1059" t="s">
        <v>1733</v>
      </c>
      <c r="I1059" s="2">
        <v>400</v>
      </c>
    </row>
    <row r="1060" spans="1:9" x14ac:dyDescent="0.3">
      <c r="A1060" s="5">
        <v>9610</v>
      </c>
      <c r="B1060" s="5" t="s">
        <v>1734</v>
      </c>
      <c r="C1060" s="5">
        <v>4</v>
      </c>
      <c r="D1060" s="5" t="s">
        <v>39</v>
      </c>
      <c r="E1060" t="s">
        <v>1735</v>
      </c>
      <c r="G1060">
        <v>0</v>
      </c>
      <c r="H1060" t="s">
        <v>1011</v>
      </c>
      <c r="I1060" s="2">
        <v>1500</v>
      </c>
    </row>
    <row r="1061" spans="1:9" x14ac:dyDescent="0.3">
      <c r="A1061" s="5">
        <v>9610</v>
      </c>
      <c r="B1061" s="5" t="s">
        <v>1734</v>
      </c>
      <c r="C1061" s="5">
        <v>4</v>
      </c>
      <c r="D1061" s="5" t="s">
        <v>39</v>
      </c>
      <c r="E1061" t="s">
        <v>1735</v>
      </c>
      <c r="G1061">
        <v>0</v>
      </c>
      <c r="H1061" t="s">
        <v>80</v>
      </c>
      <c r="I1061" s="2">
        <v>1500</v>
      </c>
    </row>
    <row r="1062" spans="1:9" x14ac:dyDescent="0.3">
      <c r="A1062" s="5">
        <v>9609</v>
      </c>
      <c r="B1062" s="5" t="s">
        <v>1736</v>
      </c>
      <c r="C1062" s="5">
        <v>1</v>
      </c>
      <c r="D1062" s="5" t="s">
        <v>10</v>
      </c>
      <c r="E1062" t="s">
        <v>1737</v>
      </c>
      <c r="F1062" t="s">
        <v>1738</v>
      </c>
      <c r="G1062">
        <v>0</v>
      </c>
      <c r="H1062" t="s">
        <v>100</v>
      </c>
      <c r="I1062" s="2">
        <v>6500</v>
      </c>
    </row>
    <row r="1063" spans="1:9" x14ac:dyDescent="0.3">
      <c r="A1063" s="5">
        <v>9609</v>
      </c>
      <c r="B1063" s="5" t="s">
        <v>1736</v>
      </c>
      <c r="C1063" s="5">
        <v>1</v>
      </c>
      <c r="D1063" s="5" t="s">
        <v>10</v>
      </c>
      <c r="E1063" t="s">
        <v>1737</v>
      </c>
      <c r="F1063" t="s">
        <v>1738</v>
      </c>
      <c r="G1063">
        <v>0</v>
      </c>
      <c r="H1063" t="s">
        <v>374</v>
      </c>
      <c r="I1063" s="2">
        <v>2500</v>
      </c>
    </row>
    <row r="1064" spans="1:9" x14ac:dyDescent="0.3">
      <c r="A1064" s="5">
        <v>9609</v>
      </c>
      <c r="B1064" s="5" t="s">
        <v>1736</v>
      </c>
      <c r="C1064" s="5">
        <v>1</v>
      </c>
      <c r="D1064" s="5" t="s">
        <v>10</v>
      </c>
      <c r="E1064" t="s">
        <v>1737</v>
      </c>
      <c r="F1064" t="s">
        <v>1738</v>
      </c>
      <c r="G1064">
        <v>0</v>
      </c>
      <c r="H1064" t="s">
        <v>665</v>
      </c>
      <c r="I1064" s="2">
        <v>5500</v>
      </c>
    </row>
    <row r="1065" spans="1:9" x14ac:dyDescent="0.3">
      <c r="A1065" s="5">
        <v>9608</v>
      </c>
      <c r="B1065" s="5" t="s">
        <v>1739</v>
      </c>
      <c r="C1065" s="5">
        <v>4</v>
      </c>
      <c r="D1065" s="5" t="s">
        <v>39</v>
      </c>
      <c r="E1065" t="s">
        <v>1740</v>
      </c>
      <c r="F1065" t="s">
        <v>1741</v>
      </c>
      <c r="G1065">
        <v>0</v>
      </c>
      <c r="H1065" t="s">
        <v>1742</v>
      </c>
      <c r="I1065" s="2">
        <v>1300</v>
      </c>
    </row>
    <row r="1066" spans="1:9" x14ac:dyDescent="0.3">
      <c r="A1066" s="5">
        <v>9608</v>
      </c>
      <c r="B1066" s="5" t="s">
        <v>1739</v>
      </c>
      <c r="C1066" s="5">
        <v>4</v>
      </c>
      <c r="D1066" s="5" t="s">
        <v>39</v>
      </c>
      <c r="E1066" t="s">
        <v>1740</v>
      </c>
      <c r="F1066" t="s">
        <v>1741</v>
      </c>
      <c r="G1066">
        <v>0</v>
      </c>
      <c r="H1066" t="s">
        <v>1743</v>
      </c>
      <c r="I1066" s="2">
        <v>2500</v>
      </c>
    </row>
    <row r="1067" spans="1:9" x14ac:dyDescent="0.3">
      <c r="A1067" s="5">
        <v>9607</v>
      </c>
      <c r="B1067" s="5" t="s">
        <v>1744</v>
      </c>
      <c r="C1067" s="5">
        <v>1</v>
      </c>
      <c r="D1067" s="5" t="s">
        <v>10</v>
      </c>
      <c r="E1067" t="s">
        <v>1745</v>
      </c>
      <c r="F1067" t="s">
        <v>1746</v>
      </c>
      <c r="G1067">
        <v>0</v>
      </c>
      <c r="H1067" t="s">
        <v>1747</v>
      </c>
      <c r="I1067" s="2">
        <v>11000</v>
      </c>
    </row>
    <row r="1068" spans="1:9" x14ac:dyDescent="0.3">
      <c r="A1068" s="5">
        <v>9607</v>
      </c>
      <c r="B1068" s="5" t="s">
        <v>1744</v>
      </c>
      <c r="C1068" s="5">
        <v>1</v>
      </c>
      <c r="D1068" s="5" t="s">
        <v>10</v>
      </c>
      <c r="E1068" t="s">
        <v>1745</v>
      </c>
      <c r="F1068" t="s">
        <v>1746</v>
      </c>
      <c r="G1068">
        <v>0</v>
      </c>
      <c r="H1068" t="s">
        <v>126</v>
      </c>
      <c r="I1068" s="2">
        <v>7500</v>
      </c>
    </row>
    <row r="1069" spans="1:9" x14ac:dyDescent="0.3">
      <c r="A1069" s="5">
        <v>9607</v>
      </c>
      <c r="B1069" s="5" t="s">
        <v>1744</v>
      </c>
      <c r="C1069" s="5">
        <v>1</v>
      </c>
      <c r="D1069" s="5" t="s">
        <v>10</v>
      </c>
      <c r="E1069" t="s">
        <v>1745</v>
      </c>
      <c r="F1069" t="s">
        <v>1746</v>
      </c>
      <c r="G1069">
        <v>0</v>
      </c>
      <c r="H1069" t="s">
        <v>139</v>
      </c>
      <c r="I1069" s="2">
        <v>7000</v>
      </c>
    </row>
    <row r="1070" spans="1:9" x14ac:dyDescent="0.3">
      <c r="A1070" s="5">
        <v>9606</v>
      </c>
      <c r="B1070" s="5" t="s">
        <v>1748</v>
      </c>
      <c r="C1070" s="5">
        <v>1</v>
      </c>
      <c r="D1070" s="5" t="s">
        <v>10</v>
      </c>
      <c r="E1070" t="s">
        <v>1749</v>
      </c>
      <c r="F1070" t="s">
        <v>1750</v>
      </c>
      <c r="G1070">
        <v>0</v>
      </c>
    </row>
    <row r="1071" spans="1:9" x14ac:dyDescent="0.3">
      <c r="A1071" s="5">
        <v>9605</v>
      </c>
      <c r="B1071" s="5" t="s">
        <v>1751</v>
      </c>
      <c r="C1071" s="5">
        <v>1</v>
      </c>
      <c r="D1071" s="5" t="s">
        <v>10</v>
      </c>
      <c r="E1071" t="s">
        <v>1752</v>
      </c>
      <c r="F1071" t="s">
        <v>1753</v>
      </c>
      <c r="G1071">
        <v>0</v>
      </c>
      <c r="H1071" t="s">
        <v>1754</v>
      </c>
      <c r="I1071" s="2">
        <v>6000</v>
      </c>
    </row>
    <row r="1072" spans="1:9" x14ac:dyDescent="0.3">
      <c r="A1072" s="5">
        <v>9605</v>
      </c>
      <c r="B1072" s="5" t="s">
        <v>1751</v>
      </c>
      <c r="C1072" s="5">
        <v>1</v>
      </c>
      <c r="D1072" s="5" t="s">
        <v>10</v>
      </c>
      <c r="E1072" t="s">
        <v>1752</v>
      </c>
      <c r="F1072" t="s">
        <v>1753</v>
      </c>
      <c r="G1072">
        <v>0</v>
      </c>
      <c r="H1072" t="s">
        <v>278</v>
      </c>
      <c r="I1072" s="2">
        <v>7000</v>
      </c>
    </row>
    <row r="1073" spans="1:9" x14ac:dyDescent="0.3">
      <c r="A1073" s="5">
        <v>9605</v>
      </c>
      <c r="B1073" s="5" t="s">
        <v>1751</v>
      </c>
      <c r="C1073" s="5">
        <v>1</v>
      </c>
      <c r="D1073" s="5" t="s">
        <v>10</v>
      </c>
      <c r="E1073" t="s">
        <v>1752</v>
      </c>
      <c r="F1073" t="s">
        <v>1753</v>
      </c>
      <c r="G1073">
        <v>0</v>
      </c>
      <c r="H1073" t="s">
        <v>126</v>
      </c>
      <c r="I1073" s="2">
        <v>7000</v>
      </c>
    </row>
    <row r="1074" spans="1:9" x14ac:dyDescent="0.3">
      <c r="A1074" s="5">
        <v>9605</v>
      </c>
      <c r="B1074" s="5" t="s">
        <v>1751</v>
      </c>
      <c r="C1074" s="5">
        <v>1</v>
      </c>
      <c r="D1074" s="5" t="s">
        <v>10</v>
      </c>
      <c r="E1074" t="s">
        <v>1752</v>
      </c>
      <c r="F1074" t="s">
        <v>1753</v>
      </c>
      <c r="G1074">
        <v>0</v>
      </c>
      <c r="H1074" t="s">
        <v>217</v>
      </c>
      <c r="I1074" s="2">
        <v>14000</v>
      </c>
    </row>
    <row r="1075" spans="1:9" x14ac:dyDescent="0.3">
      <c r="A1075" s="5">
        <v>9604</v>
      </c>
      <c r="B1075" s="5" t="s">
        <v>1755</v>
      </c>
      <c r="C1075" s="5">
        <v>1</v>
      </c>
      <c r="D1075" s="5" t="s">
        <v>10</v>
      </c>
      <c r="E1075" t="s">
        <v>1756</v>
      </c>
      <c r="F1075" t="s">
        <v>1757</v>
      </c>
      <c r="G1075">
        <v>0</v>
      </c>
      <c r="H1075" t="s">
        <v>229</v>
      </c>
      <c r="I1075" s="2">
        <v>6000</v>
      </c>
    </row>
    <row r="1076" spans="1:9" x14ac:dyDescent="0.3">
      <c r="A1076" s="5">
        <v>9604</v>
      </c>
      <c r="B1076" s="5" t="s">
        <v>1755</v>
      </c>
      <c r="C1076" s="5">
        <v>1</v>
      </c>
      <c r="D1076" s="5" t="s">
        <v>10</v>
      </c>
      <c r="E1076" t="s">
        <v>1756</v>
      </c>
      <c r="F1076" t="s">
        <v>1757</v>
      </c>
      <c r="G1076">
        <v>0</v>
      </c>
      <c r="H1076" t="s">
        <v>304</v>
      </c>
      <c r="I1076" s="2">
        <v>8000</v>
      </c>
    </row>
    <row r="1077" spans="1:9" x14ac:dyDescent="0.3">
      <c r="A1077" s="5">
        <v>9604</v>
      </c>
      <c r="B1077" s="5" t="s">
        <v>1755</v>
      </c>
      <c r="C1077" s="5">
        <v>1</v>
      </c>
      <c r="D1077" s="5" t="s">
        <v>10</v>
      </c>
      <c r="E1077" t="s">
        <v>1756</v>
      </c>
      <c r="F1077" t="s">
        <v>1757</v>
      </c>
      <c r="G1077">
        <v>0</v>
      </c>
      <c r="H1077" t="s">
        <v>592</v>
      </c>
      <c r="I1077" s="2">
        <v>3000</v>
      </c>
    </row>
    <row r="1078" spans="1:9" x14ac:dyDescent="0.3">
      <c r="A1078" s="5">
        <v>9604</v>
      </c>
      <c r="B1078" s="5" t="s">
        <v>1755</v>
      </c>
      <c r="C1078" s="5">
        <v>1</v>
      </c>
      <c r="D1078" s="5" t="s">
        <v>10</v>
      </c>
      <c r="E1078" t="s">
        <v>1756</v>
      </c>
      <c r="F1078" t="s">
        <v>1757</v>
      </c>
      <c r="G1078">
        <v>0</v>
      </c>
      <c r="H1078" t="s">
        <v>581</v>
      </c>
      <c r="I1078" s="2">
        <v>3500</v>
      </c>
    </row>
    <row r="1079" spans="1:9" x14ac:dyDescent="0.3">
      <c r="A1079" s="5">
        <v>9603</v>
      </c>
      <c r="B1079" s="5" t="s">
        <v>1758</v>
      </c>
      <c r="C1079" s="5">
        <v>1</v>
      </c>
      <c r="D1079" s="5" t="s">
        <v>10</v>
      </c>
      <c r="E1079" t="s">
        <v>1759</v>
      </c>
      <c r="F1079" t="s">
        <v>1760</v>
      </c>
      <c r="G1079">
        <v>0</v>
      </c>
      <c r="H1079" t="s">
        <v>1761</v>
      </c>
      <c r="I1079" s="2">
        <v>14000</v>
      </c>
    </row>
    <row r="1080" spans="1:9" x14ac:dyDescent="0.3">
      <c r="A1080" s="5">
        <v>9603</v>
      </c>
      <c r="B1080" s="5" t="s">
        <v>1758</v>
      </c>
      <c r="C1080" s="5">
        <v>1</v>
      </c>
      <c r="D1080" s="5" t="s">
        <v>10</v>
      </c>
      <c r="E1080" t="s">
        <v>1759</v>
      </c>
      <c r="F1080" t="s">
        <v>1760</v>
      </c>
      <c r="G1080">
        <v>0</v>
      </c>
      <c r="H1080" t="s">
        <v>189</v>
      </c>
      <c r="I1080" s="2">
        <v>8000</v>
      </c>
    </row>
    <row r="1081" spans="1:9" x14ac:dyDescent="0.3">
      <c r="A1081" s="5">
        <v>9603</v>
      </c>
      <c r="B1081" s="5" t="s">
        <v>1758</v>
      </c>
      <c r="C1081" s="5">
        <v>1</v>
      </c>
      <c r="D1081" s="5" t="s">
        <v>10</v>
      </c>
      <c r="E1081" t="s">
        <v>1759</v>
      </c>
      <c r="F1081" t="s">
        <v>1760</v>
      </c>
      <c r="G1081">
        <v>0</v>
      </c>
      <c r="H1081" t="s">
        <v>37</v>
      </c>
      <c r="I1081" s="2">
        <v>7000</v>
      </c>
    </row>
    <row r="1082" spans="1:9" x14ac:dyDescent="0.3">
      <c r="A1082" s="5">
        <v>9603</v>
      </c>
      <c r="B1082" s="5" t="s">
        <v>1758</v>
      </c>
      <c r="C1082" s="5">
        <v>1</v>
      </c>
      <c r="D1082" s="5" t="s">
        <v>10</v>
      </c>
      <c r="E1082" t="s">
        <v>1759</v>
      </c>
      <c r="F1082" t="s">
        <v>1760</v>
      </c>
      <c r="G1082">
        <v>0</v>
      </c>
      <c r="H1082" t="s">
        <v>1762</v>
      </c>
      <c r="I1082" s="2">
        <v>14000</v>
      </c>
    </row>
    <row r="1083" spans="1:9" x14ac:dyDescent="0.3">
      <c r="A1083" s="5">
        <v>9601</v>
      </c>
      <c r="B1083" s="5" t="s">
        <v>1763</v>
      </c>
      <c r="C1083" s="5">
        <v>7</v>
      </c>
      <c r="D1083" s="5" t="s">
        <v>360</v>
      </c>
      <c r="E1083" t="s">
        <v>1764</v>
      </c>
      <c r="F1083" t="s">
        <v>1765</v>
      </c>
      <c r="G1083">
        <v>0</v>
      </c>
      <c r="H1083" t="s">
        <v>1766</v>
      </c>
      <c r="I1083" s="2">
        <v>4000</v>
      </c>
    </row>
    <row r="1084" spans="1:9" x14ac:dyDescent="0.3">
      <c r="A1084" s="5">
        <v>9601</v>
      </c>
      <c r="B1084" s="5" t="s">
        <v>1763</v>
      </c>
      <c r="C1084" s="5">
        <v>7</v>
      </c>
      <c r="D1084" s="5" t="s">
        <v>360</v>
      </c>
      <c r="E1084" t="s">
        <v>1764</v>
      </c>
      <c r="F1084" t="s">
        <v>1765</v>
      </c>
      <c r="G1084">
        <v>0</v>
      </c>
      <c r="H1084" t="s">
        <v>1767</v>
      </c>
      <c r="I1084" s="2">
        <v>3000</v>
      </c>
    </row>
    <row r="1085" spans="1:9" x14ac:dyDescent="0.3">
      <c r="A1085" s="5">
        <v>9601</v>
      </c>
      <c r="B1085" s="5" t="s">
        <v>1763</v>
      </c>
      <c r="C1085" s="5">
        <v>7</v>
      </c>
      <c r="D1085" s="5" t="s">
        <v>360</v>
      </c>
      <c r="E1085" t="s">
        <v>1764</v>
      </c>
      <c r="F1085" t="s">
        <v>1765</v>
      </c>
      <c r="G1085">
        <v>0</v>
      </c>
      <c r="H1085" t="s">
        <v>1768</v>
      </c>
      <c r="I1085" s="2">
        <v>8000</v>
      </c>
    </row>
    <row r="1086" spans="1:9" x14ac:dyDescent="0.3">
      <c r="A1086" s="5">
        <v>9600</v>
      </c>
      <c r="B1086" s="5" t="s">
        <v>1769</v>
      </c>
      <c r="C1086" s="5">
        <v>1</v>
      </c>
      <c r="D1086" s="5" t="s">
        <v>10</v>
      </c>
      <c r="E1086" t="s">
        <v>1770</v>
      </c>
      <c r="F1086" t="s">
        <v>1771</v>
      </c>
      <c r="G1086">
        <v>0</v>
      </c>
      <c r="H1086" t="s">
        <v>133</v>
      </c>
      <c r="I1086" s="2">
        <v>7000</v>
      </c>
    </row>
    <row r="1087" spans="1:9" x14ac:dyDescent="0.3">
      <c r="A1087" s="5">
        <v>9600</v>
      </c>
      <c r="B1087" s="5" t="s">
        <v>1769</v>
      </c>
      <c r="C1087" s="5">
        <v>1</v>
      </c>
      <c r="D1087" s="5" t="s">
        <v>10</v>
      </c>
      <c r="E1087" t="s">
        <v>1770</v>
      </c>
      <c r="F1087" t="s">
        <v>1771</v>
      </c>
      <c r="G1087">
        <v>0</v>
      </c>
      <c r="H1087" t="s">
        <v>149</v>
      </c>
      <c r="I1087" s="2">
        <v>8000</v>
      </c>
    </row>
    <row r="1088" spans="1:9" x14ac:dyDescent="0.3">
      <c r="A1088" s="5">
        <v>9599</v>
      </c>
      <c r="B1088" s="5" t="s">
        <v>1772</v>
      </c>
      <c r="C1088" s="5">
        <v>5</v>
      </c>
      <c r="D1088" s="5" t="s">
        <v>63</v>
      </c>
      <c r="E1088" t="s">
        <v>1773</v>
      </c>
      <c r="G1088">
        <v>0</v>
      </c>
      <c r="H1088" t="s">
        <v>586</v>
      </c>
      <c r="I1088" s="2">
        <v>7000</v>
      </c>
    </row>
    <row r="1089" spans="1:9" x14ac:dyDescent="0.3">
      <c r="A1089" s="5">
        <v>9598</v>
      </c>
      <c r="B1089" s="5" t="s">
        <v>1774</v>
      </c>
      <c r="C1089" s="5">
        <v>5</v>
      </c>
      <c r="D1089" s="5" t="s">
        <v>63</v>
      </c>
      <c r="E1089" t="s">
        <v>1775</v>
      </c>
      <c r="F1089" t="s">
        <v>1776</v>
      </c>
      <c r="G1089">
        <v>0</v>
      </c>
      <c r="H1089" t="s">
        <v>586</v>
      </c>
      <c r="I1089" s="2">
        <v>7000</v>
      </c>
    </row>
    <row r="1090" spans="1:9" x14ac:dyDescent="0.3">
      <c r="A1090" s="5">
        <v>9597</v>
      </c>
      <c r="B1090" s="5" t="s">
        <v>1777</v>
      </c>
      <c r="C1090" s="5">
        <v>5</v>
      </c>
      <c r="D1090" s="5" t="s">
        <v>63</v>
      </c>
      <c r="E1090" t="s">
        <v>1778</v>
      </c>
      <c r="G1090">
        <v>0</v>
      </c>
      <c r="H1090" t="s">
        <v>67</v>
      </c>
      <c r="I1090" s="2">
        <v>8000</v>
      </c>
    </row>
    <row r="1091" spans="1:9" x14ac:dyDescent="0.3">
      <c r="A1091" s="5">
        <v>9597</v>
      </c>
      <c r="B1091" s="5" t="s">
        <v>1777</v>
      </c>
      <c r="C1091" s="5">
        <v>5</v>
      </c>
      <c r="D1091" s="5" t="s">
        <v>63</v>
      </c>
      <c r="E1091" t="s">
        <v>1778</v>
      </c>
      <c r="G1091">
        <v>0</v>
      </c>
      <c r="H1091" t="s">
        <v>88</v>
      </c>
      <c r="I1091" s="2">
        <v>30000</v>
      </c>
    </row>
    <row r="1092" spans="1:9" x14ac:dyDescent="0.3">
      <c r="A1092" s="5">
        <v>9597</v>
      </c>
      <c r="B1092" s="5" t="s">
        <v>1777</v>
      </c>
      <c r="C1092" s="5">
        <v>5</v>
      </c>
      <c r="D1092" s="5" t="s">
        <v>63</v>
      </c>
      <c r="E1092" t="s">
        <v>1778</v>
      </c>
      <c r="G1092">
        <v>0</v>
      </c>
      <c r="H1092" t="s">
        <v>1779</v>
      </c>
      <c r="I1092" s="2">
        <v>25000</v>
      </c>
    </row>
    <row r="1093" spans="1:9" x14ac:dyDescent="0.3">
      <c r="A1093" s="5">
        <v>9596</v>
      </c>
      <c r="B1093" s="5" t="s">
        <v>1780</v>
      </c>
      <c r="C1093" s="5">
        <v>5</v>
      </c>
      <c r="D1093" s="5" t="s">
        <v>63</v>
      </c>
      <c r="E1093" t="s">
        <v>1781</v>
      </c>
      <c r="F1093" t="s">
        <v>1782</v>
      </c>
      <c r="G1093">
        <v>0</v>
      </c>
      <c r="H1093" t="s">
        <v>67</v>
      </c>
      <c r="I1093" s="2">
        <v>12000</v>
      </c>
    </row>
    <row r="1094" spans="1:9" x14ac:dyDescent="0.3">
      <c r="A1094" s="5">
        <v>9596</v>
      </c>
      <c r="B1094" s="5" t="s">
        <v>1780</v>
      </c>
      <c r="C1094" s="5">
        <v>5</v>
      </c>
      <c r="D1094" s="5" t="s">
        <v>63</v>
      </c>
      <c r="E1094" t="s">
        <v>1781</v>
      </c>
      <c r="F1094" t="s">
        <v>1782</v>
      </c>
      <c r="G1094">
        <v>0</v>
      </c>
      <c r="H1094" t="s">
        <v>88</v>
      </c>
      <c r="I1094" s="2">
        <v>30000</v>
      </c>
    </row>
    <row r="1095" spans="1:9" x14ac:dyDescent="0.3">
      <c r="A1095" s="5">
        <v>9595</v>
      </c>
      <c r="B1095" s="5" t="s">
        <v>1783</v>
      </c>
      <c r="C1095" s="5">
        <v>5</v>
      </c>
      <c r="D1095" s="5" t="s">
        <v>63</v>
      </c>
      <c r="E1095" t="s">
        <v>1784</v>
      </c>
      <c r="F1095" t="s">
        <v>1785</v>
      </c>
      <c r="G1095">
        <v>0</v>
      </c>
      <c r="H1095" t="s">
        <v>1786</v>
      </c>
      <c r="I1095" s="2">
        <v>7000</v>
      </c>
    </row>
    <row r="1096" spans="1:9" x14ac:dyDescent="0.3">
      <c r="A1096" s="5">
        <v>9595</v>
      </c>
      <c r="B1096" s="5" t="s">
        <v>1783</v>
      </c>
      <c r="C1096" s="5">
        <v>5</v>
      </c>
      <c r="D1096" s="5" t="s">
        <v>63</v>
      </c>
      <c r="E1096" t="s">
        <v>1784</v>
      </c>
      <c r="F1096" t="s">
        <v>1785</v>
      </c>
      <c r="G1096">
        <v>0</v>
      </c>
      <c r="H1096" t="s">
        <v>88</v>
      </c>
      <c r="I1096" s="2">
        <v>20000</v>
      </c>
    </row>
    <row r="1097" spans="1:9" x14ac:dyDescent="0.3">
      <c r="A1097" s="5">
        <v>9595</v>
      </c>
      <c r="B1097" s="5" t="s">
        <v>1783</v>
      </c>
      <c r="C1097" s="5">
        <v>5</v>
      </c>
      <c r="D1097" s="5" t="s">
        <v>63</v>
      </c>
      <c r="E1097" t="s">
        <v>1784</v>
      </c>
      <c r="F1097" t="s">
        <v>1785</v>
      </c>
      <c r="G1097">
        <v>0</v>
      </c>
      <c r="H1097" t="s">
        <v>1787</v>
      </c>
      <c r="I1097" s="2">
        <v>5000</v>
      </c>
    </row>
    <row r="1098" spans="1:9" x14ac:dyDescent="0.3">
      <c r="A1098" s="5">
        <v>9594</v>
      </c>
      <c r="B1098" s="5" t="s">
        <v>1788</v>
      </c>
      <c r="C1098" s="5">
        <v>1</v>
      </c>
      <c r="D1098" s="5" t="s">
        <v>10</v>
      </c>
      <c r="E1098" t="s">
        <v>1789</v>
      </c>
      <c r="F1098" t="s">
        <v>1790</v>
      </c>
      <c r="G1098">
        <v>0</v>
      </c>
      <c r="H1098" t="s">
        <v>121</v>
      </c>
      <c r="I1098" s="2">
        <v>6900</v>
      </c>
    </row>
    <row r="1099" spans="1:9" x14ac:dyDescent="0.3">
      <c r="A1099" s="5">
        <v>9594</v>
      </c>
      <c r="B1099" s="5" t="s">
        <v>1788</v>
      </c>
      <c r="C1099" s="5">
        <v>1</v>
      </c>
      <c r="D1099" s="5" t="s">
        <v>10</v>
      </c>
      <c r="E1099" t="s">
        <v>1789</v>
      </c>
      <c r="F1099" t="s">
        <v>1790</v>
      </c>
      <c r="G1099">
        <v>0</v>
      </c>
      <c r="H1099" t="s">
        <v>1791</v>
      </c>
      <c r="I1099" s="2">
        <v>5900</v>
      </c>
    </row>
    <row r="1100" spans="1:9" x14ac:dyDescent="0.3">
      <c r="A1100" s="5">
        <v>9593</v>
      </c>
      <c r="B1100" s="5" t="s">
        <v>1792</v>
      </c>
      <c r="C1100" s="5">
        <v>1</v>
      </c>
      <c r="D1100" s="5" t="s">
        <v>10</v>
      </c>
      <c r="E1100" t="s">
        <v>1793</v>
      </c>
      <c r="F1100" t="s">
        <v>1794</v>
      </c>
      <c r="G1100">
        <v>0</v>
      </c>
      <c r="H1100" t="s">
        <v>1795</v>
      </c>
      <c r="I1100" s="2">
        <v>3000</v>
      </c>
    </row>
    <row r="1101" spans="1:9" x14ac:dyDescent="0.3">
      <c r="A1101" s="5">
        <v>9593</v>
      </c>
      <c r="B1101" s="5" t="s">
        <v>1792</v>
      </c>
      <c r="C1101" s="5">
        <v>1</v>
      </c>
      <c r="D1101" s="5" t="s">
        <v>10</v>
      </c>
      <c r="E1101" t="s">
        <v>1793</v>
      </c>
      <c r="F1101" t="s">
        <v>1794</v>
      </c>
      <c r="G1101">
        <v>0</v>
      </c>
      <c r="H1101" t="s">
        <v>149</v>
      </c>
      <c r="I1101" s="2">
        <v>7000</v>
      </c>
    </row>
    <row r="1102" spans="1:9" x14ac:dyDescent="0.3">
      <c r="A1102" s="5">
        <v>9592</v>
      </c>
      <c r="B1102" s="5" t="s">
        <v>1796</v>
      </c>
      <c r="C1102" s="5">
        <v>5</v>
      </c>
      <c r="D1102" s="5" t="s">
        <v>63</v>
      </c>
      <c r="E1102" t="s">
        <v>1797</v>
      </c>
      <c r="F1102" t="s">
        <v>1798</v>
      </c>
      <c r="G1102">
        <v>0</v>
      </c>
      <c r="H1102" t="s">
        <v>66</v>
      </c>
      <c r="I1102" s="2">
        <v>8000</v>
      </c>
    </row>
    <row r="1103" spans="1:9" x14ac:dyDescent="0.3">
      <c r="A1103" s="5">
        <v>9592</v>
      </c>
      <c r="B1103" s="5" t="s">
        <v>1796</v>
      </c>
      <c r="C1103" s="5">
        <v>5</v>
      </c>
      <c r="D1103" s="5" t="s">
        <v>63</v>
      </c>
      <c r="E1103" t="s">
        <v>1797</v>
      </c>
      <c r="F1103" t="s">
        <v>1798</v>
      </c>
      <c r="G1103">
        <v>0</v>
      </c>
      <c r="H1103" t="s">
        <v>563</v>
      </c>
      <c r="I1103" s="2">
        <v>8000</v>
      </c>
    </row>
    <row r="1104" spans="1:9" x14ac:dyDescent="0.3">
      <c r="A1104" s="5">
        <v>9591</v>
      </c>
      <c r="B1104" s="5" t="s">
        <v>1799</v>
      </c>
      <c r="C1104" s="5">
        <v>7</v>
      </c>
      <c r="D1104" s="5" t="s">
        <v>360</v>
      </c>
      <c r="E1104" t="s">
        <v>1800</v>
      </c>
      <c r="F1104" t="s">
        <v>1801</v>
      </c>
      <c r="G1104">
        <v>0</v>
      </c>
      <c r="H1104" t="s">
        <v>363</v>
      </c>
      <c r="I1104" s="2">
        <v>6000</v>
      </c>
    </row>
    <row r="1105" spans="1:9" x14ac:dyDescent="0.3">
      <c r="A1105" s="5">
        <v>9590</v>
      </c>
      <c r="B1105" s="5" t="s">
        <v>1802</v>
      </c>
      <c r="C1105" s="5">
        <v>1</v>
      </c>
      <c r="D1105" s="5" t="s">
        <v>10</v>
      </c>
      <c r="E1105" t="s">
        <v>1803</v>
      </c>
      <c r="F1105" t="s">
        <v>1804</v>
      </c>
      <c r="G1105">
        <v>0</v>
      </c>
      <c r="H1105" t="s">
        <v>765</v>
      </c>
      <c r="I1105" s="2">
        <v>9000</v>
      </c>
    </row>
    <row r="1106" spans="1:9" x14ac:dyDescent="0.3">
      <c r="A1106" s="5">
        <v>9589</v>
      </c>
      <c r="B1106" s="5" t="s">
        <v>1805</v>
      </c>
      <c r="C1106" s="5">
        <v>3</v>
      </c>
      <c r="D1106" s="5" t="s">
        <v>44</v>
      </c>
      <c r="E1106" t="s">
        <v>1806</v>
      </c>
      <c r="F1106" t="s">
        <v>1807</v>
      </c>
      <c r="G1106">
        <v>0</v>
      </c>
      <c r="H1106" t="s">
        <v>1808</v>
      </c>
      <c r="I1106" s="2">
        <v>10000</v>
      </c>
    </row>
    <row r="1107" spans="1:9" x14ac:dyDescent="0.3">
      <c r="A1107" s="5">
        <v>9588</v>
      </c>
      <c r="B1107" s="5" t="s">
        <v>1809</v>
      </c>
      <c r="C1107" s="5">
        <v>4</v>
      </c>
      <c r="D1107" s="5" t="s">
        <v>39</v>
      </c>
      <c r="E1107" t="s">
        <v>1810</v>
      </c>
      <c r="F1107" t="s">
        <v>1811</v>
      </c>
      <c r="G1107">
        <v>0</v>
      </c>
      <c r="H1107" t="s">
        <v>1812</v>
      </c>
      <c r="I1107" s="2">
        <v>2500</v>
      </c>
    </row>
    <row r="1108" spans="1:9" x14ac:dyDescent="0.3">
      <c r="A1108" s="5">
        <v>9587</v>
      </c>
      <c r="B1108" s="5" t="s">
        <v>1813</v>
      </c>
      <c r="C1108" s="5">
        <v>1</v>
      </c>
      <c r="D1108" s="5" t="s">
        <v>10</v>
      </c>
      <c r="E1108" t="s">
        <v>1814</v>
      </c>
      <c r="F1108" t="s">
        <v>1815</v>
      </c>
      <c r="G1108">
        <v>0</v>
      </c>
      <c r="H1108" t="s">
        <v>259</v>
      </c>
      <c r="I1108" s="2">
        <v>7000</v>
      </c>
    </row>
    <row r="1109" spans="1:9" x14ac:dyDescent="0.3">
      <c r="A1109" s="5">
        <v>9587</v>
      </c>
      <c r="B1109" s="5" t="s">
        <v>1813</v>
      </c>
      <c r="C1109" s="5">
        <v>1</v>
      </c>
      <c r="D1109" s="5" t="s">
        <v>10</v>
      </c>
      <c r="E1109" t="s">
        <v>1814</v>
      </c>
      <c r="F1109" t="s">
        <v>1815</v>
      </c>
      <c r="G1109">
        <v>0</v>
      </c>
      <c r="H1109" t="s">
        <v>126</v>
      </c>
      <c r="I1109" s="2">
        <v>7000</v>
      </c>
    </row>
    <row r="1110" spans="1:9" x14ac:dyDescent="0.3">
      <c r="A1110" s="5">
        <v>9586</v>
      </c>
      <c r="B1110" s="5" t="s">
        <v>1816</v>
      </c>
      <c r="C1110" s="5">
        <v>1</v>
      </c>
      <c r="D1110" s="5" t="s">
        <v>10</v>
      </c>
      <c r="E1110" t="s">
        <v>1817</v>
      </c>
      <c r="F1110" t="s">
        <v>1818</v>
      </c>
      <c r="G1110">
        <v>0</v>
      </c>
      <c r="H1110" t="s">
        <v>149</v>
      </c>
      <c r="I1110" s="2">
        <v>8000</v>
      </c>
    </row>
    <row r="1111" spans="1:9" x14ac:dyDescent="0.3">
      <c r="A1111" s="5">
        <v>9586</v>
      </c>
      <c r="B1111" s="5" t="s">
        <v>1816</v>
      </c>
      <c r="C1111" s="5">
        <v>1</v>
      </c>
      <c r="D1111" s="5" t="s">
        <v>10</v>
      </c>
      <c r="E1111" t="s">
        <v>1817</v>
      </c>
      <c r="F1111" t="s">
        <v>1818</v>
      </c>
      <c r="G1111">
        <v>0</v>
      </c>
      <c r="H1111" t="s">
        <v>35</v>
      </c>
      <c r="I1111" s="2">
        <v>8000</v>
      </c>
    </row>
    <row r="1112" spans="1:9" x14ac:dyDescent="0.3">
      <c r="A1112" s="5">
        <v>9585</v>
      </c>
      <c r="B1112" s="5" t="s">
        <v>1819</v>
      </c>
      <c r="C1112" s="5">
        <v>4</v>
      </c>
      <c r="D1112" s="5" t="s">
        <v>39</v>
      </c>
      <c r="E1112" t="s">
        <v>1820</v>
      </c>
      <c r="F1112" t="s">
        <v>1821</v>
      </c>
      <c r="G1112">
        <v>0</v>
      </c>
      <c r="H1112" t="s">
        <v>1822</v>
      </c>
      <c r="I1112" s="2">
        <v>3000</v>
      </c>
    </row>
    <row r="1113" spans="1:9" x14ac:dyDescent="0.3">
      <c r="A1113" s="5">
        <v>9584</v>
      </c>
      <c r="B1113" s="5" t="s">
        <v>1823</v>
      </c>
      <c r="C1113" s="5">
        <v>1</v>
      </c>
      <c r="D1113" s="5" t="s">
        <v>10</v>
      </c>
      <c r="E1113" t="s">
        <v>1824</v>
      </c>
      <c r="F1113" t="s">
        <v>1825</v>
      </c>
      <c r="G1113">
        <v>0</v>
      </c>
      <c r="H1113" t="s">
        <v>765</v>
      </c>
      <c r="I1113" s="2">
        <v>10000</v>
      </c>
    </row>
    <row r="1114" spans="1:9" x14ac:dyDescent="0.3">
      <c r="A1114" s="5">
        <v>9583</v>
      </c>
      <c r="B1114" s="5" t="s">
        <v>1826</v>
      </c>
      <c r="C1114" s="5">
        <v>1</v>
      </c>
      <c r="D1114" s="5" t="s">
        <v>10</v>
      </c>
      <c r="E1114" t="s">
        <v>1827</v>
      </c>
      <c r="F1114" t="s">
        <v>1828</v>
      </c>
      <c r="G1114">
        <v>0</v>
      </c>
      <c r="H1114" t="s">
        <v>1829</v>
      </c>
      <c r="I1114" s="2">
        <v>5500</v>
      </c>
    </row>
    <row r="1115" spans="1:9" x14ac:dyDescent="0.3">
      <c r="A1115" s="5">
        <v>9582</v>
      </c>
      <c r="B1115" s="5" t="s">
        <v>410</v>
      </c>
      <c r="C1115" s="5">
        <v>1</v>
      </c>
      <c r="D1115" s="5" t="s">
        <v>10</v>
      </c>
      <c r="E1115" t="s">
        <v>1830</v>
      </c>
      <c r="F1115" t="s">
        <v>1831</v>
      </c>
      <c r="G1115">
        <v>0</v>
      </c>
      <c r="H1115" t="s">
        <v>126</v>
      </c>
      <c r="I1115" s="2">
        <v>7000</v>
      </c>
    </row>
    <row r="1116" spans="1:9" x14ac:dyDescent="0.3">
      <c r="A1116" s="5">
        <v>9582</v>
      </c>
      <c r="B1116" s="5" t="s">
        <v>410</v>
      </c>
      <c r="C1116" s="5">
        <v>1</v>
      </c>
      <c r="D1116" s="5" t="s">
        <v>10</v>
      </c>
      <c r="E1116" t="s">
        <v>1830</v>
      </c>
      <c r="F1116" t="s">
        <v>1831</v>
      </c>
      <c r="G1116">
        <v>0</v>
      </c>
      <c r="H1116" t="s">
        <v>1832</v>
      </c>
      <c r="I1116" s="2">
        <v>15000</v>
      </c>
    </row>
    <row r="1117" spans="1:9" x14ac:dyDescent="0.3">
      <c r="A1117" s="5">
        <v>9581</v>
      </c>
      <c r="B1117" s="5" t="s">
        <v>1833</v>
      </c>
      <c r="C1117" s="5">
        <v>5</v>
      </c>
      <c r="D1117" s="5" t="s">
        <v>63</v>
      </c>
      <c r="E1117" t="s">
        <v>1834</v>
      </c>
      <c r="G1117">
        <v>0</v>
      </c>
      <c r="H1117" t="s">
        <v>117</v>
      </c>
      <c r="I1117" s="2">
        <v>7000</v>
      </c>
    </row>
    <row r="1118" spans="1:9" x14ac:dyDescent="0.3">
      <c r="A1118" s="5">
        <v>9580</v>
      </c>
      <c r="B1118" s="5" t="s">
        <v>1835</v>
      </c>
      <c r="C1118" s="5">
        <v>13</v>
      </c>
      <c r="D1118" s="5" t="s">
        <v>27</v>
      </c>
      <c r="E1118" t="s">
        <v>1836</v>
      </c>
      <c r="F1118" t="s">
        <v>1837</v>
      </c>
      <c r="G1118">
        <v>0</v>
      </c>
      <c r="H1118" t="s">
        <v>1838</v>
      </c>
      <c r="I1118" s="2">
        <v>10000</v>
      </c>
    </row>
    <row r="1119" spans="1:9" x14ac:dyDescent="0.3">
      <c r="A1119" s="5">
        <v>9579</v>
      </c>
      <c r="B1119" s="5" t="s">
        <v>1839</v>
      </c>
      <c r="C1119" s="5">
        <v>4</v>
      </c>
      <c r="D1119" s="5" t="s">
        <v>39</v>
      </c>
      <c r="E1119" t="s">
        <v>1840</v>
      </c>
      <c r="F1119" t="s">
        <v>1841</v>
      </c>
      <c r="G1119">
        <v>0</v>
      </c>
      <c r="H1119" t="s">
        <v>1842</v>
      </c>
      <c r="I1119" s="2">
        <v>7000</v>
      </c>
    </row>
    <row r="1120" spans="1:9" x14ac:dyDescent="0.3">
      <c r="A1120" s="5">
        <v>9579</v>
      </c>
      <c r="B1120" s="5" t="s">
        <v>1839</v>
      </c>
      <c r="C1120" s="5">
        <v>4</v>
      </c>
      <c r="D1120" s="5" t="s">
        <v>39</v>
      </c>
      <c r="E1120" t="s">
        <v>1840</v>
      </c>
      <c r="F1120" t="s">
        <v>1841</v>
      </c>
      <c r="G1120">
        <v>0</v>
      </c>
      <c r="H1120" t="s">
        <v>1156</v>
      </c>
      <c r="I1120" s="2">
        <v>8000</v>
      </c>
    </row>
    <row r="1121" spans="1:9" x14ac:dyDescent="0.3">
      <c r="A1121" s="5">
        <v>9579</v>
      </c>
      <c r="B1121" s="5" t="s">
        <v>1839</v>
      </c>
      <c r="C1121" s="5">
        <v>4</v>
      </c>
      <c r="D1121" s="5" t="s">
        <v>39</v>
      </c>
      <c r="E1121" t="s">
        <v>1840</v>
      </c>
      <c r="F1121" t="s">
        <v>1841</v>
      </c>
      <c r="G1121">
        <v>0</v>
      </c>
      <c r="H1121" t="s">
        <v>1843</v>
      </c>
      <c r="I1121" s="2">
        <v>7500</v>
      </c>
    </row>
    <row r="1122" spans="1:9" x14ac:dyDescent="0.3">
      <c r="A1122" s="5">
        <v>9578</v>
      </c>
      <c r="B1122" s="5" t="s">
        <v>1844</v>
      </c>
      <c r="C1122" s="5">
        <v>1</v>
      </c>
      <c r="D1122" s="5" t="s">
        <v>10</v>
      </c>
      <c r="E1122" t="s">
        <v>1845</v>
      </c>
      <c r="F1122" t="s">
        <v>1846</v>
      </c>
      <c r="G1122">
        <v>0</v>
      </c>
      <c r="H1122" t="s">
        <v>1847</v>
      </c>
      <c r="I1122" s="2">
        <v>6000</v>
      </c>
    </row>
    <row r="1123" spans="1:9" x14ac:dyDescent="0.3">
      <c r="A1123" s="5">
        <v>9578</v>
      </c>
      <c r="B1123" s="5" t="s">
        <v>1844</v>
      </c>
      <c r="C1123" s="5">
        <v>1</v>
      </c>
      <c r="D1123" s="5" t="s">
        <v>10</v>
      </c>
      <c r="E1123" t="s">
        <v>1845</v>
      </c>
      <c r="F1123" t="s">
        <v>1846</v>
      </c>
      <c r="G1123">
        <v>0</v>
      </c>
      <c r="H1123" t="s">
        <v>1848</v>
      </c>
      <c r="I1123" s="2">
        <v>6000</v>
      </c>
    </row>
    <row r="1124" spans="1:9" x14ac:dyDescent="0.3">
      <c r="A1124" s="5">
        <v>9578</v>
      </c>
      <c r="B1124" s="5" t="s">
        <v>1844</v>
      </c>
      <c r="C1124" s="5">
        <v>1</v>
      </c>
      <c r="D1124" s="5" t="s">
        <v>10</v>
      </c>
      <c r="E1124" t="s">
        <v>1845</v>
      </c>
      <c r="F1124" t="s">
        <v>1846</v>
      </c>
      <c r="G1124">
        <v>0</v>
      </c>
      <c r="H1124" t="s">
        <v>37</v>
      </c>
      <c r="I1124" s="2">
        <v>7000</v>
      </c>
    </row>
    <row r="1125" spans="1:9" x14ac:dyDescent="0.3">
      <c r="A1125" s="5">
        <v>9578</v>
      </c>
      <c r="B1125" s="5" t="s">
        <v>1844</v>
      </c>
      <c r="C1125" s="5">
        <v>1</v>
      </c>
      <c r="D1125" s="5" t="s">
        <v>10</v>
      </c>
      <c r="E1125" t="s">
        <v>1845</v>
      </c>
      <c r="F1125" t="s">
        <v>1846</v>
      </c>
      <c r="G1125">
        <v>0</v>
      </c>
      <c r="H1125" t="s">
        <v>84</v>
      </c>
      <c r="I1125" s="2">
        <v>6000</v>
      </c>
    </row>
    <row r="1126" spans="1:9" x14ac:dyDescent="0.3">
      <c r="A1126" s="5">
        <v>9577</v>
      </c>
      <c r="B1126" s="5" t="s">
        <v>1849</v>
      </c>
      <c r="C1126" s="5">
        <v>5</v>
      </c>
      <c r="D1126" s="5" t="s">
        <v>63</v>
      </c>
      <c r="E1126" t="s">
        <v>1850</v>
      </c>
      <c r="F1126" t="s">
        <v>1851</v>
      </c>
      <c r="G1126">
        <v>0</v>
      </c>
      <c r="H1126" t="s">
        <v>67</v>
      </c>
      <c r="I1126" s="2">
        <v>10000</v>
      </c>
    </row>
    <row r="1127" spans="1:9" x14ac:dyDescent="0.3">
      <c r="A1127" s="5">
        <v>9577</v>
      </c>
      <c r="B1127" s="5" t="s">
        <v>1849</v>
      </c>
      <c r="C1127" s="5">
        <v>5</v>
      </c>
      <c r="D1127" s="5" t="s">
        <v>63</v>
      </c>
      <c r="E1127" t="s">
        <v>1850</v>
      </c>
      <c r="F1127" t="s">
        <v>1851</v>
      </c>
      <c r="G1127">
        <v>0</v>
      </c>
      <c r="H1127" t="s">
        <v>88</v>
      </c>
      <c r="I1127" s="2">
        <v>30000</v>
      </c>
    </row>
    <row r="1128" spans="1:9" x14ac:dyDescent="0.3">
      <c r="A1128" s="5">
        <v>9576</v>
      </c>
      <c r="B1128" s="5" t="s">
        <v>1852</v>
      </c>
      <c r="C1128" s="5">
        <v>5</v>
      </c>
      <c r="D1128" s="5" t="s">
        <v>63</v>
      </c>
      <c r="E1128" t="s">
        <v>1853</v>
      </c>
      <c r="F1128" t="s">
        <v>1854</v>
      </c>
      <c r="G1128">
        <v>0</v>
      </c>
      <c r="H1128" t="s">
        <v>1855</v>
      </c>
      <c r="I1128" s="2">
        <v>30000</v>
      </c>
    </row>
    <row r="1129" spans="1:9" x14ac:dyDescent="0.3">
      <c r="A1129" s="5">
        <v>9576</v>
      </c>
      <c r="B1129" s="5" t="s">
        <v>1852</v>
      </c>
      <c r="C1129" s="5">
        <v>5</v>
      </c>
      <c r="D1129" s="5" t="s">
        <v>63</v>
      </c>
      <c r="E1129" t="s">
        <v>1853</v>
      </c>
      <c r="F1129" t="s">
        <v>1854</v>
      </c>
      <c r="G1129">
        <v>0</v>
      </c>
      <c r="H1129" t="s">
        <v>1856</v>
      </c>
      <c r="I1129" s="2">
        <v>10000</v>
      </c>
    </row>
    <row r="1130" spans="1:9" x14ac:dyDescent="0.3">
      <c r="A1130" s="5">
        <v>9576</v>
      </c>
      <c r="B1130" s="5" t="s">
        <v>1852</v>
      </c>
      <c r="C1130" s="5">
        <v>5</v>
      </c>
      <c r="D1130" s="5" t="s">
        <v>63</v>
      </c>
      <c r="E1130" t="s">
        <v>1853</v>
      </c>
      <c r="F1130" t="s">
        <v>1854</v>
      </c>
      <c r="G1130">
        <v>0</v>
      </c>
      <c r="H1130" t="s">
        <v>1855</v>
      </c>
      <c r="I1130" s="2">
        <v>30000</v>
      </c>
    </row>
    <row r="1131" spans="1:9" x14ac:dyDescent="0.3">
      <c r="A1131" s="5">
        <v>9575</v>
      </c>
      <c r="B1131" s="5" t="s">
        <v>135</v>
      </c>
      <c r="C1131" s="5">
        <v>1</v>
      </c>
      <c r="D1131" s="5" t="s">
        <v>10</v>
      </c>
      <c r="E1131" t="s">
        <v>1857</v>
      </c>
      <c r="F1131" t="s">
        <v>1858</v>
      </c>
      <c r="G1131">
        <v>0</v>
      </c>
      <c r="H1131" t="s">
        <v>1087</v>
      </c>
      <c r="I1131" s="2">
        <v>12000</v>
      </c>
    </row>
    <row r="1132" spans="1:9" x14ac:dyDescent="0.3">
      <c r="A1132" s="5">
        <v>9575</v>
      </c>
      <c r="B1132" s="5" t="s">
        <v>135</v>
      </c>
      <c r="C1132" s="5">
        <v>1</v>
      </c>
      <c r="D1132" s="5" t="s">
        <v>10</v>
      </c>
      <c r="E1132" t="s">
        <v>1857</v>
      </c>
      <c r="F1132" t="s">
        <v>1858</v>
      </c>
      <c r="G1132">
        <v>0</v>
      </c>
      <c r="H1132" t="s">
        <v>1859</v>
      </c>
      <c r="I1132" s="2">
        <v>8000</v>
      </c>
    </row>
    <row r="1133" spans="1:9" x14ac:dyDescent="0.3">
      <c r="A1133" s="5">
        <v>9575</v>
      </c>
      <c r="B1133" s="5" t="s">
        <v>135</v>
      </c>
      <c r="C1133" s="5">
        <v>1</v>
      </c>
      <c r="D1133" s="5" t="s">
        <v>10</v>
      </c>
      <c r="E1133" t="s">
        <v>1857</v>
      </c>
      <c r="F1133" t="s">
        <v>1858</v>
      </c>
      <c r="G1133">
        <v>0</v>
      </c>
      <c r="H1133" t="s">
        <v>1860</v>
      </c>
      <c r="I1133" s="2">
        <v>10000</v>
      </c>
    </row>
    <row r="1134" spans="1:9" x14ac:dyDescent="0.3">
      <c r="A1134" s="5">
        <v>9574</v>
      </c>
      <c r="B1134" s="5" t="s">
        <v>1861</v>
      </c>
      <c r="C1134" s="5">
        <v>1</v>
      </c>
      <c r="D1134" s="5" t="s">
        <v>10</v>
      </c>
      <c r="E1134" t="s">
        <v>1862</v>
      </c>
      <c r="F1134" t="s">
        <v>1863</v>
      </c>
      <c r="G1134">
        <v>0</v>
      </c>
      <c r="H1134" t="s">
        <v>229</v>
      </c>
      <c r="I1134" s="2">
        <v>6000</v>
      </c>
    </row>
    <row r="1135" spans="1:9" x14ac:dyDescent="0.3">
      <c r="A1135" s="5">
        <v>9574</v>
      </c>
      <c r="B1135" s="5" t="s">
        <v>1861</v>
      </c>
      <c r="C1135" s="5">
        <v>1</v>
      </c>
      <c r="D1135" s="5" t="s">
        <v>10</v>
      </c>
      <c r="E1135" t="s">
        <v>1862</v>
      </c>
      <c r="F1135" t="s">
        <v>1863</v>
      </c>
      <c r="G1135">
        <v>0</v>
      </c>
      <c r="H1135" t="s">
        <v>21</v>
      </c>
      <c r="I1135" s="2">
        <v>5000</v>
      </c>
    </row>
    <row r="1136" spans="1:9" x14ac:dyDescent="0.3">
      <c r="A1136" s="5">
        <v>9573</v>
      </c>
      <c r="B1136" s="5" t="s">
        <v>1864</v>
      </c>
      <c r="C1136" s="5">
        <v>4</v>
      </c>
      <c r="D1136" s="5" t="s">
        <v>39</v>
      </c>
      <c r="E1136" t="s">
        <v>1865</v>
      </c>
      <c r="F1136" t="s">
        <v>1866</v>
      </c>
      <c r="G1136">
        <v>0</v>
      </c>
      <c r="H1136" t="s">
        <v>205</v>
      </c>
      <c r="I1136" s="2">
        <v>3000</v>
      </c>
    </row>
    <row r="1137" spans="1:9" x14ac:dyDescent="0.3">
      <c r="A1137" s="5">
        <v>9573</v>
      </c>
      <c r="B1137" s="5" t="s">
        <v>1864</v>
      </c>
      <c r="C1137" s="5">
        <v>4</v>
      </c>
      <c r="D1137" s="5" t="s">
        <v>39</v>
      </c>
      <c r="E1137" t="s">
        <v>1865</v>
      </c>
      <c r="F1137" t="s">
        <v>1866</v>
      </c>
      <c r="G1137">
        <v>0</v>
      </c>
      <c r="H1137" t="s">
        <v>342</v>
      </c>
      <c r="I1137" s="2">
        <v>3500</v>
      </c>
    </row>
    <row r="1138" spans="1:9" x14ac:dyDescent="0.3">
      <c r="A1138" s="5">
        <v>9572</v>
      </c>
      <c r="B1138" s="5" t="s">
        <v>1867</v>
      </c>
      <c r="C1138" s="5">
        <v>1</v>
      </c>
      <c r="D1138" s="5" t="s">
        <v>10</v>
      </c>
      <c r="E1138" t="s">
        <v>1868</v>
      </c>
      <c r="F1138" t="s">
        <v>1869</v>
      </c>
      <c r="G1138">
        <v>0</v>
      </c>
      <c r="H1138" t="s">
        <v>1417</v>
      </c>
      <c r="I1138" s="2">
        <v>8000</v>
      </c>
    </row>
    <row r="1139" spans="1:9" x14ac:dyDescent="0.3">
      <c r="A1139" s="5">
        <v>9572</v>
      </c>
      <c r="B1139" s="5" t="s">
        <v>1867</v>
      </c>
      <c r="C1139" s="5">
        <v>1</v>
      </c>
      <c r="D1139" s="5" t="s">
        <v>10</v>
      </c>
      <c r="E1139" t="s">
        <v>1868</v>
      </c>
      <c r="F1139" t="s">
        <v>1869</v>
      </c>
      <c r="G1139">
        <v>0</v>
      </c>
      <c r="H1139" t="s">
        <v>737</v>
      </c>
      <c r="I1139" s="2">
        <v>8500</v>
      </c>
    </row>
    <row r="1140" spans="1:9" x14ac:dyDescent="0.3">
      <c r="A1140" s="5">
        <v>9572</v>
      </c>
      <c r="B1140" s="5" t="s">
        <v>1867</v>
      </c>
      <c r="C1140" s="5">
        <v>1</v>
      </c>
      <c r="D1140" s="5" t="s">
        <v>10</v>
      </c>
      <c r="E1140" t="s">
        <v>1868</v>
      </c>
      <c r="F1140" t="s">
        <v>1869</v>
      </c>
      <c r="G1140">
        <v>0</v>
      </c>
      <c r="H1140" t="s">
        <v>1870</v>
      </c>
      <c r="I1140" s="2">
        <v>8000</v>
      </c>
    </row>
    <row r="1141" spans="1:9" x14ac:dyDescent="0.3">
      <c r="A1141" s="5">
        <v>9571</v>
      </c>
      <c r="B1141" s="5" t="s">
        <v>1871</v>
      </c>
      <c r="C1141" s="5">
        <v>1</v>
      </c>
      <c r="D1141" s="5" t="s">
        <v>10</v>
      </c>
      <c r="E1141" t="s">
        <v>1868</v>
      </c>
      <c r="F1141" t="s">
        <v>1872</v>
      </c>
      <c r="G1141">
        <v>0</v>
      </c>
      <c r="H1141" t="s">
        <v>1873</v>
      </c>
      <c r="I1141" s="2">
        <v>7000</v>
      </c>
    </row>
    <row r="1142" spans="1:9" x14ac:dyDescent="0.3">
      <c r="A1142" s="5">
        <v>9571</v>
      </c>
      <c r="B1142" s="5" t="s">
        <v>1871</v>
      </c>
      <c r="C1142" s="5">
        <v>1</v>
      </c>
      <c r="D1142" s="5" t="s">
        <v>10</v>
      </c>
      <c r="E1142" t="s">
        <v>1868</v>
      </c>
      <c r="F1142" t="s">
        <v>1872</v>
      </c>
      <c r="G1142">
        <v>0</v>
      </c>
      <c r="H1142" t="s">
        <v>1874</v>
      </c>
      <c r="I1142" s="2">
        <v>7000</v>
      </c>
    </row>
    <row r="1143" spans="1:9" x14ac:dyDescent="0.3">
      <c r="A1143" s="5">
        <v>9571</v>
      </c>
      <c r="B1143" s="5" t="s">
        <v>1871</v>
      </c>
      <c r="C1143" s="5">
        <v>1</v>
      </c>
      <c r="D1143" s="5" t="s">
        <v>10</v>
      </c>
      <c r="E1143" t="s">
        <v>1868</v>
      </c>
      <c r="F1143" t="s">
        <v>1872</v>
      </c>
      <c r="G1143">
        <v>0</v>
      </c>
      <c r="H1143" t="s">
        <v>1875</v>
      </c>
      <c r="I1143" s="2">
        <v>9000</v>
      </c>
    </row>
    <row r="1144" spans="1:9" x14ac:dyDescent="0.3">
      <c r="A1144" s="5">
        <v>9570</v>
      </c>
      <c r="B1144" s="5" t="s">
        <v>1876</v>
      </c>
      <c r="C1144" s="5">
        <v>13</v>
      </c>
      <c r="D1144" s="5" t="s">
        <v>27</v>
      </c>
      <c r="E1144" t="s">
        <v>1877</v>
      </c>
      <c r="F1144" t="s">
        <v>1878</v>
      </c>
      <c r="G1144">
        <v>0</v>
      </c>
    </row>
    <row r="1145" spans="1:9" x14ac:dyDescent="0.3">
      <c r="A1145" s="5">
        <v>9569</v>
      </c>
      <c r="B1145" s="5" t="s">
        <v>1879</v>
      </c>
      <c r="C1145" s="5">
        <v>5</v>
      </c>
      <c r="D1145" s="5" t="s">
        <v>63</v>
      </c>
      <c r="E1145" t="s">
        <v>1880</v>
      </c>
      <c r="F1145" t="s">
        <v>1881</v>
      </c>
      <c r="G1145">
        <v>0</v>
      </c>
      <c r="H1145" t="s">
        <v>67</v>
      </c>
      <c r="I1145" s="2">
        <v>10000</v>
      </c>
    </row>
    <row r="1146" spans="1:9" x14ac:dyDescent="0.3">
      <c r="A1146" s="5">
        <v>9569</v>
      </c>
      <c r="B1146" s="5" t="s">
        <v>1879</v>
      </c>
      <c r="C1146" s="5">
        <v>5</v>
      </c>
      <c r="D1146" s="5" t="s">
        <v>63</v>
      </c>
      <c r="E1146" t="s">
        <v>1880</v>
      </c>
      <c r="F1146" t="s">
        <v>1881</v>
      </c>
      <c r="G1146">
        <v>0</v>
      </c>
      <c r="H1146" t="s">
        <v>88</v>
      </c>
      <c r="I1146" s="2">
        <v>25000</v>
      </c>
    </row>
    <row r="1147" spans="1:9" x14ac:dyDescent="0.3">
      <c r="A1147" s="5">
        <v>9568</v>
      </c>
      <c r="B1147" s="5" t="s">
        <v>1882</v>
      </c>
      <c r="C1147" s="5">
        <v>1</v>
      </c>
      <c r="D1147" s="5" t="s">
        <v>10</v>
      </c>
      <c r="E1147" t="s">
        <v>1883</v>
      </c>
      <c r="F1147" t="s">
        <v>1884</v>
      </c>
      <c r="G1147">
        <v>0</v>
      </c>
      <c r="H1147" t="s">
        <v>1848</v>
      </c>
      <c r="I1147" s="2">
        <v>7500</v>
      </c>
    </row>
    <row r="1148" spans="1:9" x14ac:dyDescent="0.3">
      <c r="A1148" s="5">
        <v>9568</v>
      </c>
      <c r="B1148" s="5" t="s">
        <v>1882</v>
      </c>
      <c r="C1148" s="5">
        <v>1</v>
      </c>
      <c r="D1148" s="5" t="s">
        <v>10</v>
      </c>
      <c r="E1148" t="s">
        <v>1883</v>
      </c>
      <c r="F1148" t="s">
        <v>1884</v>
      </c>
      <c r="G1148">
        <v>0</v>
      </c>
      <c r="H1148" t="s">
        <v>1847</v>
      </c>
      <c r="I1148" s="2">
        <v>8500</v>
      </c>
    </row>
    <row r="1149" spans="1:9" x14ac:dyDescent="0.3">
      <c r="A1149" s="5">
        <v>9567</v>
      </c>
      <c r="B1149" s="5" t="s">
        <v>1885</v>
      </c>
      <c r="C1149" s="5">
        <v>5</v>
      </c>
      <c r="D1149" s="5" t="s">
        <v>63</v>
      </c>
      <c r="E1149" t="s">
        <v>1886</v>
      </c>
      <c r="G1149">
        <v>0</v>
      </c>
      <c r="H1149" t="s">
        <v>88</v>
      </c>
      <c r="I1149" s="2">
        <v>25000</v>
      </c>
    </row>
    <row r="1150" spans="1:9" x14ac:dyDescent="0.3">
      <c r="A1150" s="5">
        <v>9567</v>
      </c>
      <c r="B1150" s="5" t="s">
        <v>1885</v>
      </c>
      <c r="C1150" s="5">
        <v>5</v>
      </c>
      <c r="D1150" s="5" t="s">
        <v>63</v>
      </c>
      <c r="E1150" t="s">
        <v>1886</v>
      </c>
      <c r="G1150">
        <v>0</v>
      </c>
      <c r="H1150" t="s">
        <v>67</v>
      </c>
      <c r="I1150" s="2">
        <v>10000</v>
      </c>
    </row>
    <row r="1151" spans="1:9" x14ac:dyDescent="0.3">
      <c r="A1151" s="5">
        <v>9566</v>
      </c>
      <c r="B1151" s="5" t="s">
        <v>1887</v>
      </c>
      <c r="C1151" s="5">
        <v>5</v>
      </c>
      <c r="D1151" s="5" t="s">
        <v>63</v>
      </c>
      <c r="E1151" t="s">
        <v>1888</v>
      </c>
      <c r="F1151" t="s">
        <v>1889</v>
      </c>
      <c r="G1151">
        <v>0</v>
      </c>
      <c r="H1151" t="s">
        <v>67</v>
      </c>
      <c r="I1151" s="2">
        <v>9000</v>
      </c>
    </row>
    <row r="1152" spans="1:9" x14ac:dyDescent="0.3">
      <c r="A1152" s="5">
        <v>9566</v>
      </c>
      <c r="B1152" s="5" t="s">
        <v>1887</v>
      </c>
      <c r="C1152" s="5">
        <v>5</v>
      </c>
      <c r="D1152" s="5" t="s">
        <v>63</v>
      </c>
      <c r="E1152" t="s">
        <v>1888</v>
      </c>
      <c r="F1152" t="s">
        <v>1889</v>
      </c>
      <c r="G1152">
        <v>0</v>
      </c>
      <c r="H1152" t="s">
        <v>88</v>
      </c>
      <c r="I1152" s="2">
        <v>30000</v>
      </c>
    </row>
    <row r="1153" spans="1:9" x14ac:dyDescent="0.3">
      <c r="A1153" s="5">
        <v>9565</v>
      </c>
      <c r="B1153" s="5" t="s">
        <v>1890</v>
      </c>
      <c r="C1153" s="5">
        <v>7</v>
      </c>
      <c r="D1153" s="5" t="s">
        <v>360</v>
      </c>
      <c r="E1153" t="s">
        <v>1891</v>
      </c>
      <c r="F1153" t="s">
        <v>1892</v>
      </c>
      <c r="G1153">
        <v>0</v>
      </c>
      <c r="H1153" t="s">
        <v>363</v>
      </c>
      <c r="I1153" s="2">
        <v>7000</v>
      </c>
    </row>
    <row r="1154" spans="1:9" x14ac:dyDescent="0.3">
      <c r="A1154" s="5">
        <v>9565</v>
      </c>
      <c r="B1154" s="5" t="s">
        <v>1890</v>
      </c>
      <c r="C1154" s="5">
        <v>7</v>
      </c>
      <c r="D1154" s="5" t="s">
        <v>360</v>
      </c>
      <c r="E1154" t="s">
        <v>1891</v>
      </c>
      <c r="F1154" t="s">
        <v>1892</v>
      </c>
      <c r="G1154">
        <v>0</v>
      </c>
      <c r="H1154" t="s">
        <v>1424</v>
      </c>
      <c r="I1154" s="2">
        <v>4000</v>
      </c>
    </row>
    <row r="1155" spans="1:9" x14ac:dyDescent="0.3">
      <c r="A1155" s="5">
        <v>9564</v>
      </c>
      <c r="B1155" s="5" t="s">
        <v>1893</v>
      </c>
      <c r="C1155" s="5">
        <v>7</v>
      </c>
      <c r="D1155" s="5" t="s">
        <v>360</v>
      </c>
      <c r="E1155" t="s">
        <v>1894</v>
      </c>
      <c r="F1155" t="s">
        <v>1895</v>
      </c>
      <c r="G1155">
        <v>0</v>
      </c>
      <c r="H1155" t="s">
        <v>363</v>
      </c>
      <c r="I1155" s="2">
        <v>8000</v>
      </c>
    </row>
    <row r="1156" spans="1:9" x14ac:dyDescent="0.3">
      <c r="A1156" s="5">
        <v>9564</v>
      </c>
      <c r="B1156" s="5" t="s">
        <v>1893</v>
      </c>
      <c r="C1156" s="5">
        <v>7</v>
      </c>
      <c r="D1156" s="5" t="s">
        <v>360</v>
      </c>
      <c r="E1156" t="s">
        <v>1894</v>
      </c>
      <c r="F1156" t="s">
        <v>1895</v>
      </c>
      <c r="G1156">
        <v>0</v>
      </c>
      <c r="H1156" t="s">
        <v>1424</v>
      </c>
      <c r="I1156" s="2">
        <v>4000</v>
      </c>
    </row>
    <row r="1157" spans="1:9" x14ac:dyDescent="0.3">
      <c r="A1157" s="5">
        <v>9563</v>
      </c>
      <c r="B1157" s="5" t="s">
        <v>1896</v>
      </c>
      <c r="C1157" s="5">
        <v>5</v>
      </c>
      <c r="D1157" s="5" t="s">
        <v>63</v>
      </c>
      <c r="E1157" t="s">
        <v>1897</v>
      </c>
      <c r="G1157">
        <v>0</v>
      </c>
      <c r="H1157" t="s">
        <v>67</v>
      </c>
      <c r="I1157" s="2">
        <v>10000</v>
      </c>
    </row>
    <row r="1158" spans="1:9" x14ac:dyDescent="0.3">
      <c r="A1158" s="5">
        <v>9563</v>
      </c>
      <c r="B1158" s="5" t="s">
        <v>1896</v>
      </c>
      <c r="C1158" s="5">
        <v>5</v>
      </c>
      <c r="D1158" s="5" t="s">
        <v>63</v>
      </c>
      <c r="E1158" t="s">
        <v>1897</v>
      </c>
      <c r="G1158">
        <v>0</v>
      </c>
      <c r="H1158" t="s">
        <v>88</v>
      </c>
      <c r="I1158" s="2">
        <v>25000</v>
      </c>
    </row>
    <row r="1159" spans="1:9" x14ac:dyDescent="0.3">
      <c r="A1159" s="5">
        <v>9562</v>
      </c>
      <c r="B1159" s="5" t="s">
        <v>1898</v>
      </c>
      <c r="C1159" s="5">
        <v>5</v>
      </c>
      <c r="D1159" s="5" t="s">
        <v>63</v>
      </c>
      <c r="E1159" t="s">
        <v>1899</v>
      </c>
      <c r="F1159" t="s">
        <v>1900</v>
      </c>
      <c r="G1159">
        <v>0</v>
      </c>
      <c r="H1159" t="s">
        <v>67</v>
      </c>
      <c r="I1159" s="2">
        <v>10000</v>
      </c>
    </row>
    <row r="1160" spans="1:9" x14ac:dyDescent="0.3">
      <c r="A1160" s="5">
        <v>9562</v>
      </c>
      <c r="B1160" s="5" t="s">
        <v>1898</v>
      </c>
      <c r="C1160" s="5">
        <v>5</v>
      </c>
      <c r="D1160" s="5" t="s">
        <v>63</v>
      </c>
      <c r="E1160" t="s">
        <v>1899</v>
      </c>
      <c r="F1160" t="s">
        <v>1900</v>
      </c>
      <c r="G1160">
        <v>0</v>
      </c>
      <c r="H1160" t="s">
        <v>88</v>
      </c>
      <c r="I1160" s="2">
        <v>30000</v>
      </c>
    </row>
    <row r="1161" spans="1:9" x14ac:dyDescent="0.3">
      <c r="A1161" s="5">
        <v>9561</v>
      </c>
      <c r="B1161" s="5" t="s">
        <v>1901</v>
      </c>
      <c r="C1161" s="5">
        <v>5</v>
      </c>
      <c r="D1161" s="5" t="s">
        <v>63</v>
      </c>
      <c r="E1161" t="s">
        <v>1902</v>
      </c>
      <c r="F1161" t="s">
        <v>1903</v>
      </c>
      <c r="G1161">
        <v>0</v>
      </c>
      <c r="H1161" t="s">
        <v>67</v>
      </c>
      <c r="I1161" s="2">
        <v>12000</v>
      </c>
    </row>
    <row r="1162" spans="1:9" x14ac:dyDescent="0.3">
      <c r="A1162" s="5">
        <v>9561</v>
      </c>
      <c r="B1162" s="5" t="s">
        <v>1901</v>
      </c>
      <c r="C1162" s="5">
        <v>5</v>
      </c>
      <c r="D1162" s="5" t="s">
        <v>63</v>
      </c>
      <c r="E1162" t="s">
        <v>1902</v>
      </c>
      <c r="F1162" t="s">
        <v>1903</v>
      </c>
      <c r="G1162">
        <v>0</v>
      </c>
      <c r="H1162" t="s">
        <v>88</v>
      </c>
      <c r="I1162" s="2">
        <v>35000</v>
      </c>
    </row>
    <row r="1163" spans="1:9" x14ac:dyDescent="0.3">
      <c r="A1163" s="5">
        <v>9560</v>
      </c>
      <c r="B1163" s="5" t="s">
        <v>1904</v>
      </c>
      <c r="C1163" s="5">
        <v>1</v>
      </c>
      <c r="D1163" s="5" t="s">
        <v>10</v>
      </c>
      <c r="E1163" t="s">
        <v>1905</v>
      </c>
      <c r="F1163" t="s">
        <v>1906</v>
      </c>
      <c r="G1163">
        <v>0</v>
      </c>
      <c r="H1163" t="s">
        <v>37</v>
      </c>
      <c r="I1163" s="2">
        <v>6000</v>
      </c>
    </row>
    <row r="1164" spans="1:9" x14ac:dyDescent="0.3">
      <c r="A1164" s="5">
        <v>9560</v>
      </c>
      <c r="B1164" s="5" t="s">
        <v>1904</v>
      </c>
      <c r="C1164" s="5">
        <v>1</v>
      </c>
      <c r="D1164" s="5" t="s">
        <v>10</v>
      </c>
      <c r="E1164" t="s">
        <v>1905</v>
      </c>
      <c r="F1164" t="s">
        <v>1906</v>
      </c>
      <c r="G1164">
        <v>0</v>
      </c>
      <c r="H1164" t="s">
        <v>1042</v>
      </c>
      <c r="I1164" s="2">
        <v>4000</v>
      </c>
    </row>
    <row r="1165" spans="1:9" x14ac:dyDescent="0.3">
      <c r="A1165" s="5">
        <v>9560</v>
      </c>
      <c r="B1165" s="5" t="s">
        <v>1904</v>
      </c>
      <c r="C1165" s="5">
        <v>1</v>
      </c>
      <c r="D1165" s="5" t="s">
        <v>10</v>
      </c>
      <c r="E1165" t="s">
        <v>1905</v>
      </c>
      <c r="F1165" t="s">
        <v>1906</v>
      </c>
      <c r="G1165">
        <v>0</v>
      </c>
      <c r="H1165" t="s">
        <v>1848</v>
      </c>
      <c r="I1165" s="2">
        <v>7000</v>
      </c>
    </row>
    <row r="1166" spans="1:9" x14ac:dyDescent="0.3">
      <c r="A1166" s="5">
        <v>9560</v>
      </c>
      <c r="B1166" s="5" t="s">
        <v>1904</v>
      </c>
      <c r="C1166" s="5">
        <v>1</v>
      </c>
      <c r="D1166" s="5" t="s">
        <v>10</v>
      </c>
      <c r="E1166" t="s">
        <v>1905</v>
      </c>
      <c r="F1166" t="s">
        <v>1906</v>
      </c>
      <c r="G1166">
        <v>0</v>
      </c>
      <c r="H1166" t="s">
        <v>1847</v>
      </c>
      <c r="I1166" s="2">
        <v>6000</v>
      </c>
    </row>
    <row r="1167" spans="1:9" x14ac:dyDescent="0.3">
      <c r="A1167" s="5">
        <v>9559</v>
      </c>
      <c r="B1167" s="5" t="s">
        <v>1907</v>
      </c>
      <c r="C1167" s="5">
        <v>4</v>
      </c>
      <c r="D1167" s="5" t="s">
        <v>39</v>
      </c>
      <c r="E1167" t="s">
        <v>1908</v>
      </c>
      <c r="F1167" t="s">
        <v>1909</v>
      </c>
      <c r="G1167">
        <v>0</v>
      </c>
      <c r="H1167" t="s">
        <v>1910</v>
      </c>
      <c r="I1167" s="2">
        <v>6000</v>
      </c>
    </row>
    <row r="1168" spans="1:9" x14ac:dyDescent="0.3">
      <c r="A1168" s="5">
        <v>9559</v>
      </c>
      <c r="B1168" s="5" t="s">
        <v>1907</v>
      </c>
      <c r="C1168" s="5">
        <v>4</v>
      </c>
      <c r="D1168" s="5" t="s">
        <v>39</v>
      </c>
      <c r="E1168" t="s">
        <v>1908</v>
      </c>
      <c r="F1168" t="s">
        <v>1909</v>
      </c>
      <c r="G1168">
        <v>0</v>
      </c>
      <c r="H1168" t="s">
        <v>1911</v>
      </c>
      <c r="I1168" s="2">
        <v>5000</v>
      </c>
    </row>
    <row r="1169" spans="1:9" x14ac:dyDescent="0.3">
      <c r="A1169" s="5">
        <v>9558</v>
      </c>
      <c r="B1169" s="5" t="s">
        <v>1912</v>
      </c>
      <c r="C1169" s="5">
        <v>1</v>
      </c>
      <c r="D1169" s="5" t="s">
        <v>10</v>
      </c>
      <c r="E1169" t="s">
        <v>1913</v>
      </c>
      <c r="F1169" t="s">
        <v>1914</v>
      </c>
      <c r="G1169">
        <v>0</v>
      </c>
      <c r="H1169" t="s">
        <v>241</v>
      </c>
      <c r="I1169" s="2">
        <v>8000</v>
      </c>
    </row>
    <row r="1170" spans="1:9" x14ac:dyDescent="0.3">
      <c r="A1170" s="5">
        <v>9557</v>
      </c>
      <c r="B1170" s="5" t="s">
        <v>1915</v>
      </c>
      <c r="C1170" s="5">
        <v>1</v>
      </c>
      <c r="D1170" s="5" t="s">
        <v>10</v>
      </c>
      <c r="E1170" t="s">
        <v>1916</v>
      </c>
      <c r="F1170" t="s">
        <v>1917</v>
      </c>
      <c r="G1170">
        <v>0</v>
      </c>
      <c r="H1170" t="s">
        <v>35</v>
      </c>
      <c r="I1170" s="2">
        <v>8000</v>
      </c>
    </row>
    <row r="1171" spans="1:9" x14ac:dyDescent="0.3">
      <c r="A1171" s="5">
        <v>9556</v>
      </c>
      <c r="B1171" s="5" t="s">
        <v>1918</v>
      </c>
      <c r="C1171" s="5">
        <v>7</v>
      </c>
      <c r="D1171" s="5" t="s">
        <v>360</v>
      </c>
      <c r="E1171" t="s">
        <v>1919</v>
      </c>
      <c r="F1171" t="s">
        <v>1920</v>
      </c>
      <c r="G1171">
        <v>0</v>
      </c>
      <c r="H1171" t="s">
        <v>363</v>
      </c>
      <c r="I1171" s="2">
        <v>7000</v>
      </c>
    </row>
    <row r="1172" spans="1:9" x14ac:dyDescent="0.3">
      <c r="A1172" s="5">
        <v>9555</v>
      </c>
      <c r="B1172" s="5" t="s">
        <v>1921</v>
      </c>
      <c r="C1172" s="5">
        <v>7</v>
      </c>
      <c r="D1172" s="5" t="s">
        <v>360</v>
      </c>
      <c r="E1172" t="s">
        <v>1922</v>
      </c>
      <c r="F1172" t="s">
        <v>1923</v>
      </c>
      <c r="G1172">
        <v>0</v>
      </c>
      <c r="H1172" t="s">
        <v>363</v>
      </c>
      <c r="I1172" s="2">
        <v>7000</v>
      </c>
    </row>
    <row r="1173" spans="1:9" x14ac:dyDescent="0.3">
      <c r="A1173" s="5">
        <v>9555</v>
      </c>
      <c r="B1173" s="5" t="s">
        <v>1921</v>
      </c>
      <c r="C1173" s="5">
        <v>7</v>
      </c>
      <c r="D1173" s="5" t="s">
        <v>360</v>
      </c>
      <c r="E1173" t="s">
        <v>1922</v>
      </c>
      <c r="F1173" t="s">
        <v>1923</v>
      </c>
      <c r="G1173">
        <v>0</v>
      </c>
      <c r="H1173" t="s">
        <v>716</v>
      </c>
      <c r="I1173" s="2">
        <v>4000</v>
      </c>
    </row>
    <row r="1174" spans="1:9" x14ac:dyDescent="0.3">
      <c r="A1174" s="5">
        <v>9554</v>
      </c>
      <c r="B1174" s="5" t="s">
        <v>1924</v>
      </c>
      <c r="C1174" s="5">
        <v>5</v>
      </c>
      <c r="D1174" s="5" t="s">
        <v>63</v>
      </c>
      <c r="E1174" t="s">
        <v>1925</v>
      </c>
      <c r="F1174" t="s">
        <v>816</v>
      </c>
      <c r="G1174">
        <v>0</v>
      </c>
      <c r="H1174" t="s">
        <v>67</v>
      </c>
      <c r="I1174" s="2">
        <v>7000</v>
      </c>
    </row>
    <row r="1175" spans="1:9" x14ac:dyDescent="0.3">
      <c r="A1175" s="5">
        <v>9554</v>
      </c>
      <c r="B1175" s="5" t="s">
        <v>1924</v>
      </c>
      <c r="C1175" s="5">
        <v>5</v>
      </c>
      <c r="D1175" s="5" t="s">
        <v>63</v>
      </c>
      <c r="E1175" t="s">
        <v>1925</v>
      </c>
      <c r="F1175" t="s">
        <v>816</v>
      </c>
      <c r="G1175">
        <v>0</v>
      </c>
      <c r="H1175" t="s">
        <v>66</v>
      </c>
      <c r="I1175" s="2">
        <v>15000</v>
      </c>
    </row>
    <row r="1176" spans="1:9" x14ac:dyDescent="0.3">
      <c r="A1176" s="5">
        <v>9553</v>
      </c>
      <c r="B1176" s="5" t="s">
        <v>1926</v>
      </c>
      <c r="C1176" s="5">
        <v>5</v>
      </c>
      <c r="D1176" s="5" t="s">
        <v>63</v>
      </c>
      <c r="E1176" t="s">
        <v>1927</v>
      </c>
      <c r="F1176" t="s">
        <v>1928</v>
      </c>
      <c r="G1176">
        <v>0</v>
      </c>
      <c r="H1176" t="s">
        <v>88</v>
      </c>
      <c r="I1176" s="2">
        <v>25000</v>
      </c>
    </row>
    <row r="1177" spans="1:9" x14ac:dyDescent="0.3">
      <c r="A1177" s="5">
        <v>9553</v>
      </c>
      <c r="B1177" s="5" t="s">
        <v>1926</v>
      </c>
      <c r="C1177" s="5">
        <v>5</v>
      </c>
      <c r="D1177" s="5" t="s">
        <v>63</v>
      </c>
      <c r="E1177" t="s">
        <v>1927</v>
      </c>
      <c r="F1177" t="s">
        <v>1928</v>
      </c>
      <c r="G1177">
        <v>0</v>
      </c>
      <c r="H1177" t="s">
        <v>67</v>
      </c>
      <c r="I1177" s="2">
        <v>8000</v>
      </c>
    </row>
    <row r="1178" spans="1:9" x14ac:dyDescent="0.3">
      <c r="A1178" s="5">
        <v>9552</v>
      </c>
      <c r="B1178" s="5" t="s">
        <v>1929</v>
      </c>
      <c r="C1178" s="5">
        <v>1</v>
      </c>
      <c r="D1178" s="5" t="s">
        <v>10</v>
      </c>
      <c r="E1178" t="s">
        <v>1930</v>
      </c>
      <c r="F1178" t="s">
        <v>1931</v>
      </c>
      <c r="G1178">
        <v>0</v>
      </c>
      <c r="H1178" t="s">
        <v>352</v>
      </c>
      <c r="I1178" s="2">
        <v>15000</v>
      </c>
    </row>
    <row r="1179" spans="1:9" x14ac:dyDescent="0.3">
      <c r="A1179" s="5">
        <v>9551</v>
      </c>
      <c r="B1179" s="5" t="s">
        <v>1932</v>
      </c>
      <c r="C1179" s="5">
        <v>1</v>
      </c>
      <c r="D1179" s="5" t="s">
        <v>10</v>
      </c>
      <c r="E1179" t="s">
        <v>1933</v>
      </c>
      <c r="F1179" t="s">
        <v>1934</v>
      </c>
      <c r="G1179">
        <v>0</v>
      </c>
      <c r="H1179" t="s">
        <v>126</v>
      </c>
      <c r="I1179" s="2">
        <v>7000</v>
      </c>
    </row>
    <row r="1180" spans="1:9" x14ac:dyDescent="0.3">
      <c r="A1180" s="5">
        <v>9551</v>
      </c>
      <c r="B1180" s="5" t="s">
        <v>1932</v>
      </c>
      <c r="C1180" s="5">
        <v>1</v>
      </c>
      <c r="D1180" s="5" t="s">
        <v>10</v>
      </c>
      <c r="E1180" t="s">
        <v>1933</v>
      </c>
      <c r="F1180" t="s">
        <v>1934</v>
      </c>
      <c r="G1180">
        <v>0</v>
      </c>
      <c r="H1180" t="s">
        <v>1935</v>
      </c>
      <c r="I1180" s="2">
        <v>7000</v>
      </c>
    </row>
    <row r="1181" spans="1:9" x14ac:dyDescent="0.3">
      <c r="A1181" s="5">
        <v>9550</v>
      </c>
      <c r="B1181" s="5" t="s">
        <v>1936</v>
      </c>
      <c r="C1181" s="5">
        <v>2</v>
      </c>
      <c r="D1181" s="5" t="s">
        <v>261</v>
      </c>
      <c r="E1181" t="s">
        <v>1937</v>
      </c>
      <c r="F1181" t="s">
        <v>1938</v>
      </c>
      <c r="G1181">
        <v>0</v>
      </c>
      <c r="H1181" t="s">
        <v>265</v>
      </c>
      <c r="I1181" s="2">
        <v>7500</v>
      </c>
    </row>
    <row r="1182" spans="1:9" x14ac:dyDescent="0.3">
      <c r="A1182" s="5">
        <v>9550</v>
      </c>
      <c r="B1182" s="5" t="s">
        <v>1936</v>
      </c>
      <c r="C1182" s="5">
        <v>2</v>
      </c>
      <c r="D1182" s="5" t="s">
        <v>261</v>
      </c>
      <c r="E1182" t="s">
        <v>1937</v>
      </c>
      <c r="F1182" t="s">
        <v>1938</v>
      </c>
      <c r="G1182">
        <v>0</v>
      </c>
      <c r="H1182" t="s">
        <v>264</v>
      </c>
      <c r="I1182" s="2">
        <v>6500</v>
      </c>
    </row>
    <row r="1183" spans="1:9" x14ac:dyDescent="0.3">
      <c r="A1183" s="5">
        <v>9549</v>
      </c>
      <c r="B1183" s="5" t="s">
        <v>1939</v>
      </c>
      <c r="C1183" s="5">
        <v>1</v>
      </c>
      <c r="D1183" s="5" t="s">
        <v>10</v>
      </c>
      <c r="E1183" t="s">
        <v>1940</v>
      </c>
      <c r="F1183" t="s">
        <v>1941</v>
      </c>
      <c r="G1183">
        <v>0</v>
      </c>
      <c r="H1183" t="s">
        <v>126</v>
      </c>
      <c r="I1183" s="2">
        <v>7000</v>
      </c>
    </row>
    <row r="1184" spans="1:9" x14ac:dyDescent="0.3">
      <c r="A1184" s="5">
        <v>9548</v>
      </c>
      <c r="B1184" s="5" t="s">
        <v>1942</v>
      </c>
      <c r="C1184" s="5">
        <v>1</v>
      </c>
      <c r="D1184" s="5" t="s">
        <v>10</v>
      </c>
      <c r="E1184" t="s">
        <v>1943</v>
      </c>
      <c r="F1184" t="s">
        <v>1944</v>
      </c>
      <c r="G1184">
        <v>0</v>
      </c>
      <c r="H1184" t="s">
        <v>259</v>
      </c>
      <c r="I1184" s="2">
        <v>6000</v>
      </c>
    </row>
    <row r="1185" spans="1:9" x14ac:dyDescent="0.3">
      <c r="A1185" s="5">
        <v>9547</v>
      </c>
      <c r="B1185" s="5" t="s">
        <v>1945</v>
      </c>
      <c r="C1185" s="5">
        <v>1</v>
      </c>
      <c r="D1185" s="5" t="s">
        <v>10</v>
      </c>
      <c r="E1185" t="s">
        <v>1946</v>
      </c>
      <c r="F1185" t="s">
        <v>1947</v>
      </c>
      <c r="G1185">
        <v>0</v>
      </c>
      <c r="H1185" t="s">
        <v>1566</v>
      </c>
      <c r="I1185" s="2">
        <v>14000</v>
      </c>
    </row>
    <row r="1186" spans="1:9" x14ac:dyDescent="0.3">
      <c r="A1186" s="5">
        <v>9547</v>
      </c>
      <c r="B1186" s="5" t="s">
        <v>1945</v>
      </c>
      <c r="C1186" s="5">
        <v>1</v>
      </c>
      <c r="D1186" s="5" t="s">
        <v>10</v>
      </c>
      <c r="E1186" t="s">
        <v>1946</v>
      </c>
      <c r="F1186" t="s">
        <v>1947</v>
      </c>
      <c r="G1186">
        <v>0</v>
      </c>
      <c r="H1186" t="s">
        <v>128</v>
      </c>
      <c r="I1186" s="2">
        <v>7000</v>
      </c>
    </row>
    <row r="1187" spans="1:9" x14ac:dyDescent="0.3">
      <c r="A1187" s="5">
        <v>9546</v>
      </c>
      <c r="B1187" s="5" t="s">
        <v>1948</v>
      </c>
      <c r="C1187" s="5">
        <v>1</v>
      </c>
      <c r="D1187" s="5" t="s">
        <v>10</v>
      </c>
      <c r="E1187" t="s">
        <v>1949</v>
      </c>
      <c r="F1187" t="s">
        <v>1950</v>
      </c>
      <c r="G1187">
        <v>0</v>
      </c>
      <c r="H1187" t="s">
        <v>128</v>
      </c>
      <c r="I1187" s="2">
        <v>8500</v>
      </c>
    </row>
    <row r="1188" spans="1:9" x14ac:dyDescent="0.3">
      <c r="A1188" s="5">
        <v>9545</v>
      </c>
      <c r="B1188" s="5" t="s">
        <v>1951</v>
      </c>
      <c r="C1188" s="5">
        <v>1</v>
      </c>
      <c r="D1188" s="5" t="s">
        <v>10</v>
      </c>
      <c r="E1188" t="s">
        <v>1952</v>
      </c>
      <c r="F1188" t="s">
        <v>1953</v>
      </c>
      <c r="G1188">
        <v>0</v>
      </c>
      <c r="H1188" t="s">
        <v>1566</v>
      </c>
      <c r="I1188" s="2">
        <v>14500</v>
      </c>
    </row>
    <row r="1189" spans="1:9" x14ac:dyDescent="0.3">
      <c r="A1189" s="5">
        <v>9544</v>
      </c>
      <c r="B1189" s="5" t="s">
        <v>1954</v>
      </c>
      <c r="C1189" s="5">
        <v>1</v>
      </c>
      <c r="D1189" s="5" t="s">
        <v>10</v>
      </c>
      <c r="E1189" t="s">
        <v>1955</v>
      </c>
      <c r="F1189" t="s">
        <v>1956</v>
      </c>
      <c r="G1189">
        <v>0</v>
      </c>
      <c r="H1189" t="s">
        <v>1957</v>
      </c>
      <c r="I1189" s="2">
        <v>8000</v>
      </c>
    </row>
    <row r="1190" spans="1:9" x14ac:dyDescent="0.3">
      <c r="A1190" s="5">
        <v>9544</v>
      </c>
      <c r="B1190" s="5" t="s">
        <v>1954</v>
      </c>
      <c r="C1190" s="5">
        <v>1</v>
      </c>
      <c r="D1190" s="5" t="s">
        <v>10</v>
      </c>
      <c r="E1190" t="s">
        <v>1955</v>
      </c>
      <c r="F1190" t="s">
        <v>1956</v>
      </c>
      <c r="G1190">
        <v>0</v>
      </c>
      <c r="H1190" t="s">
        <v>1935</v>
      </c>
      <c r="I1190" s="2">
        <v>8000</v>
      </c>
    </row>
    <row r="1191" spans="1:9" x14ac:dyDescent="0.3">
      <c r="A1191" s="5">
        <v>9543</v>
      </c>
      <c r="B1191" s="5" t="s">
        <v>1958</v>
      </c>
      <c r="C1191" s="5">
        <v>1</v>
      </c>
      <c r="D1191" s="5" t="s">
        <v>10</v>
      </c>
      <c r="E1191" t="s">
        <v>1959</v>
      </c>
      <c r="F1191" t="s">
        <v>1960</v>
      </c>
      <c r="G1191">
        <v>0</v>
      </c>
      <c r="H1191" t="s">
        <v>1961</v>
      </c>
      <c r="I1191" s="2">
        <v>21000</v>
      </c>
    </row>
    <row r="1192" spans="1:9" x14ac:dyDescent="0.3">
      <c r="A1192" s="5">
        <v>9543</v>
      </c>
      <c r="B1192" s="5" t="s">
        <v>1958</v>
      </c>
      <c r="C1192" s="5">
        <v>1</v>
      </c>
      <c r="D1192" s="5" t="s">
        <v>10</v>
      </c>
      <c r="E1192" t="s">
        <v>1959</v>
      </c>
      <c r="F1192" t="s">
        <v>1960</v>
      </c>
      <c r="G1192">
        <v>0</v>
      </c>
      <c r="H1192" t="s">
        <v>1962</v>
      </c>
      <c r="I1192" s="2">
        <v>21000</v>
      </c>
    </row>
    <row r="1193" spans="1:9" x14ac:dyDescent="0.3">
      <c r="A1193" s="5">
        <v>9542</v>
      </c>
      <c r="B1193" s="5" t="s">
        <v>1963</v>
      </c>
      <c r="C1193" s="5">
        <v>1</v>
      </c>
      <c r="D1193" s="5" t="s">
        <v>10</v>
      </c>
      <c r="E1193" t="s">
        <v>1964</v>
      </c>
      <c r="F1193" t="s">
        <v>1965</v>
      </c>
      <c r="G1193">
        <v>0</v>
      </c>
      <c r="H1193" t="s">
        <v>259</v>
      </c>
      <c r="I1193" s="2">
        <v>6500</v>
      </c>
    </row>
    <row r="1194" spans="1:9" x14ac:dyDescent="0.3">
      <c r="A1194" s="5">
        <v>9542</v>
      </c>
      <c r="B1194" s="5" t="s">
        <v>1963</v>
      </c>
      <c r="C1194" s="5">
        <v>1</v>
      </c>
      <c r="D1194" s="5" t="s">
        <v>10</v>
      </c>
      <c r="E1194" t="s">
        <v>1964</v>
      </c>
      <c r="F1194" t="s">
        <v>1965</v>
      </c>
      <c r="G1194">
        <v>0</v>
      </c>
      <c r="H1194" t="s">
        <v>259</v>
      </c>
      <c r="I1194" s="2">
        <v>6500</v>
      </c>
    </row>
    <row r="1195" spans="1:9" x14ac:dyDescent="0.3">
      <c r="A1195" s="5">
        <v>9541</v>
      </c>
      <c r="B1195" s="5" t="s">
        <v>1966</v>
      </c>
      <c r="C1195" s="5">
        <v>1</v>
      </c>
      <c r="D1195" s="5" t="s">
        <v>10</v>
      </c>
      <c r="E1195" t="s">
        <v>1967</v>
      </c>
      <c r="F1195" t="s">
        <v>1968</v>
      </c>
      <c r="G1195">
        <v>0</v>
      </c>
      <c r="H1195" t="s">
        <v>930</v>
      </c>
      <c r="I1195" s="2">
        <v>8000</v>
      </c>
    </row>
    <row r="1196" spans="1:9" x14ac:dyDescent="0.3">
      <c r="A1196" s="5">
        <v>9541</v>
      </c>
      <c r="B1196" s="5" t="s">
        <v>1966</v>
      </c>
      <c r="C1196" s="5">
        <v>1</v>
      </c>
      <c r="D1196" s="5" t="s">
        <v>10</v>
      </c>
      <c r="E1196" t="s">
        <v>1967</v>
      </c>
      <c r="F1196" t="s">
        <v>1968</v>
      </c>
      <c r="G1196">
        <v>0</v>
      </c>
      <c r="H1196" t="s">
        <v>35</v>
      </c>
      <c r="I1196" s="2">
        <v>7000</v>
      </c>
    </row>
    <row r="1197" spans="1:9" x14ac:dyDescent="0.3">
      <c r="A1197" s="5">
        <v>9540</v>
      </c>
      <c r="B1197" s="5" t="s">
        <v>1969</v>
      </c>
      <c r="C1197" s="5">
        <v>1</v>
      </c>
      <c r="D1197" s="5" t="s">
        <v>10</v>
      </c>
      <c r="E1197" t="s">
        <v>1970</v>
      </c>
      <c r="F1197" t="s">
        <v>1971</v>
      </c>
      <c r="G1197">
        <v>0</v>
      </c>
      <c r="H1197" t="s">
        <v>1972</v>
      </c>
      <c r="I1197" s="2">
        <v>13000</v>
      </c>
    </row>
    <row r="1198" spans="1:9" x14ac:dyDescent="0.3">
      <c r="A1198" s="5">
        <v>9540</v>
      </c>
      <c r="B1198" s="5" t="s">
        <v>1969</v>
      </c>
      <c r="C1198" s="5">
        <v>1</v>
      </c>
      <c r="D1198" s="5" t="s">
        <v>10</v>
      </c>
      <c r="E1198" t="s">
        <v>1970</v>
      </c>
      <c r="F1198" t="s">
        <v>1971</v>
      </c>
      <c r="G1198">
        <v>0</v>
      </c>
      <c r="H1198" t="s">
        <v>126</v>
      </c>
      <c r="I1198" s="2">
        <v>8000</v>
      </c>
    </row>
    <row r="1199" spans="1:9" x14ac:dyDescent="0.3">
      <c r="A1199" s="5">
        <v>9539</v>
      </c>
      <c r="B1199" s="5" t="s">
        <v>1973</v>
      </c>
      <c r="C1199" s="5">
        <v>7</v>
      </c>
      <c r="D1199" s="5" t="s">
        <v>360</v>
      </c>
      <c r="E1199" t="s">
        <v>1974</v>
      </c>
      <c r="F1199" t="s">
        <v>1975</v>
      </c>
      <c r="G1199">
        <v>0</v>
      </c>
      <c r="H1199" t="s">
        <v>363</v>
      </c>
      <c r="I1199" s="2">
        <v>7000</v>
      </c>
    </row>
    <row r="1200" spans="1:9" x14ac:dyDescent="0.3">
      <c r="A1200" s="5">
        <v>9539</v>
      </c>
      <c r="B1200" s="5" t="s">
        <v>1973</v>
      </c>
      <c r="C1200" s="5">
        <v>7</v>
      </c>
      <c r="D1200" s="5" t="s">
        <v>360</v>
      </c>
      <c r="E1200" t="s">
        <v>1974</v>
      </c>
      <c r="F1200" t="s">
        <v>1975</v>
      </c>
      <c r="G1200">
        <v>0</v>
      </c>
      <c r="H1200" t="s">
        <v>716</v>
      </c>
      <c r="I1200" s="2">
        <v>3000</v>
      </c>
    </row>
    <row r="1201" spans="1:9" x14ac:dyDescent="0.3">
      <c r="A1201" s="5">
        <v>9538</v>
      </c>
      <c r="B1201" s="5" t="s">
        <v>1976</v>
      </c>
      <c r="C1201" s="5">
        <v>7</v>
      </c>
      <c r="D1201" s="5" t="s">
        <v>360</v>
      </c>
      <c r="E1201" t="s">
        <v>1977</v>
      </c>
      <c r="F1201" t="s">
        <v>1978</v>
      </c>
      <c r="G1201">
        <v>0</v>
      </c>
      <c r="H1201" t="s">
        <v>363</v>
      </c>
      <c r="I1201" s="2">
        <v>7000</v>
      </c>
    </row>
    <row r="1202" spans="1:9" x14ac:dyDescent="0.3">
      <c r="A1202" s="5">
        <v>9537</v>
      </c>
      <c r="B1202" s="5" t="s">
        <v>1979</v>
      </c>
      <c r="C1202" s="5">
        <v>7</v>
      </c>
      <c r="D1202" s="5" t="s">
        <v>360</v>
      </c>
      <c r="E1202" t="s">
        <v>1980</v>
      </c>
      <c r="F1202" t="s">
        <v>1981</v>
      </c>
      <c r="G1202">
        <v>0</v>
      </c>
      <c r="H1202" t="s">
        <v>716</v>
      </c>
      <c r="I1202" s="2">
        <v>4000</v>
      </c>
    </row>
    <row r="1203" spans="1:9" x14ac:dyDescent="0.3">
      <c r="A1203" s="5">
        <v>9537</v>
      </c>
      <c r="B1203" s="5" t="s">
        <v>1979</v>
      </c>
      <c r="C1203" s="5">
        <v>7</v>
      </c>
      <c r="D1203" s="5" t="s">
        <v>360</v>
      </c>
      <c r="E1203" t="s">
        <v>1980</v>
      </c>
      <c r="F1203" t="s">
        <v>1981</v>
      </c>
      <c r="G1203">
        <v>0</v>
      </c>
      <c r="H1203" t="s">
        <v>363</v>
      </c>
      <c r="I1203" s="2">
        <v>7000</v>
      </c>
    </row>
    <row r="1204" spans="1:9" x14ac:dyDescent="0.3">
      <c r="A1204" s="5">
        <v>9536</v>
      </c>
      <c r="B1204" s="5" t="s">
        <v>1982</v>
      </c>
      <c r="C1204" s="5">
        <v>5</v>
      </c>
      <c r="D1204" s="5" t="s">
        <v>63</v>
      </c>
      <c r="E1204" t="s">
        <v>1983</v>
      </c>
      <c r="F1204" t="s">
        <v>1984</v>
      </c>
      <c r="G1204">
        <v>0</v>
      </c>
      <c r="H1204" t="s">
        <v>88</v>
      </c>
      <c r="I1204" s="2">
        <v>35000</v>
      </c>
    </row>
    <row r="1205" spans="1:9" x14ac:dyDescent="0.3">
      <c r="A1205" s="5">
        <v>9536</v>
      </c>
      <c r="B1205" s="5" t="s">
        <v>1982</v>
      </c>
      <c r="C1205" s="5">
        <v>5</v>
      </c>
      <c r="D1205" s="5" t="s">
        <v>63</v>
      </c>
      <c r="E1205" t="s">
        <v>1983</v>
      </c>
      <c r="F1205" t="s">
        <v>1984</v>
      </c>
      <c r="G1205">
        <v>0</v>
      </c>
      <c r="H1205" t="s">
        <v>67</v>
      </c>
      <c r="I1205" s="2">
        <v>13000</v>
      </c>
    </row>
    <row r="1206" spans="1:9" x14ac:dyDescent="0.3">
      <c r="A1206" s="5">
        <v>9535</v>
      </c>
      <c r="B1206" s="5" t="s">
        <v>1467</v>
      </c>
      <c r="C1206" s="5">
        <v>5</v>
      </c>
      <c r="D1206" s="5" t="s">
        <v>63</v>
      </c>
      <c r="E1206" t="s">
        <v>1985</v>
      </c>
      <c r="F1206" t="s">
        <v>1986</v>
      </c>
      <c r="G1206">
        <v>0</v>
      </c>
      <c r="H1206" t="s">
        <v>88</v>
      </c>
      <c r="I1206" s="2">
        <v>25000</v>
      </c>
    </row>
    <row r="1207" spans="1:9" x14ac:dyDescent="0.3">
      <c r="A1207" s="5">
        <v>9535</v>
      </c>
      <c r="B1207" s="5" t="s">
        <v>1467</v>
      </c>
      <c r="C1207" s="5">
        <v>5</v>
      </c>
      <c r="D1207" s="5" t="s">
        <v>63</v>
      </c>
      <c r="E1207" t="s">
        <v>1985</v>
      </c>
      <c r="F1207" t="s">
        <v>1986</v>
      </c>
      <c r="G1207">
        <v>0</v>
      </c>
      <c r="H1207" t="s">
        <v>67</v>
      </c>
      <c r="I1207" s="2">
        <v>8000</v>
      </c>
    </row>
    <row r="1208" spans="1:9" x14ac:dyDescent="0.3">
      <c r="A1208" s="5">
        <v>9534</v>
      </c>
      <c r="B1208" s="5" t="s">
        <v>1987</v>
      </c>
      <c r="C1208" s="5">
        <v>5</v>
      </c>
      <c r="D1208" s="5" t="s">
        <v>63</v>
      </c>
      <c r="E1208" t="s">
        <v>1988</v>
      </c>
      <c r="F1208" t="s">
        <v>1989</v>
      </c>
      <c r="G1208">
        <v>0</v>
      </c>
      <c r="H1208" t="s">
        <v>67</v>
      </c>
      <c r="I1208" s="2">
        <v>10000</v>
      </c>
    </row>
    <row r="1209" spans="1:9" x14ac:dyDescent="0.3">
      <c r="A1209" s="5">
        <v>9534</v>
      </c>
      <c r="B1209" s="5" t="s">
        <v>1987</v>
      </c>
      <c r="C1209" s="5">
        <v>5</v>
      </c>
      <c r="D1209" s="5" t="s">
        <v>63</v>
      </c>
      <c r="E1209" t="s">
        <v>1988</v>
      </c>
      <c r="F1209" t="s">
        <v>1989</v>
      </c>
      <c r="G1209">
        <v>0</v>
      </c>
      <c r="H1209" t="s">
        <v>88</v>
      </c>
      <c r="I1209" s="2">
        <v>30000</v>
      </c>
    </row>
    <row r="1210" spans="1:9" x14ac:dyDescent="0.3">
      <c r="A1210" s="5">
        <v>9533</v>
      </c>
      <c r="B1210" s="5" t="s">
        <v>1990</v>
      </c>
      <c r="C1210" s="5">
        <v>5</v>
      </c>
      <c r="D1210" s="5" t="s">
        <v>63</v>
      </c>
      <c r="E1210" t="s">
        <v>1991</v>
      </c>
      <c r="F1210" t="s">
        <v>1992</v>
      </c>
      <c r="G1210">
        <v>0</v>
      </c>
      <c r="H1210" t="s">
        <v>88</v>
      </c>
      <c r="I1210" s="2">
        <v>30000</v>
      </c>
    </row>
    <row r="1211" spans="1:9" x14ac:dyDescent="0.3">
      <c r="A1211" s="5">
        <v>9533</v>
      </c>
      <c r="B1211" s="5" t="s">
        <v>1990</v>
      </c>
      <c r="C1211" s="5">
        <v>5</v>
      </c>
      <c r="D1211" s="5" t="s">
        <v>63</v>
      </c>
      <c r="E1211" t="s">
        <v>1991</v>
      </c>
      <c r="F1211" t="s">
        <v>1992</v>
      </c>
      <c r="G1211">
        <v>0</v>
      </c>
      <c r="H1211" t="s">
        <v>67</v>
      </c>
      <c r="I1211" s="2">
        <v>10000</v>
      </c>
    </row>
    <row r="1212" spans="1:9" x14ac:dyDescent="0.3">
      <c r="A1212" s="5">
        <v>9532</v>
      </c>
      <c r="B1212" s="5" t="s">
        <v>1993</v>
      </c>
      <c r="C1212" s="5">
        <v>5</v>
      </c>
      <c r="D1212" s="5" t="s">
        <v>63</v>
      </c>
      <c r="E1212" t="s">
        <v>1994</v>
      </c>
      <c r="F1212" t="s">
        <v>1995</v>
      </c>
      <c r="G1212">
        <v>0</v>
      </c>
      <c r="H1212" t="s">
        <v>67</v>
      </c>
      <c r="I1212" s="2">
        <v>10000</v>
      </c>
    </row>
    <row r="1213" spans="1:9" x14ac:dyDescent="0.3">
      <c r="A1213" s="5">
        <v>9532</v>
      </c>
      <c r="B1213" s="5" t="s">
        <v>1993</v>
      </c>
      <c r="C1213" s="5">
        <v>5</v>
      </c>
      <c r="D1213" s="5" t="s">
        <v>63</v>
      </c>
      <c r="E1213" t="s">
        <v>1994</v>
      </c>
      <c r="F1213" t="s">
        <v>1995</v>
      </c>
      <c r="G1213">
        <v>0</v>
      </c>
      <c r="H1213" t="s">
        <v>88</v>
      </c>
      <c r="I1213" s="2">
        <v>30000</v>
      </c>
    </row>
    <row r="1214" spans="1:9" x14ac:dyDescent="0.3">
      <c r="A1214" s="5">
        <v>9531</v>
      </c>
      <c r="B1214" s="5" t="s">
        <v>1996</v>
      </c>
      <c r="C1214" s="5">
        <v>1</v>
      </c>
      <c r="D1214" s="5" t="s">
        <v>10</v>
      </c>
      <c r="E1214" t="s">
        <v>1997</v>
      </c>
      <c r="F1214" t="s">
        <v>1998</v>
      </c>
      <c r="G1214">
        <v>0</v>
      </c>
      <c r="H1214" t="s">
        <v>794</v>
      </c>
      <c r="I1214" s="2">
        <v>9000</v>
      </c>
    </row>
    <row r="1215" spans="1:9" x14ac:dyDescent="0.3">
      <c r="A1215" s="5">
        <v>9530</v>
      </c>
      <c r="B1215" s="5" t="s">
        <v>1999</v>
      </c>
      <c r="C1215" s="5">
        <v>1</v>
      </c>
      <c r="D1215" s="5" t="s">
        <v>10</v>
      </c>
      <c r="E1215" t="s">
        <v>2000</v>
      </c>
      <c r="F1215" t="s">
        <v>2001</v>
      </c>
      <c r="G1215">
        <v>0</v>
      </c>
      <c r="H1215" t="s">
        <v>37</v>
      </c>
      <c r="I1215" s="2">
        <v>7000</v>
      </c>
    </row>
    <row r="1216" spans="1:9" x14ac:dyDescent="0.3">
      <c r="A1216" s="5">
        <v>9530</v>
      </c>
      <c r="B1216" s="5" t="s">
        <v>1999</v>
      </c>
      <c r="C1216" s="5">
        <v>1</v>
      </c>
      <c r="D1216" s="5" t="s">
        <v>10</v>
      </c>
      <c r="E1216" t="s">
        <v>2000</v>
      </c>
      <c r="F1216" t="s">
        <v>2001</v>
      </c>
      <c r="G1216">
        <v>0</v>
      </c>
      <c r="H1216" t="s">
        <v>143</v>
      </c>
      <c r="I1216" s="2">
        <v>7000</v>
      </c>
    </row>
    <row r="1217" spans="1:9" x14ac:dyDescent="0.3">
      <c r="A1217" s="5">
        <v>9529</v>
      </c>
      <c r="B1217" s="5" t="s">
        <v>2002</v>
      </c>
      <c r="C1217" s="5">
        <v>1</v>
      </c>
      <c r="D1217" s="5" t="s">
        <v>10</v>
      </c>
      <c r="E1217" t="s">
        <v>2003</v>
      </c>
      <c r="F1217" t="s">
        <v>2004</v>
      </c>
      <c r="G1217">
        <v>0</v>
      </c>
      <c r="H1217" t="s">
        <v>794</v>
      </c>
      <c r="I1217" s="2">
        <v>7500</v>
      </c>
    </row>
    <row r="1218" spans="1:9" x14ac:dyDescent="0.3">
      <c r="A1218" s="5">
        <v>9529</v>
      </c>
      <c r="B1218" s="5" t="s">
        <v>2002</v>
      </c>
      <c r="C1218" s="5">
        <v>1</v>
      </c>
      <c r="D1218" s="5" t="s">
        <v>10</v>
      </c>
      <c r="E1218" t="s">
        <v>2003</v>
      </c>
      <c r="F1218" t="s">
        <v>2004</v>
      </c>
      <c r="G1218">
        <v>0</v>
      </c>
      <c r="H1218" t="s">
        <v>100</v>
      </c>
      <c r="I1218" s="2">
        <v>6000</v>
      </c>
    </row>
    <row r="1219" spans="1:9" x14ac:dyDescent="0.3">
      <c r="A1219" s="5">
        <v>9528</v>
      </c>
      <c r="B1219" s="5" t="s">
        <v>2005</v>
      </c>
      <c r="C1219" s="5">
        <v>1</v>
      </c>
      <c r="D1219" s="5" t="s">
        <v>10</v>
      </c>
      <c r="E1219" t="s">
        <v>2006</v>
      </c>
      <c r="F1219" t="s">
        <v>2007</v>
      </c>
      <c r="G1219">
        <v>0</v>
      </c>
      <c r="H1219" t="s">
        <v>259</v>
      </c>
      <c r="I1219" s="2">
        <v>7000</v>
      </c>
    </row>
    <row r="1220" spans="1:9" x14ac:dyDescent="0.3">
      <c r="A1220" s="5">
        <v>9528</v>
      </c>
      <c r="B1220" s="5" t="s">
        <v>2005</v>
      </c>
      <c r="C1220" s="5">
        <v>1</v>
      </c>
      <c r="D1220" s="5" t="s">
        <v>10</v>
      </c>
      <c r="E1220" t="s">
        <v>2006</v>
      </c>
      <c r="F1220" t="s">
        <v>2007</v>
      </c>
      <c r="G1220">
        <v>0</v>
      </c>
      <c r="H1220" t="s">
        <v>126</v>
      </c>
      <c r="I1220" s="2">
        <v>8000</v>
      </c>
    </row>
    <row r="1221" spans="1:9" x14ac:dyDescent="0.3">
      <c r="A1221" s="5">
        <v>9527</v>
      </c>
      <c r="B1221" s="5" t="s">
        <v>2008</v>
      </c>
      <c r="C1221" s="5">
        <v>1</v>
      </c>
      <c r="D1221" s="5" t="s">
        <v>10</v>
      </c>
      <c r="E1221" t="s">
        <v>2009</v>
      </c>
      <c r="F1221" t="s">
        <v>2010</v>
      </c>
      <c r="G1221">
        <v>0</v>
      </c>
      <c r="H1221" t="s">
        <v>2011</v>
      </c>
      <c r="I1221" s="2">
        <v>7000</v>
      </c>
    </row>
    <row r="1222" spans="1:9" x14ac:dyDescent="0.3">
      <c r="A1222" s="5">
        <v>9527</v>
      </c>
      <c r="B1222" s="5" t="s">
        <v>2008</v>
      </c>
      <c r="C1222" s="5">
        <v>1</v>
      </c>
      <c r="D1222" s="5" t="s">
        <v>10</v>
      </c>
      <c r="E1222" t="s">
        <v>2009</v>
      </c>
      <c r="F1222" t="s">
        <v>2010</v>
      </c>
      <c r="G1222">
        <v>0</v>
      </c>
      <c r="H1222" t="s">
        <v>2012</v>
      </c>
      <c r="I1222" s="2">
        <v>7000</v>
      </c>
    </row>
    <row r="1223" spans="1:9" x14ac:dyDescent="0.3">
      <c r="A1223" s="5">
        <v>9526</v>
      </c>
      <c r="B1223" s="5" t="s">
        <v>2013</v>
      </c>
      <c r="C1223" s="5">
        <v>1</v>
      </c>
      <c r="D1223" s="5" t="s">
        <v>10</v>
      </c>
      <c r="E1223" t="s">
        <v>2014</v>
      </c>
      <c r="F1223" t="s">
        <v>2015</v>
      </c>
      <c r="G1223">
        <v>0</v>
      </c>
      <c r="H1223" t="s">
        <v>2016</v>
      </c>
      <c r="I1223" s="2">
        <v>8000</v>
      </c>
    </row>
    <row r="1224" spans="1:9" x14ac:dyDescent="0.3">
      <c r="A1224" s="5">
        <v>9526</v>
      </c>
      <c r="B1224" s="5" t="s">
        <v>2013</v>
      </c>
      <c r="C1224" s="5">
        <v>1</v>
      </c>
      <c r="D1224" s="5" t="s">
        <v>10</v>
      </c>
      <c r="E1224" t="s">
        <v>2014</v>
      </c>
      <c r="F1224" t="s">
        <v>2015</v>
      </c>
      <c r="G1224">
        <v>0</v>
      </c>
      <c r="H1224" t="s">
        <v>2017</v>
      </c>
      <c r="I1224" s="2">
        <v>45000</v>
      </c>
    </row>
    <row r="1225" spans="1:9" x14ac:dyDescent="0.3">
      <c r="A1225" s="5">
        <v>9525</v>
      </c>
      <c r="B1225" s="5" t="s">
        <v>1096</v>
      </c>
      <c r="C1225" s="5">
        <v>1</v>
      </c>
      <c r="D1225" s="5" t="s">
        <v>10</v>
      </c>
      <c r="E1225" t="s">
        <v>2018</v>
      </c>
      <c r="F1225" t="s">
        <v>2019</v>
      </c>
      <c r="G1225">
        <v>0</v>
      </c>
      <c r="H1225" t="s">
        <v>1100</v>
      </c>
      <c r="I1225" s="2">
        <v>20000</v>
      </c>
    </row>
    <row r="1226" spans="1:9" x14ac:dyDescent="0.3">
      <c r="A1226" s="5">
        <v>9525</v>
      </c>
      <c r="B1226" s="5" t="s">
        <v>1096</v>
      </c>
      <c r="C1226" s="5">
        <v>1</v>
      </c>
      <c r="D1226" s="5" t="s">
        <v>10</v>
      </c>
      <c r="E1226" t="s">
        <v>2018</v>
      </c>
      <c r="F1226" t="s">
        <v>2019</v>
      </c>
      <c r="G1226">
        <v>0</v>
      </c>
      <c r="H1226" t="s">
        <v>1099</v>
      </c>
      <c r="I1226" s="2">
        <v>15000</v>
      </c>
    </row>
    <row r="1227" spans="1:9" x14ac:dyDescent="0.3">
      <c r="A1227" s="5">
        <v>9525</v>
      </c>
      <c r="B1227" s="5" t="s">
        <v>1096</v>
      </c>
      <c r="C1227" s="5">
        <v>1</v>
      </c>
      <c r="D1227" s="5" t="s">
        <v>10</v>
      </c>
      <c r="E1227" t="s">
        <v>2018</v>
      </c>
      <c r="F1227" t="s">
        <v>2019</v>
      </c>
      <c r="G1227">
        <v>0</v>
      </c>
      <c r="H1227" t="s">
        <v>2020</v>
      </c>
      <c r="I1227" s="2">
        <v>15000</v>
      </c>
    </row>
    <row r="1228" spans="1:9" x14ac:dyDescent="0.3">
      <c r="A1228" s="5">
        <v>9524</v>
      </c>
      <c r="B1228" s="5" t="s">
        <v>2021</v>
      </c>
      <c r="C1228" s="5">
        <v>1</v>
      </c>
      <c r="D1228" s="5" t="s">
        <v>10</v>
      </c>
      <c r="E1228" t="s">
        <v>2022</v>
      </c>
      <c r="F1228" t="s">
        <v>2023</v>
      </c>
      <c r="G1228">
        <v>0</v>
      </c>
      <c r="H1228" t="s">
        <v>2024</v>
      </c>
      <c r="I1228" s="2">
        <v>7500</v>
      </c>
    </row>
    <row r="1229" spans="1:9" x14ac:dyDescent="0.3">
      <c r="A1229" s="5">
        <v>9524</v>
      </c>
      <c r="B1229" s="5" t="s">
        <v>2021</v>
      </c>
      <c r="C1229" s="5">
        <v>1</v>
      </c>
      <c r="D1229" s="5" t="s">
        <v>10</v>
      </c>
      <c r="E1229" t="s">
        <v>2022</v>
      </c>
      <c r="F1229" t="s">
        <v>2023</v>
      </c>
      <c r="G1229">
        <v>0</v>
      </c>
      <c r="H1229" t="s">
        <v>37</v>
      </c>
      <c r="I1229" s="2">
        <v>7000</v>
      </c>
    </row>
    <row r="1230" spans="1:9" x14ac:dyDescent="0.3">
      <c r="A1230" s="5">
        <v>9524</v>
      </c>
      <c r="B1230" s="5" t="s">
        <v>2021</v>
      </c>
      <c r="C1230" s="5">
        <v>1</v>
      </c>
      <c r="D1230" s="5" t="s">
        <v>10</v>
      </c>
      <c r="E1230" t="s">
        <v>2022</v>
      </c>
      <c r="F1230" t="s">
        <v>2023</v>
      </c>
      <c r="G1230">
        <v>0</v>
      </c>
      <c r="H1230" t="s">
        <v>169</v>
      </c>
      <c r="I1230" s="2">
        <v>5000</v>
      </c>
    </row>
    <row r="1231" spans="1:9" x14ac:dyDescent="0.3">
      <c r="A1231" s="5">
        <v>9523</v>
      </c>
      <c r="B1231" s="5" t="s">
        <v>2025</v>
      </c>
      <c r="C1231" s="5">
        <v>1</v>
      </c>
      <c r="D1231" s="5" t="s">
        <v>10</v>
      </c>
      <c r="E1231" t="s">
        <v>2026</v>
      </c>
      <c r="F1231" t="s">
        <v>2027</v>
      </c>
      <c r="G1231">
        <v>0</v>
      </c>
      <c r="H1231" t="s">
        <v>669</v>
      </c>
      <c r="I1231" s="2">
        <v>15000</v>
      </c>
    </row>
    <row r="1232" spans="1:9" x14ac:dyDescent="0.3">
      <c r="A1232" s="5">
        <v>9523</v>
      </c>
      <c r="B1232" s="5" t="s">
        <v>2025</v>
      </c>
      <c r="C1232" s="5">
        <v>1</v>
      </c>
      <c r="D1232" s="5" t="s">
        <v>10</v>
      </c>
      <c r="E1232" t="s">
        <v>2026</v>
      </c>
      <c r="F1232" t="s">
        <v>2027</v>
      </c>
      <c r="G1232">
        <v>0</v>
      </c>
      <c r="H1232" t="s">
        <v>126</v>
      </c>
      <c r="I1232" s="2">
        <v>7000</v>
      </c>
    </row>
    <row r="1233" spans="1:9" x14ac:dyDescent="0.3">
      <c r="A1233" s="5">
        <v>9522</v>
      </c>
      <c r="B1233" s="5" t="s">
        <v>2028</v>
      </c>
      <c r="C1233" s="5">
        <v>3</v>
      </c>
      <c r="D1233" s="5" t="s">
        <v>44</v>
      </c>
      <c r="E1233" t="s">
        <v>2029</v>
      </c>
      <c r="F1233" t="s">
        <v>2030</v>
      </c>
      <c r="G1233">
        <v>0</v>
      </c>
      <c r="H1233" t="s">
        <v>1640</v>
      </c>
      <c r="I1233" s="2">
        <v>8000</v>
      </c>
    </row>
    <row r="1234" spans="1:9" x14ac:dyDescent="0.3">
      <c r="A1234" s="5">
        <v>9522</v>
      </c>
      <c r="B1234" s="5" t="s">
        <v>2028</v>
      </c>
      <c r="C1234" s="5">
        <v>3</v>
      </c>
      <c r="D1234" s="5" t="s">
        <v>44</v>
      </c>
      <c r="E1234" t="s">
        <v>2029</v>
      </c>
      <c r="F1234" t="s">
        <v>2030</v>
      </c>
      <c r="G1234">
        <v>0</v>
      </c>
      <c r="H1234" t="s">
        <v>2031</v>
      </c>
      <c r="I1234" s="2">
        <v>9000</v>
      </c>
    </row>
    <row r="1235" spans="1:9" x14ac:dyDescent="0.3">
      <c r="A1235" s="5">
        <v>9521</v>
      </c>
      <c r="B1235" s="5" t="s">
        <v>2032</v>
      </c>
      <c r="C1235" s="5">
        <v>1</v>
      </c>
      <c r="D1235" s="5" t="s">
        <v>10</v>
      </c>
      <c r="E1235" t="s">
        <v>2033</v>
      </c>
      <c r="F1235" t="s">
        <v>2034</v>
      </c>
      <c r="G1235">
        <v>0</v>
      </c>
      <c r="H1235" t="s">
        <v>2035</v>
      </c>
      <c r="I1235" s="2">
        <v>10000</v>
      </c>
    </row>
    <row r="1236" spans="1:9" x14ac:dyDescent="0.3">
      <c r="A1236" s="5">
        <v>9521</v>
      </c>
      <c r="B1236" s="5" t="s">
        <v>2032</v>
      </c>
      <c r="C1236" s="5">
        <v>1</v>
      </c>
      <c r="D1236" s="5" t="s">
        <v>10</v>
      </c>
      <c r="E1236" t="s">
        <v>2033</v>
      </c>
      <c r="F1236" t="s">
        <v>2034</v>
      </c>
      <c r="G1236">
        <v>0</v>
      </c>
      <c r="H1236" t="s">
        <v>189</v>
      </c>
      <c r="I1236" s="2">
        <v>13000</v>
      </c>
    </row>
    <row r="1237" spans="1:9" x14ac:dyDescent="0.3">
      <c r="A1237" s="5">
        <v>9520</v>
      </c>
      <c r="B1237" s="5" t="s">
        <v>2036</v>
      </c>
      <c r="C1237" s="5">
        <v>1</v>
      </c>
      <c r="D1237" s="5" t="s">
        <v>10</v>
      </c>
      <c r="E1237" t="s">
        <v>2037</v>
      </c>
      <c r="F1237" t="s">
        <v>2038</v>
      </c>
      <c r="G1237">
        <v>0</v>
      </c>
      <c r="H1237" t="s">
        <v>21</v>
      </c>
      <c r="I1237" s="2">
        <v>4000</v>
      </c>
    </row>
    <row r="1238" spans="1:9" x14ac:dyDescent="0.3">
      <c r="A1238" s="5">
        <v>9519</v>
      </c>
      <c r="B1238" s="5" t="s">
        <v>2039</v>
      </c>
      <c r="C1238" s="5">
        <v>5</v>
      </c>
      <c r="D1238" s="5" t="s">
        <v>63</v>
      </c>
      <c r="E1238" t="s">
        <v>2040</v>
      </c>
      <c r="F1238" t="s">
        <v>2041</v>
      </c>
      <c r="G1238">
        <v>0</v>
      </c>
      <c r="H1238" t="s">
        <v>88</v>
      </c>
      <c r="I1238" s="2">
        <v>35000</v>
      </c>
    </row>
    <row r="1239" spans="1:9" x14ac:dyDescent="0.3">
      <c r="A1239" s="5">
        <v>9519</v>
      </c>
      <c r="B1239" s="5" t="s">
        <v>2039</v>
      </c>
      <c r="C1239" s="5">
        <v>5</v>
      </c>
      <c r="D1239" s="5" t="s">
        <v>63</v>
      </c>
      <c r="E1239" t="s">
        <v>2040</v>
      </c>
      <c r="F1239" t="s">
        <v>2041</v>
      </c>
      <c r="G1239">
        <v>0</v>
      </c>
      <c r="H1239" t="s">
        <v>2042</v>
      </c>
      <c r="I1239" s="2">
        <v>12000</v>
      </c>
    </row>
    <row r="1240" spans="1:9" x14ac:dyDescent="0.3">
      <c r="A1240" s="5">
        <v>9518</v>
      </c>
      <c r="B1240" s="5" t="s">
        <v>2043</v>
      </c>
      <c r="C1240" s="5">
        <v>5</v>
      </c>
      <c r="D1240" s="5" t="s">
        <v>63</v>
      </c>
      <c r="E1240" t="s">
        <v>2044</v>
      </c>
      <c r="F1240" t="s">
        <v>2045</v>
      </c>
      <c r="G1240">
        <v>0</v>
      </c>
      <c r="H1240" t="s">
        <v>67</v>
      </c>
      <c r="I1240" s="2">
        <v>12000</v>
      </c>
    </row>
    <row r="1241" spans="1:9" x14ac:dyDescent="0.3">
      <c r="A1241" s="5">
        <v>9518</v>
      </c>
      <c r="B1241" s="5" t="s">
        <v>2043</v>
      </c>
      <c r="C1241" s="5">
        <v>5</v>
      </c>
      <c r="D1241" s="5" t="s">
        <v>63</v>
      </c>
      <c r="E1241" t="s">
        <v>2044</v>
      </c>
      <c r="F1241" t="s">
        <v>2045</v>
      </c>
      <c r="G1241">
        <v>0</v>
      </c>
      <c r="H1241" t="s">
        <v>88</v>
      </c>
      <c r="I1241" s="2">
        <v>40000</v>
      </c>
    </row>
    <row r="1242" spans="1:9" x14ac:dyDescent="0.3">
      <c r="A1242" s="5">
        <v>9517</v>
      </c>
      <c r="B1242" s="5" t="s">
        <v>2039</v>
      </c>
      <c r="C1242" s="5">
        <v>5</v>
      </c>
      <c r="D1242" s="5" t="s">
        <v>63</v>
      </c>
      <c r="E1242" t="s">
        <v>2046</v>
      </c>
      <c r="F1242" t="s">
        <v>2047</v>
      </c>
      <c r="G1242">
        <v>0</v>
      </c>
      <c r="H1242" t="s">
        <v>462</v>
      </c>
      <c r="I1242" s="2">
        <v>12000</v>
      </c>
    </row>
    <row r="1243" spans="1:9" x14ac:dyDescent="0.3">
      <c r="A1243" s="5">
        <v>9517</v>
      </c>
      <c r="B1243" s="5" t="s">
        <v>2039</v>
      </c>
      <c r="C1243" s="5">
        <v>5</v>
      </c>
      <c r="D1243" s="5" t="s">
        <v>63</v>
      </c>
      <c r="E1243" t="s">
        <v>2046</v>
      </c>
      <c r="F1243" t="s">
        <v>2047</v>
      </c>
      <c r="G1243">
        <v>0</v>
      </c>
      <c r="H1243" t="s">
        <v>1285</v>
      </c>
      <c r="I1243" s="2">
        <v>40000</v>
      </c>
    </row>
    <row r="1244" spans="1:9" x14ac:dyDescent="0.3">
      <c r="A1244" s="5">
        <v>9516</v>
      </c>
      <c r="B1244" s="5" t="s">
        <v>2048</v>
      </c>
      <c r="C1244" s="5">
        <v>1</v>
      </c>
      <c r="D1244" s="5" t="s">
        <v>10</v>
      </c>
      <c r="E1244" t="s">
        <v>2049</v>
      </c>
      <c r="F1244" t="s">
        <v>2050</v>
      </c>
      <c r="G1244">
        <v>0</v>
      </c>
      <c r="H1244" t="s">
        <v>1600</v>
      </c>
      <c r="I1244" s="2">
        <v>4000</v>
      </c>
    </row>
    <row r="1245" spans="1:9" x14ac:dyDescent="0.3">
      <c r="A1245" s="5">
        <v>9516</v>
      </c>
      <c r="B1245" s="5" t="s">
        <v>2048</v>
      </c>
      <c r="C1245" s="5">
        <v>1</v>
      </c>
      <c r="D1245" s="5" t="s">
        <v>10</v>
      </c>
      <c r="E1245" t="s">
        <v>2049</v>
      </c>
      <c r="F1245" t="s">
        <v>2050</v>
      </c>
      <c r="G1245">
        <v>0</v>
      </c>
      <c r="H1245" t="s">
        <v>592</v>
      </c>
      <c r="I1245" s="2">
        <v>4500</v>
      </c>
    </row>
    <row r="1246" spans="1:9" x14ac:dyDescent="0.3">
      <c r="A1246" s="5">
        <v>9516</v>
      </c>
      <c r="B1246" s="5" t="s">
        <v>2048</v>
      </c>
      <c r="C1246" s="5">
        <v>1</v>
      </c>
      <c r="D1246" s="5" t="s">
        <v>10</v>
      </c>
      <c r="E1246" t="s">
        <v>2049</v>
      </c>
      <c r="F1246" t="s">
        <v>2050</v>
      </c>
      <c r="G1246">
        <v>0</v>
      </c>
      <c r="H1246" t="s">
        <v>1590</v>
      </c>
      <c r="I1246" s="2">
        <v>1500</v>
      </c>
    </row>
    <row r="1247" spans="1:9" x14ac:dyDescent="0.3">
      <c r="A1247" s="5">
        <v>9516</v>
      </c>
      <c r="B1247" s="5" t="s">
        <v>2048</v>
      </c>
      <c r="C1247" s="5">
        <v>1</v>
      </c>
      <c r="D1247" s="5" t="s">
        <v>10</v>
      </c>
      <c r="E1247" t="s">
        <v>2049</v>
      </c>
      <c r="F1247" t="s">
        <v>2050</v>
      </c>
      <c r="G1247">
        <v>0</v>
      </c>
      <c r="H1247" t="s">
        <v>258</v>
      </c>
      <c r="I1247" s="2">
        <v>3000</v>
      </c>
    </row>
    <row r="1248" spans="1:9" x14ac:dyDescent="0.3">
      <c r="A1248" s="5">
        <v>9514</v>
      </c>
      <c r="B1248" s="5" t="s">
        <v>2051</v>
      </c>
      <c r="C1248" s="5">
        <v>4</v>
      </c>
      <c r="D1248" s="5" t="s">
        <v>39</v>
      </c>
      <c r="E1248" t="s">
        <v>2052</v>
      </c>
      <c r="F1248" t="s">
        <v>74</v>
      </c>
      <c r="G1248">
        <v>0</v>
      </c>
      <c r="H1248" t="s">
        <v>2053</v>
      </c>
      <c r="I1248" s="2">
        <v>3500</v>
      </c>
    </row>
    <row r="1249" spans="1:9" x14ac:dyDescent="0.3">
      <c r="A1249" s="5">
        <v>9514</v>
      </c>
      <c r="B1249" s="5" t="s">
        <v>2051</v>
      </c>
      <c r="C1249" s="5">
        <v>4</v>
      </c>
      <c r="D1249" s="5" t="s">
        <v>39</v>
      </c>
      <c r="E1249" t="s">
        <v>2052</v>
      </c>
      <c r="F1249" t="s">
        <v>74</v>
      </c>
      <c r="G1249">
        <v>0</v>
      </c>
      <c r="H1249" t="s">
        <v>80</v>
      </c>
      <c r="I1249" s="2">
        <v>2500</v>
      </c>
    </row>
    <row r="1250" spans="1:9" x14ac:dyDescent="0.3">
      <c r="A1250" s="5">
        <v>9513</v>
      </c>
      <c r="B1250" s="5" t="s">
        <v>2054</v>
      </c>
      <c r="C1250" s="5">
        <v>4</v>
      </c>
      <c r="D1250" s="5" t="s">
        <v>39</v>
      </c>
      <c r="E1250" t="s">
        <v>2055</v>
      </c>
      <c r="F1250" t="s">
        <v>74</v>
      </c>
      <c r="G1250">
        <v>0</v>
      </c>
      <c r="H1250" t="s">
        <v>2053</v>
      </c>
      <c r="I1250" s="2">
        <v>3000</v>
      </c>
    </row>
    <row r="1251" spans="1:9" x14ac:dyDescent="0.3">
      <c r="A1251" s="5">
        <v>9513</v>
      </c>
      <c r="B1251" s="5" t="s">
        <v>2054</v>
      </c>
      <c r="C1251" s="5">
        <v>4</v>
      </c>
      <c r="D1251" s="5" t="s">
        <v>39</v>
      </c>
      <c r="E1251" t="s">
        <v>2055</v>
      </c>
      <c r="F1251" t="s">
        <v>74</v>
      </c>
      <c r="G1251">
        <v>0</v>
      </c>
      <c r="H1251" t="s">
        <v>80</v>
      </c>
      <c r="I1251" s="2">
        <v>2000</v>
      </c>
    </row>
    <row r="1252" spans="1:9" x14ac:dyDescent="0.3">
      <c r="A1252" s="5">
        <v>9512</v>
      </c>
      <c r="B1252" s="5" t="s">
        <v>2056</v>
      </c>
      <c r="C1252" s="5">
        <v>4</v>
      </c>
      <c r="D1252" s="5" t="s">
        <v>39</v>
      </c>
      <c r="E1252" t="s">
        <v>2057</v>
      </c>
      <c r="F1252" t="s">
        <v>2058</v>
      </c>
      <c r="G1252">
        <v>0</v>
      </c>
      <c r="H1252" t="s">
        <v>320</v>
      </c>
      <c r="I1252" s="2">
        <v>15000</v>
      </c>
    </row>
    <row r="1253" spans="1:9" x14ac:dyDescent="0.3">
      <c r="A1253" s="5">
        <v>9511</v>
      </c>
      <c r="B1253" s="5" t="s">
        <v>2059</v>
      </c>
      <c r="C1253" s="5">
        <v>1</v>
      </c>
      <c r="D1253" s="5" t="s">
        <v>10</v>
      </c>
      <c r="E1253" t="s">
        <v>2060</v>
      </c>
      <c r="F1253" t="s">
        <v>2061</v>
      </c>
      <c r="G1253">
        <v>0</v>
      </c>
      <c r="H1253" t="s">
        <v>189</v>
      </c>
      <c r="I1253" s="2">
        <v>12000</v>
      </c>
    </row>
    <row r="1254" spans="1:9" x14ac:dyDescent="0.3">
      <c r="A1254" s="5">
        <v>9511</v>
      </c>
      <c r="B1254" s="5" t="s">
        <v>2059</v>
      </c>
      <c r="C1254" s="5">
        <v>1</v>
      </c>
      <c r="D1254" s="5" t="s">
        <v>10</v>
      </c>
      <c r="E1254" t="s">
        <v>2060</v>
      </c>
      <c r="F1254" t="s">
        <v>2061</v>
      </c>
      <c r="G1254">
        <v>0</v>
      </c>
      <c r="H1254" t="s">
        <v>126</v>
      </c>
      <c r="I1254" s="2">
        <v>7000</v>
      </c>
    </row>
    <row r="1255" spans="1:9" x14ac:dyDescent="0.3">
      <c r="A1255" s="5">
        <v>9511</v>
      </c>
      <c r="B1255" s="5" t="s">
        <v>2059</v>
      </c>
      <c r="C1255" s="5">
        <v>1</v>
      </c>
      <c r="D1255" s="5" t="s">
        <v>10</v>
      </c>
      <c r="E1255" t="s">
        <v>2060</v>
      </c>
      <c r="F1255" t="s">
        <v>2061</v>
      </c>
      <c r="G1255">
        <v>0</v>
      </c>
      <c r="H1255" t="s">
        <v>139</v>
      </c>
      <c r="I1255" s="2">
        <v>7000</v>
      </c>
    </row>
    <row r="1256" spans="1:9" x14ac:dyDescent="0.3">
      <c r="A1256" s="5">
        <v>9510</v>
      </c>
      <c r="B1256" s="5" t="s">
        <v>2062</v>
      </c>
      <c r="C1256" s="5">
        <v>1</v>
      </c>
      <c r="D1256" s="5" t="s">
        <v>10</v>
      </c>
      <c r="E1256" t="s">
        <v>2063</v>
      </c>
      <c r="F1256" t="s">
        <v>2064</v>
      </c>
      <c r="G1256">
        <v>0</v>
      </c>
      <c r="H1256" t="s">
        <v>229</v>
      </c>
      <c r="I1256" s="2">
        <v>8000</v>
      </c>
    </row>
    <row r="1257" spans="1:9" x14ac:dyDescent="0.3">
      <c r="A1257" s="5">
        <v>9510</v>
      </c>
      <c r="B1257" s="5" t="s">
        <v>2062</v>
      </c>
      <c r="C1257" s="5">
        <v>1</v>
      </c>
      <c r="D1257" s="5" t="s">
        <v>10</v>
      </c>
      <c r="E1257" t="s">
        <v>2063</v>
      </c>
      <c r="F1257" t="s">
        <v>2064</v>
      </c>
      <c r="G1257">
        <v>0</v>
      </c>
      <c r="H1257" t="s">
        <v>2065</v>
      </c>
      <c r="I1257" s="2">
        <v>7000</v>
      </c>
    </row>
    <row r="1258" spans="1:9" x14ac:dyDescent="0.3">
      <c r="A1258" s="5">
        <v>9509</v>
      </c>
      <c r="B1258" s="5" t="s">
        <v>2066</v>
      </c>
      <c r="C1258" s="5">
        <v>1</v>
      </c>
      <c r="D1258" s="5" t="s">
        <v>10</v>
      </c>
      <c r="E1258" t="s">
        <v>2067</v>
      </c>
      <c r="F1258" t="s">
        <v>2068</v>
      </c>
      <c r="G1258">
        <v>0</v>
      </c>
      <c r="H1258" t="s">
        <v>37</v>
      </c>
      <c r="I1258" s="2">
        <v>5000</v>
      </c>
    </row>
    <row r="1259" spans="1:9" x14ac:dyDescent="0.3">
      <c r="A1259" s="5">
        <v>9509</v>
      </c>
      <c r="B1259" s="5" t="s">
        <v>2066</v>
      </c>
      <c r="C1259" s="5">
        <v>1</v>
      </c>
      <c r="D1259" s="5" t="s">
        <v>10</v>
      </c>
      <c r="E1259" t="s">
        <v>2067</v>
      </c>
      <c r="F1259" t="s">
        <v>2068</v>
      </c>
      <c r="G1259">
        <v>0</v>
      </c>
      <c r="H1259" t="s">
        <v>2069</v>
      </c>
      <c r="I1259" s="2">
        <v>35000</v>
      </c>
    </row>
    <row r="1260" spans="1:9" x14ac:dyDescent="0.3">
      <c r="A1260" s="5">
        <v>9509</v>
      </c>
      <c r="B1260" s="5" t="s">
        <v>2066</v>
      </c>
      <c r="C1260" s="5">
        <v>1</v>
      </c>
      <c r="D1260" s="5" t="s">
        <v>10</v>
      </c>
      <c r="E1260" t="s">
        <v>2067</v>
      </c>
      <c r="F1260" t="s">
        <v>2068</v>
      </c>
      <c r="G1260">
        <v>0</v>
      </c>
      <c r="H1260" t="s">
        <v>21</v>
      </c>
      <c r="I1260" s="2">
        <v>5000</v>
      </c>
    </row>
    <row r="1261" spans="1:9" x14ac:dyDescent="0.3">
      <c r="A1261" s="5">
        <v>9508</v>
      </c>
      <c r="B1261" s="5" t="s">
        <v>2070</v>
      </c>
      <c r="C1261" s="5">
        <v>1</v>
      </c>
      <c r="D1261" s="5" t="s">
        <v>10</v>
      </c>
      <c r="E1261" t="s">
        <v>2071</v>
      </c>
      <c r="F1261" t="s">
        <v>2072</v>
      </c>
      <c r="G1261">
        <v>0</v>
      </c>
      <c r="H1261" t="s">
        <v>2073</v>
      </c>
      <c r="I1261" s="2">
        <v>7000</v>
      </c>
    </row>
    <row r="1262" spans="1:9" x14ac:dyDescent="0.3">
      <c r="A1262" s="5">
        <v>9508</v>
      </c>
      <c r="B1262" s="5" t="s">
        <v>2070</v>
      </c>
      <c r="C1262" s="5">
        <v>1</v>
      </c>
      <c r="D1262" s="5" t="s">
        <v>10</v>
      </c>
      <c r="E1262" t="s">
        <v>2071</v>
      </c>
      <c r="F1262" t="s">
        <v>2072</v>
      </c>
      <c r="G1262">
        <v>0</v>
      </c>
      <c r="H1262" t="s">
        <v>2074</v>
      </c>
      <c r="I1262" s="2">
        <v>9900</v>
      </c>
    </row>
    <row r="1263" spans="1:9" x14ac:dyDescent="0.3">
      <c r="A1263" s="5">
        <v>9507</v>
      </c>
      <c r="B1263" s="5" t="s">
        <v>2075</v>
      </c>
      <c r="C1263" s="5">
        <v>5</v>
      </c>
      <c r="D1263" s="5" t="s">
        <v>63</v>
      </c>
      <c r="E1263" t="s">
        <v>2076</v>
      </c>
      <c r="F1263" t="s">
        <v>2077</v>
      </c>
      <c r="G1263">
        <v>0</v>
      </c>
      <c r="H1263" t="s">
        <v>2078</v>
      </c>
      <c r="I1263" s="2">
        <v>5000</v>
      </c>
    </row>
    <row r="1264" spans="1:9" x14ac:dyDescent="0.3">
      <c r="A1264" s="5">
        <v>9507</v>
      </c>
      <c r="B1264" s="5" t="s">
        <v>2075</v>
      </c>
      <c r="C1264" s="5">
        <v>5</v>
      </c>
      <c r="D1264" s="5" t="s">
        <v>63</v>
      </c>
      <c r="E1264" t="s">
        <v>2076</v>
      </c>
      <c r="F1264" t="s">
        <v>2077</v>
      </c>
      <c r="G1264">
        <v>0</v>
      </c>
      <c r="H1264" t="s">
        <v>88</v>
      </c>
      <c r="I1264" s="2">
        <v>25000</v>
      </c>
    </row>
    <row r="1265" spans="1:9" x14ac:dyDescent="0.3">
      <c r="A1265" s="5">
        <v>9507</v>
      </c>
      <c r="B1265" s="5" t="s">
        <v>2075</v>
      </c>
      <c r="C1265" s="5">
        <v>5</v>
      </c>
      <c r="D1265" s="5" t="s">
        <v>63</v>
      </c>
      <c r="E1265" t="s">
        <v>2076</v>
      </c>
      <c r="F1265" t="s">
        <v>2077</v>
      </c>
      <c r="G1265">
        <v>0</v>
      </c>
      <c r="H1265" t="s">
        <v>1105</v>
      </c>
      <c r="I1265" s="2">
        <v>6000</v>
      </c>
    </row>
    <row r="1266" spans="1:9" x14ac:dyDescent="0.3">
      <c r="A1266" s="5">
        <v>9506</v>
      </c>
      <c r="B1266" s="5" t="s">
        <v>2079</v>
      </c>
      <c r="C1266" s="5">
        <v>1</v>
      </c>
      <c r="D1266" s="5" t="s">
        <v>10</v>
      </c>
      <c r="E1266" t="s">
        <v>2080</v>
      </c>
      <c r="F1266" t="s">
        <v>2081</v>
      </c>
      <c r="G1266">
        <v>0</v>
      </c>
      <c r="H1266" t="s">
        <v>126</v>
      </c>
      <c r="I1266" s="2">
        <v>8000</v>
      </c>
    </row>
    <row r="1267" spans="1:9" x14ac:dyDescent="0.3">
      <c r="A1267" s="5">
        <v>9506</v>
      </c>
      <c r="B1267" s="5" t="s">
        <v>2079</v>
      </c>
      <c r="C1267" s="5">
        <v>1</v>
      </c>
      <c r="D1267" s="5" t="s">
        <v>10</v>
      </c>
      <c r="E1267" t="s">
        <v>2080</v>
      </c>
      <c r="F1267" t="s">
        <v>2081</v>
      </c>
      <c r="G1267">
        <v>0</v>
      </c>
      <c r="H1267" t="s">
        <v>126</v>
      </c>
      <c r="I1267" s="2">
        <v>7000</v>
      </c>
    </row>
    <row r="1268" spans="1:9" x14ac:dyDescent="0.3">
      <c r="A1268" s="5">
        <v>9506</v>
      </c>
      <c r="B1268" s="5" t="s">
        <v>2079</v>
      </c>
      <c r="C1268" s="5">
        <v>1</v>
      </c>
      <c r="D1268" s="5" t="s">
        <v>10</v>
      </c>
      <c r="E1268" t="s">
        <v>2080</v>
      </c>
      <c r="F1268" t="s">
        <v>2081</v>
      </c>
      <c r="G1268">
        <v>0</v>
      </c>
      <c r="H1268" t="s">
        <v>139</v>
      </c>
      <c r="I1268" s="2">
        <v>7000</v>
      </c>
    </row>
    <row r="1269" spans="1:9" x14ac:dyDescent="0.3">
      <c r="A1269" s="5">
        <v>9505</v>
      </c>
      <c r="B1269" s="5" t="s">
        <v>2082</v>
      </c>
      <c r="C1269" s="5">
        <v>1</v>
      </c>
      <c r="D1269" s="5" t="s">
        <v>10</v>
      </c>
      <c r="E1269" t="s">
        <v>2083</v>
      </c>
      <c r="F1269" t="s">
        <v>2084</v>
      </c>
      <c r="G1269">
        <v>0</v>
      </c>
      <c r="H1269" t="s">
        <v>2085</v>
      </c>
      <c r="I1269" s="2">
        <v>11000</v>
      </c>
    </row>
    <row r="1270" spans="1:9" x14ac:dyDescent="0.3">
      <c r="A1270" s="5">
        <v>9505</v>
      </c>
      <c r="B1270" s="5" t="s">
        <v>2082</v>
      </c>
      <c r="C1270" s="5">
        <v>1</v>
      </c>
      <c r="D1270" s="5" t="s">
        <v>10</v>
      </c>
      <c r="E1270" t="s">
        <v>2083</v>
      </c>
      <c r="F1270" t="s">
        <v>2084</v>
      </c>
      <c r="G1270">
        <v>0</v>
      </c>
      <c r="H1270" t="s">
        <v>2086</v>
      </c>
      <c r="I1270" s="2">
        <v>11250</v>
      </c>
    </row>
    <row r="1271" spans="1:9" x14ac:dyDescent="0.3">
      <c r="A1271" s="5">
        <v>9504</v>
      </c>
      <c r="B1271" s="5" t="s">
        <v>2087</v>
      </c>
      <c r="C1271" s="5">
        <v>3</v>
      </c>
      <c r="D1271" s="5" t="s">
        <v>44</v>
      </c>
      <c r="E1271" t="s">
        <v>2088</v>
      </c>
      <c r="F1271" t="s">
        <v>2089</v>
      </c>
      <c r="G1271">
        <v>0</v>
      </c>
      <c r="H1271" t="s">
        <v>2090</v>
      </c>
      <c r="I1271" s="2">
        <v>7000</v>
      </c>
    </row>
    <row r="1272" spans="1:9" x14ac:dyDescent="0.3">
      <c r="A1272" s="5">
        <v>9504</v>
      </c>
      <c r="B1272" s="5" t="s">
        <v>2087</v>
      </c>
      <c r="C1272" s="5">
        <v>3</v>
      </c>
      <c r="D1272" s="5" t="s">
        <v>44</v>
      </c>
      <c r="E1272" t="s">
        <v>2088</v>
      </c>
      <c r="F1272" t="s">
        <v>2089</v>
      </c>
      <c r="G1272">
        <v>0</v>
      </c>
      <c r="H1272" t="s">
        <v>2090</v>
      </c>
      <c r="I1272" s="2">
        <v>10500</v>
      </c>
    </row>
    <row r="1273" spans="1:9" x14ac:dyDescent="0.3">
      <c r="A1273" s="5">
        <v>9504</v>
      </c>
      <c r="B1273" s="5" t="s">
        <v>2087</v>
      </c>
      <c r="C1273" s="5">
        <v>3</v>
      </c>
      <c r="D1273" s="5" t="s">
        <v>44</v>
      </c>
      <c r="E1273" t="s">
        <v>2088</v>
      </c>
      <c r="F1273" t="s">
        <v>2089</v>
      </c>
      <c r="G1273">
        <v>0</v>
      </c>
      <c r="H1273" t="s">
        <v>2091</v>
      </c>
      <c r="I1273" s="2">
        <v>7000</v>
      </c>
    </row>
    <row r="1274" spans="1:9" x14ac:dyDescent="0.3">
      <c r="A1274" s="5">
        <v>9503</v>
      </c>
      <c r="B1274" s="5" t="s">
        <v>2092</v>
      </c>
      <c r="C1274" s="5">
        <v>1</v>
      </c>
      <c r="D1274" s="5" t="s">
        <v>10</v>
      </c>
      <c r="E1274" t="s">
        <v>2093</v>
      </c>
      <c r="F1274" t="s">
        <v>2094</v>
      </c>
      <c r="G1274">
        <v>0</v>
      </c>
      <c r="H1274" t="s">
        <v>2095</v>
      </c>
      <c r="I1274" s="2">
        <v>5500</v>
      </c>
    </row>
    <row r="1275" spans="1:9" x14ac:dyDescent="0.3">
      <c r="A1275" s="5">
        <v>9503</v>
      </c>
      <c r="B1275" s="5" t="s">
        <v>2092</v>
      </c>
      <c r="C1275" s="5">
        <v>1</v>
      </c>
      <c r="D1275" s="5" t="s">
        <v>10</v>
      </c>
      <c r="E1275" t="s">
        <v>2093</v>
      </c>
      <c r="F1275" t="s">
        <v>2094</v>
      </c>
      <c r="G1275">
        <v>0</v>
      </c>
      <c r="H1275" t="s">
        <v>2095</v>
      </c>
      <c r="I1275" s="2">
        <v>5500</v>
      </c>
    </row>
    <row r="1276" spans="1:9" x14ac:dyDescent="0.3">
      <c r="A1276" s="5">
        <v>9503</v>
      </c>
      <c r="B1276" s="5" t="s">
        <v>2092</v>
      </c>
      <c r="C1276" s="5">
        <v>1</v>
      </c>
      <c r="D1276" s="5" t="s">
        <v>10</v>
      </c>
      <c r="E1276" t="s">
        <v>2093</v>
      </c>
      <c r="F1276" t="s">
        <v>2094</v>
      </c>
      <c r="G1276">
        <v>0</v>
      </c>
      <c r="H1276" t="s">
        <v>145</v>
      </c>
      <c r="I1276" s="2">
        <v>4900</v>
      </c>
    </row>
    <row r="1277" spans="1:9" x14ac:dyDescent="0.3">
      <c r="A1277" s="5">
        <v>9502</v>
      </c>
      <c r="B1277" s="5" t="s">
        <v>2096</v>
      </c>
      <c r="C1277" s="5">
        <v>1</v>
      </c>
      <c r="D1277" s="5" t="s">
        <v>10</v>
      </c>
      <c r="E1277" t="s">
        <v>2097</v>
      </c>
      <c r="F1277" t="s">
        <v>2098</v>
      </c>
      <c r="G1277">
        <v>0</v>
      </c>
      <c r="H1277" t="s">
        <v>126</v>
      </c>
      <c r="I1277" s="2">
        <v>7000</v>
      </c>
    </row>
    <row r="1278" spans="1:9" x14ac:dyDescent="0.3">
      <c r="A1278" s="5">
        <v>9502</v>
      </c>
      <c r="B1278" s="5" t="s">
        <v>2096</v>
      </c>
      <c r="C1278" s="5">
        <v>1</v>
      </c>
      <c r="D1278" s="5" t="s">
        <v>10</v>
      </c>
      <c r="E1278" t="s">
        <v>2097</v>
      </c>
      <c r="F1278" t="s">
        <v>2098</v>
      </c>
      <c r="G1278">
        <v>0</v>
      </c>
      <c r="H1278" t="s">
        <v>133</v>
      </c>
      <c r="I1278" s="2">
        <v>6500</v>
      </c>
    </row>
    <row r="1279" spans="1:9" x14ac:dyDescent="0.3">
      <c r="A1279" s="5">
        <v>9502</v>
      </c>
      <c r="B1279" s="5" t="s">
        <v>2096</v>
      </c>
      <c r="C1279" s="5">
        <v>1</v>
      </c>
      <c r="D1279" s="5" t="s">
        <v>10</v>
      </c>
      <c r="E1279" t="s">
        <v>2097</v>
      </c>
      <c r="F1279" t="s">
        <v>2098</v>
      </c>
      <c r="G1279">
        <v>0</v>
      </c>
      <c r="H1279" t="s">
        <v>139</v>
      </c>
      <c r="I1279" s="2">
        <v>6500</v>
      </c>
    </row>
    <row r="1280" spans="1:9" x14ac:dyDescent="0.3">
      <c r="A1280" s="5">
        <v>9501</v>
      </c>
      <c r="B1280" s="5" t="s">
        <v>2099</v>
      </c>
      <c r="C1280" s="5">
        <v>1</v>
      </c>
      <c r="D1280" s="5" t="s">
        <v>10</v>
      </c>
      <c r="E1280" t="s">
        <v>2100</v>
      </c>
      <c r="F1280" t="s">
        <v>2101</v>
      </c>
      <c r="G1280">
        <v>0</v>
      </c>
      <c r="H1280" t="s">
        <v>1343</v>
      </c>
      <c r="I1280" s="2">
        <v>7000</v>
      </c>
    </row>
    <row r="1281" spans="1:9" x14ac:dyDescent="0.3">
      <c r="A1281" s="5">
        <v>9501</v>
      </c>
      <c r="B1281" s="5" t="s">
        <v>2099</v>
      </c>
      <c r="C1281" s="5">
        <v>1</v>
      </c>
      <c r="D1281" s="5" t="s">
        <v>10</v>
      </c>
      <c r="E1281" t="s">
        <v>2100</v>
      </c>
      <c r="F1281" t="s">
        <v>2101</v>
      </c>
      <c r="G1281">
        <v>0</v>
      </c>
      <c r="H1281" t="s">
        <v>21</v>
      </c>
      <c r="I1281" s="2">
        <v>7000</v>
      </c>
    </row>
    <row r="1282" spans="1:9" x14ac:dyDescent="0.3">
      <c r="A1282" s="5">
        <v>9501</v>
      </c>
      <c r="B1282" s="5" t="s">
        <v>2099</v>
      </c>
      <c r="C1282" s="5">
        <v>1</v>
      </c>
      <c r="D1282" s="5" t="s">
        <v>10</v>
      </c>
      <c r="E1282" t="s">
        <v>2100</v>
      </c>
      <c r="F1282" t="s">
        <v>2101</v>
      </c>
      <c r="G1282">
        <v>0</v>
      </c>
      <c r="H1282" t="s">
        <v>217</v>
      </c>
      <c r="I1282" s="2">
        <v>11000</v>
      </c>
    </row>
    <row r="1283" spans="1:9" x14ac:dyDescent="0.3">
      <c r="A1283" s="5">
        <v>9500</v>
      </c>
      <c r="B1283" s="5" t="s">
        <v>2102</v>
      </c>
      <c r="C1283" s="5">
        <v>1</v>
      </c>
      <c r="D1283" s="5" t="s">
        <v>10</v>
      </c>
      <c r="E1283" t="s">
        <v>2103</v>
      </c>
      <c r="F1283" t="s">
        <v>2104</v>
      </c>
      <c r="G1283">
        <v>0</v>
      </c>
      <c r="H1283" t="s">
        <v>2105</v>
      </c>
      <c r="I1283" s="2">
        <v>35000</v>
      </c>
    </row>
    <row r="1284" spans="1:9" x14ac:dyDescent="0.3">
      <c r="A1284" s="5">
        <v>9499</v>
      </c>
      <c r="B1284" s="5" t="s">
        <v>2106</v>
      </c>
      <c r="C1284" s="5">
        <v>13</v>
      </c>
      <c r="D1284" s="5" t="s">
        <v>27</v>
      </c>
      <c r="E1284" t="s">
        <v>2107</v>
      </c>
      <c r="F1284" t="s">
        <v>2108</v>
      </c>
      <c r="G1284">
        <v>0</v>
      </c>
      <c r="H1284" t="s">
        <v>633</v>
      </c>
      <c r="I1284" s="2">
        <v>10000</v>
      </c>
    </row>
    <row r="1285" spans="1:9" x14ac:dyDescent="0.3">
      <c r="A1285" s="5">
        <v>9498</v>
      </c>
      <c r="B1285" s="5" t="s">
        <v>2109</v>
      </c>
      <c r="C1285" s="5">
        <v>13</v>
      </c>
      <c r="D1285" s="5" t="s">
        <v>27</v>
      </c>
      <c r="E1285" t="s">
        <v>2110</v>
      </c>
      <c r="F1285" t="s">
        <v>2111</v>
      </c>
      <c r="G1285">
        <v>0</v>
      </c>
      <c r="H1285" t="s">
        <v>1665</v>
      </c>
      <c r="I1285" s="2">
        <v>400</v>
      </c>
    </row>
    <row r="1286" spans="1:9" x14ac:dyDescent="0.3">
      <c r="A1286" s="5">
        <v>9498</v>
      </c>
      <c r="B1286" s="5" t="s">
        <v>2109</v>
      </c>
      <c r="C1286" s="5">
        <v>13</v>
      </c>
      <c r="D1286" s="5" t="s">
        <v>27</v>
      </c>
      <c r="E1286" t="s">
        <v>2110</v>
      </c>
      <c r="F1286" t="s">
        <v>2111</v>
      </c>
      <c r="G1286">
        <v>0</v>
      </c>
      <c r="H1286" t="s">
        <v>633</v>
      </c>
      <c r="I1286" s="2">
        <v>10000</v>
      </c>
    </row>
    <row r="1287" spans="1:9" x14ac:dyDescent="0.3">
      <c r="A1287" s="5">
        <v>9497</v>
      </c>
      <c r="B1287" s="5" t="s">
        <v>2112</v>
      </c>
      <c r="C1287" s="5">
        <v>1</v>
      </c>
      <c r="D1287" s="5" t="s">
        <v>10</v>
      </c>
      <c r="E1287" t="s">
        <v>2113</v>
      </c>
      <c r="F1287" t="s">
        <v>2114</v>
      </c>
      <c r="G1287">
        <v>0</v>
      </c>
      <c r="H1287" t="s">
        <v>217</v>
      </c>
      <c r="I1287" s="2">
        <v>15000</v>
      </c>
    </row>
    <row r="1288" spans="1:9" x14ac:dyDescent="0.3">
      <c r="A1288" s="5">
        <v>9497</v>
      </c>
      <c r="B1288" s="5" t="s">
        <v>2112</v>
      </c>
      <c r="C1288" s="5">
        <v>1</v>
      </c>
      <c r="D1288" s="5" t="s">
        <v>10</v>
      </c>
      <c r="E1288" t="s">
        <v>2113</v>
      </c>
      <c r="F1288" t="s">
        <v>2114</v>
      </c>
      <c r="G1288">
        <v>0</v>
      </c>
      <c r="H1288" t="s">
        <v>2115</v>
      </c>
      <c r="I1288" s="2">
        <v>7000</v>
      </c>
    </row>
    <row r="1289" spans="1:9" x14ac:dyDescent="0.3">
      <c r="A1289" s="5">
        <v>9497</v>
      </c>
      <c r="B1289" s="5" t="s">
        <v>2112</v>
      </c>
      <c r="C1289" s="5">
        <v>1</v>
      </c>
      <c r="D1289" s="5" t="s">
        <v>10</v>
      </c>
      <c r="E1289" t="s">
        <v>2113</v>
      </c>
      <c r="F1289" t="s">
        <v>2114</v>
      </c>
      <c r="G1289">
        <v>0</v>
      </c>
      <c r="H1289" t="s">
        <v>2116</v>
      </c>
      <c r="I1289" s="2">
        <v>15000</v>
      </c>
    </row>
    <row r="1290" spans="1:9" x14ac:dyDescent="0.3">
      <c r="A1290" s="5">
        <v>9497</v>
      </c>
      <c r="B1290" s="5" t="s">
        <v>2112</v>
      </c>
      <c r="C1290" s="5">
        <v>1</v>
      </c>
      <c r="D1290" s="5" t="s">
        <v>10</v>
      </c>
      <c r="E1290" t="s">
        <v>2113</v>
      </c>
      <c r="F1290" t="s">
        <v>2114</v>
      </c>
      <c r="G1290">
        <v>0</v>
      </c>
      <c r="H1290" t="s">
        <v>139</v>
      </c>
      <c r="I1290" s="2">
        <v>8000</v>
      </c>
    </row>
    <row r="1291" spans="1:9" x14ac:dyDescent="0.3">
      <c r="A1291" s="5">
        <v>9496</v>
      </c>
      <c r="B1291" s="5" t="s">
        <v>2117</v>
      </c>
      <c r="C1291" s="5">
        <v>1</v>
      </c>
      <c r="D1291" s="5" t="s">
        <v>10</v>
      </c>
      <c r="E1291" t="s">
        <v>2118</v>
      </c>
      <c r="F1291" t="s">
        <v>2119</v>
      </c>
      <c r="G1291">
        <v>0</v>
      </c>
      <c r="H1291" t="s">
        <v>2120</v>
      </c>
      <c r="I1291" s="2">
        <v>26000</v>
      </c>
    </row>
    <row r="1292" spans="1:9" x14ac:dyDescent="0.3">
      <c r="A1292" s="5">
        <v>9496</v>
      </c>
      <c r="B1292" s="5" t="s">
        <v>2117</v>
      </c>
      <c r="C1292" s="5">
        <v>1</v>
      </c>
      <c r="D1292" s="5" t="s">
        <v>10</v>
      </c>
      <c r="E1292" t="s">
        <v>2118</v>
      </c>
      <c r="F1292" t="s">
        <v>2119</v>
      </c>
      <c r="G1292">
        <v>0</v>
      </c>
      <c r="H1292" t="s">
        <v>217</v>
      </c>
      <c r="I1292" s="2">
        <v>12000</v>
      </c>
    </row>
    <row r="1293" spans="1:9" x14ac:dyDescent="0.3">
      <c r="A1293" s="5">
        <v>9496</v>
      </c>
      <c r="B1293" s="5" t="s">
        <v>2117</v>
      </c>
      <c r="C1293" s="5">
        <v>1</v>
      </c>
      <c r="D1293" s="5" t="s">
        <v>10</v>
      </c>
      <c r="E1293" t="s">
        <v>2118</v>
      </c>
      <c r="F1293" t="s">
        <v>2119</v>
      </c>
      <c r="G1293">
        <v>0</v>
      </c>
      <c r="H1293" t="s">
        <v>2121</v>
      </c>
      <c r="I1293" s="2">
        <v>25000</v>
      </c>
    </row>
    <row r="1294" spans="1:9" x14ac:dyDescent="0.3">
      <c r="A1294" s="5">
        <v>9496</v>
      </c>
      <c r="B1294" s="5" t="s">
        <v>2117</v>
      </c>
      <c r="C1294" s="5">
        <v>1</v>
      </c>
      <c r="D1294" s="5" t="s">
        <v>10</v>
      </c>
      <c r="E1294" t="s">
        <v>2118</v>
      </c>
      <c r="F1294" t="s">
        <v>2119</v>
      </c>
      <c r="G1294">
        <v>0</v>
      </c>
      <c r="H1294" t="s">
        <v>2122</v>
      </c>
      <c r="I1294" s="2">
        <v>13000</v>
      </c>
    </row>
    <row r="1295" spans="1:9" x14ac:dyDescent="0.3">
      <c r="A1295" s="5">
        <v>9495</v>
      </c>
      <c r="B1295" s="5" t="s">
        <v>2123</v>
      </c>
      <c r="C1295" s="5">
        <v>5</v>
      </c>
      <c r="D1295" s="5" t="s">
        <v>63</v>
      </c>
      <c r="E1295" t="s">
        <v>2124</v>
      </c>
      <c r="F1295" t="s">
        <v>2125</v>
      </c>
      <c r="G1295">
        <v>0</v>
      </c>
      <c r="H1295" t="s">
        <v>2126</v>
      </c>
      <c r="I1295" s="2">
        <v>20000</v>
      </c>
    </row>
    <row r="1296" spans="1:9" x14ac:dyDescent="0.3">
      <c r="A1296" s="5">
        <v>9495</v>
      </c>
      <c r="B1296" s="5" t="s">
        <v>2123</v>
      </c>
      <c r="C1296" s="5">
        <v>5</v>
      </c>
      <c r="D1296" s="5" t="s">
        <v>63</v>
      </c>
      <c r="E1296" t="s">
        <v>2124</v>
      </c>
      <c r="F1296" t="s">
        <v>2125</v>
      </c>
      <c r="G1296">
        <v>0</v>
      </c>
      <c r="H1296" t="s">
        <v>67</v>
      </c>
      <c r="I1296" s="2">
        <v>6000</v>
      </c>
    </row>
    <row r="1297" spans="1:9" x14ac:dyDescent="0.3">
      <c r="A1297" s="5">
        <v>9494</v>
      </c>
      <c r="B1297" s="5" t="s">
        <v>2127</v>
      </c>
      <c r="C1297" s="5">
        <v>5</v>
      </c>
      <c r="D1297" s="5" t="s">
        <v>63</v>
      </c>
      <c r="E1297" t="s">
        <v>2128</v>
      </c>
      <c r="F1297" t="s">
        <v>2129</v>
      </c>
      <c r="G1297">
        <v>0</v>
      </c>
      <c r="H1297" t="s">
        <v>67</v>
      </c>
      <c r="I1297" s="2">
        <v>10000</v>
      </c>
    </row>
    <row r="1298" spans="1:9" x14ac:dyDescent="0.3">
      <c r="A1298" s="5">
        <v>9494</v>
      </c>
      <c r="B1298" s="5" t="s">
        <v>2127</v>
      </c>
      <c r="C1298" s="5">
        <v>5</v>
      </c>
      <c r="D1298" s="5" t="s">
        <v>63</v>
      </c>
      <c r="E1298" t="s">
        <v>2128</v>
      </c>
      <c r="F1298" t="s">
        <v>2129</v>
      </c>
      <c r="G1298">
        <v>0</v>
      </c>
      <c r="H1298" t="s">
        <v>458</v>
      </c>
      <c r="I1298" s="2">
        <v>10000</v>
      </c>
    </row>
    <row r="1299" spans="1:9" x14ac:dyDescent="0.3">
      <c r="A1299" s="5">
        <v>9494</v>
      </c>
      <c r="B1299" s="5" t="s">
        <v>2127</v>
      </c>
      <c r="C1299" s="5">
        <v>5</v>
      </c>
      <c r="D1299" s="5" t="s">
        <v>63</v>
      </c>
      <c r="E1299" t="s">
        <v>2128</v>
      </c>
      <c r="F1299" t="s">
        <v>2129</v>
      </c>
      <c r="G1299">
        <v>0</v>
      </c>
      <c r="H1299" t="s">
        <v>2126</v>
      </c>
      <c r="I1299" s="2">
        <v>20000</v>
      </c>
    </row>
    <row r="1300" spans="1:9" x14ac:dyDescent="0.3">
      <c r="A1300" s="5">
        <v>9494</v>
      </c>
      <c r="B1300" s="5" t="s">
        <v>2127</v>
      </c>
      <c r="C1300" s="5">
        <v>5</v>
      </c>
      <c r="D1300" s="5" t="s">
        <v>63</v>
      </c>
      <c r="E1300" t="s">
        <v>2128</v>
      </c>
      <c r="F1300" t="s">
        <v>2129</v>
      </c>
      <c r="G1300">
        <v>0</v>
      </c>
      <c r="H1300" t="s">
        <v>88</v>
      </c>
      <c r="I1300" s="2">
        <v>20000</v>
      </c>
    </row>
    <row r="1301" spans="1:9" x14ac:dyDescent="0.3">
      <c r="A1301" s="5">
        <v>9493</v>
      </c>
      <c r="B1301" s="5" t="s">
        <v>2130</v>
      </c>
      <c r="C1301" s="5">
        <v>7</v>
      </c>
      <c r="D1301" s="5" t="s">
        <v>360</v>
      </c>
      <c r="E1301" t="s">
        <v>2131</v>
      </c>
      <c r="F1301" t="s">
        <v>2132</v>
      </c>
      <c r="G1301">
        <v>0</v>
      </c>
      <c r="H1301" t="s">
        <v>2133</v>
      </c>
      <c r="I1301" s="2">
        <v>3000</v>
      </c>
    </row>
    <row r="1302" spans="1:9" x14ac:dyDescent="0.3">
      <c r="A1302" s="5">
        <v>9493</v>
      </c>
      <c r="B1302" s="5" t="s">
        <v>2130</v>
      </c>
      <c r="C1302" s="5">
        <v>7</v>
      </c>
      <c r="D1302" s="5" t="s">
        <v>360</v>
      </c>
      <c r="E1302" t="s">
        <v>2131</v>
      </c>
      <c r="F1302" t="s">
        <v>2132</v>
      </c>
      <c r="G1302">
        <v>0</v>
      </c>
      <c r="H1302" t="s">
        <v>364</v>
      </c>
      <c r="I1302" s="2">
        <v>3000</v>
      </c>
    </row>
    <row r="1303" spans="1:9" x14ac:dyDescent="0.3">
      <c r="A1303" s="5">
        <v>9493</v>
      </c>
      <c r="B1303" s="5" t="s">
        <v>2130</v>
      </c>
      <c r="C1303" s="5">
        <v>7</v>
      </c>
      <c r="D1303" s="5" t="s">
        <v>360</v>
      </c>
      <c r="E1303" t="s">
        <v>2131</v>
      </c>
      <c r="F1303" t="s">
        <v>2132</v>
      </c>
      <c r="G1303">
        <v>0</v>
      </c>
      <c r="H1303" t="s">
        <v>2134</v>
      </c>
      <c r="I1303" s="2">
        <v>9000</v>
      </c>
    </row>
    <row r="1304" spans="1:9" x14ac:dyDescent="0.3">
      <c r="A1304" s="5">
        <v>9492</v>
      </c>
      <c r="B1304" s="5" t="s">
        <v>2135</v>
      </c>
      <c r="C1304" s="5">
        <v>5</v>
      </c>
      <c r="D1304" s="5" t="s">
        <v>63</v>
      </c>
      <c r="E1304" t="s">
        <v>2136</v>
      </c>
      <c r="F1304" t="s">
        <v>2137</v>
      </c>
      <c r="G1304">
        <v>0</v>
      </c>
    </row>
    <row r="1305" spans="1:9" x14ac:dyDescent="0.3">
      <c r="A1305" s="5">
        <v>9491</v>
      </c>
      <c r="B1305" s="5" t="s">
        <v>2138</v>
      </c>
      <c r="C1305" s="5">
        <v>5</v>
      </c>
      <c r="D1305" s="5" t="s">
        <v>63</v>
      </c>
      <c r="E1305" t="s">
        <v>2139</v>
      </c>
      <c r="F1305" t="s">
        <v>2140</v>
      </c>
      <c r="G1305">
        <v>0</v>
      </c>
      <c r="H1305" t="s">
        <v>2141</v>
      </c>
      <c r="I1305" s="2">
        <v>30000</v>
      </c>
    </row>
    <row r="1306" spans="1:9" x14ac:dyDescent="0.3">
      <c r="A1306" s="5">
        <v>9491</v>
      </c>
      <c r="B1306" s="5" t="s">
        <v>2138</v>
      </c>
      <c r="C1306" s="5">
        <v>5</v>
      </c>
      <c r="D1306" s="5" t="s">
        <v>63</v>
      </c>
      <c r="E1306" t="s">
        <v>2139</v>
      </c>
      <c r="F1306" t="s">
        <v>2140</v>
      </c>
      <c r="G1306">
        <v>0</v>
      </c>
      <c r="H1306" t="s">
        <v>2142</v>
      </c>
      <c r="I1306" s="2">
        <v>9000</v>
      </c>
    </row>
    <row r="1307" spans="1:9" x14ac:dyDescent="0.3">
      <c r="A1307" s="5">
        <v>9491</v>
      </c>
      <c r="B1307" s="5" t="s">
        <v>2138</v>
      </c>
      <c r="C1307" s="5">
        <v>5</v>
      </c>
      <c r="D1307" s="5" t="s">
        <v>63</v>
      </c>
      <c r="E1307" t="s">
        <v>2139</v>
      </c>
      <c r="F1307" t="s">
        <v>2140</v>
      </c>
      <c r="G1307">
        <v>0</v>
      </c>
      <c r="H1307" t="s">
        <v>2143</v>
      </c>
      <c r="I1307" s="2">
        <v>10000</v>
      </c>
    </row>
    <row r="1308" spans="1:9" x14ac:dyDescent="0.3">
      <c r="A1308" s="5">
        <v>9490</v>
      </c>
      <c r="B1308" s="5" t="s">
        <v>2144</v>
      </c>
      <c r="C1308" s="5">
        <v>4</v>
      </c>
      <c r="D1308" s="5" t="s">
        <v>39</v>
      </c>
      <c r="E1308" t="s">
        <v>2145</v>
      </c>
      <c r="F1308" t="s">
        <v>2146</v>
      </c>
      <c r="G1308">
        <v>0</v>
      </c>
      <c r="H1308" t="s">
        <v>2053</v>
      </c>
      <c r="I1308" s="2">
        <v>3000</v>
      </c>
    </row>
    <row r="1309" spans="1:9" x14ac:dyDescent="0.3">
      <c r="A1309" s="5">
        <v>9490</v>
      </c>
      <c r="B1309" s="5" t="s">
        <v>2144</v>
      </c>
      <c r="C1309" s="5">
        <v>4</v>
      </c>
      <c r="D1309" s="5" t="s">
        <v>39</v>
      </c>
      <c r="E1309" t="s">
        <v>2145</v>
      </c>
      <c r="F1309" t="s">
        <v>2146</v>
      </c>
      <c r="G1309">
        <v>0</v>
      </c>
      <c r="H1309" t="s">
        <v>205</v>
      </c>
      <c r="I1309" s="2">
        <v>2500</v>
      </c>
    </row>
    <row r="1310" spans="1:9" x14ac:dyDescent="0.3">
      <c r="A1310" s="5">
        <v>9490</v>
      </c>
      <c r="B1310" s="5" t="s">
        <v>2144</v>
      </c>
      <c r="C1310" s="5">
        <v>4</v>
      </c>
      <c r="D1310" s="5" t="s">
        <v>39</v>
      </c>
      <c r="E1310" t="s">
        <v>2145</v>
      </c>
      <c r="F1310" t="s">
        <v>2146</v>
      </c>
      <c r="G1310">
        <v>0</v>
      </c>
      <c r="H1310" t="s">
        <v>2147</v>
      </c>
      <c r="I1310" s="2">
        <v>3000</v>
      </c>
    </row>
    <row r="1311" spans="1:9" x14ac:dyDescent="0.3">
      <c r="A1311" s="5">
        <v>9489</v>
      </c>
      <c r="B1311" s="5" t="s">
        <v>2148</v>
      </c>
      <c r="C1311" s="5">
        <v>1</v>
      </c>
      <c r="D1311" s="5" t="s">
        <v>10</v>
      </c>
      <c r="E1311" t="s">
        <v>2149</v>
      </c>
      <c r="F1311" t="s">
        <v>2150</v>
      </c>
      <c r="G1311">
        <v>0</v>
      </c>
      <c r="H1311" t="s">
        <v>21</v>
      </c>
      <c r="I1311" s="2">
        <v>5500</v>
      </c>
    </row>
    <row r="1312" spans="1:9" x14ac:dyDescent="0.3">
      <c r="A1312" s="5">
        <v>9488</v>
      </c>
      <c r="B1312" s="5" t="s">
        <v>2151</v>
      </c>
      <c r="C1312" s="5">
        <v>1</v>
      </c>
      <c r="D1312" s="5" t="s">
        <v>10</v>
      </c>
      <c r="E1312" t="s">
        <v>2152</v>
      </c>
      <c r="F1312" t="s">
        <v>2153</v>
      </c>
      <c r="G1312">
        <v>0</v>
      </c>
      <c r="H1312" t="s">
        <v>217</v>
      </c>
      <c r="I1312" s="2">
        <v>15000</v>
      </c>
    </row>
    <row r="1313" spans="1:9" x14ac:dyDescent="0.3">
      <c r="A1313" s="5">
        <v>9488</v>
      </c>
      <c r="B1313" s="5" t="s">
        <v>2151</v>
      </c>
      <c r="C1313" s="5">
        <v>1</v>
      </c>
      <c r="D1313" s="5" t="s">
        <v>10</v>
      </c>
      <c r="E1313" t="s">
        <v>2152</v>
      </c>
      <c r="F1313" t="s">
        <v>2153</v>
      </c>
      <c r="G1313">
        <v>0</v>
      </c>
      <c r="H1313" t="s">
        <v>1411</v>
      </c>
      <c r="I1313" s="2">
        <v>800</v>
      </c>
    </row>
    <row r="1314" spans="1:9" x14ac:dyDescent="0.3">
      <c r="A1314" s="5">
        <v>9487</v>
      </c>
      <c r="B1314" s="5" t="s">
        <v>169</v>
      </c>
      <c r="C1314" s="5">
        <v>1</v>
      </c>
      <c r="D1314" s="5" t="s">
        <v>10</v>
      </c>
      <c r="E1314" t="s">
        <v>2154</v>
      </c>
      <c r="F1314" t="s">
        <v>2155</v>
      </c>
      <c r="G1314">
        <v>0</v>
      </c>
      <c r="H1314" t="s">
        <v>374</v>
      </c>
      <c r="I1314" s="2">
        <v>3000</v>
      </c>
    </row>
    <row r="1315" spans="1:9" x14ac:dyDescent="0.3">
      <c r="A1315" s="5">
        <v>9487</v>
      </c>
      <c r="B1315" s="5" t="s">
        <v>169</v>
      </c>
      <c r="C1315" s="5">
        <v>1</v>
      </c>
      <c r="D1315" s="5" t="s">
        <v>10</v>
      </c>
      <c r="E1315" t="s">
        <v>2154</v>
      </c>
      <c r="F1315" t="s">
        <v>2155</v>
      </c>
      <c r="G1315">
        <v>0</v>
      </c>
      <c r="H1315" t="s">
        <v>229</v>
      </c>
      <c r="I1315" s="2">
        <v>6000</v>
      </c>
    </row>
    <row r="1316" spans="1:9" x14ac:dyDescent="0.3">
      <c r="A1316" s="5">
        <v>9486</v>
      </c>
      <c r="B1316" s="5" t="s">
        <v>2156</v>
      </c>
      <c r="C1316" s="5">
        <v>4</v>
      </c>
      <c r="D1316" s="5" t="s">
        <v>39</v>
      </c>
      <c r="E1316" t="s">
        <v>2157</v>
      </c>
      <c r="F1316" t="s">
        <v>2158</v>
      </c>
      <c r="G1316">
        <v>0</v>
      </c>
      <c r="H1316" t="s">
        <v>80</v>
      </c>
      <c r="I1316" s="2">
        <v>3000</v>
      </c>
    </row>
    <row r="1317" spans="1:9" x14ac:dyDescent="0.3">
      <c r="A1317" s="5">
        <v>9485</v>
      </c>
      <c r="B1317" s="5" t="s">
        <v>2159</v>
      </c>
      <c r="C1317" s="5">
        <v>1</v>
      </c>
      <c r="D1317" s="5" t="s">
        <v>10</v>
      </c>
      <c r="E1317" t="s">
        <v>2160</v>
      </c>
      <c r="F1317" t="s">
        <v>2161</v>
      </c>
      <c r="G1317">
        <v>0</v>
      </c>
      <c r="H1317" t="s">
        <v>1742</v>
      </c>
      <c r="I1317" s="2">
        <v>2300</v>
      </c>
    </row>
    <row r="1318" spans="1:9" x14ac:dyDescent="0.3">
      <c r="A1318" s="5">
        <v>9485</v>
      </c>
      <c r="B1318" s="5" t="s">
        <v>2159</v>
      </c>
      <c r="C1318" s="5">
        <v>1</v>
      </c>
      <c r="D1318" s="5" t="s">
        <v>10</v>
      </c>
      <c r="E1318" t="s">
        <v>2160</v>
      </c>
      <c r="F1318" t="s">
        <v>2161</v>
      </c>
      <c r="G1318">
        <v>0</v>
      </c>
      <c r="H1318" t="s">
        <v>2162</v>
      </c>
      <c r="I1318" s="2">
        <v>1300</v>
      </c>
    </row>
    <row r="1319" spans="1:9" x14ac:dyDescent="0.3">
      <c r="A1319" s="5">
        <v>9485</v>
      </c>
      <c r="B1319" s="5" t="s">
        <v>2159</v>
      </c>
      <c r="C1319" s="5">
        <v>1</v>
      </c>
      <c r="D1319" s="5" t="s">
        <v>10</v>
      </c>
      <c r="E1319" t="s">
        <v>2160</v>
      </c>
      <c r="F1319" t="s">
        <v>2161</v>
      </c>
      <c r="G1319">
        <v>0</v>
      </c>
      <c r="H1319" t="s">
        <v>205</v>
      </c>
      <c r="I1319" s="2">
        <v>2000</v>
      </c>
    </row>
    <row r="1320" spans="1:9" x14ac:dyDescent="0.3">
      <c r="A1320" s="5">
        <v>9484</v>
      </c>
      <c r="B1320" s="5" t="s">
        <v>2163</v>
      </c>
      <c r="C1320" s="5">
        <v>1</v>
      </c>
      <c r="D1320" s="5" t="s">
        <v>10</v>
      </c>
      <c r="E1320" t="s">
        <v>105</v>
      </c>
      <c r="F1320" t="s">
        <v>2164</v>
      </c>
      <c r="G1320">
        <v>0</v>
      </c>
      <c r="H1320" t="s">
        <v>374</v>
      </c>
      <c r="I1320" s="2">
        <v>2500</v>
      </c>
    </row>
    <row r="1321" spans="1:9" x14ac:dyDescent="0.3">
      <c r="A1321" s="5">
        <v>9484</v>
      </c>
      <c r="B1321" s="5" t="s">
        <v>2163</v>
      </c>
      <c r="C1321" s="5">
        <v>1</v>
      </c>
      <c r="D1321" s="5" t="s">
        <v>10</v>
      </c>
      <c r="E1321" t="s">
        <v>105</v>
      </c>
      <c r="F1321" t="s">
        <v>2164</v>
      </c>
      <c r="G1321">
        <v>0</v>
      </c>
      <c r="H1321" t="s">
        <v>37</v>
      </c>
      <c r="I1321" s="2">
        <v>6000</v>
      </c>
    </row>
    <row r="1322" spans="1:9" x14ac:dyDescent="0.3">
      <c r="A1322" s="5">
        <v>9484</v>
      </c>
      <c r="B1322" s="5" t="s">
        <v>2163</v>
      </c>
      <c r="C1322" s="5">
        <v>1</v>
      </c>
      <c r="D1322" s="5" t="s">
        <v>10</v>
      </c>
      <c r="E1322" t="s">
        <v>105</v>
      </c>
      <c r="F1322" t="s">
        <v>2164</v>
      </c>
      <c r="G1322">
        <v>0</v>
      </c>
      <c r="H1322" t="s">
        <v>139</v>
      </c>
      <c r="I1322" s="2">
        <v>7000</v>
      </c>
    </row>
    <row r="1323" spans="1:9" x14ac:dyDescent="0.3">
      <c r="A1323" s="5">
        <v>9483</v>
      </c>
      <c r="B1323" s="5" t="s">
        <v>2165</v>
      </c>
      <c r="C1323" s="5">
        <v>2</v>
      </c>
      <c r="D1323" s="5" t="s">
        <v>261</v>
      </c>
      <c r="E1323" t="s">
        <v>2166</v>
      </c>
      <c r="G1323">
        <v>0</v>
      </c>
      <c r="H1323" t="s">
        <v>265</v>
      </c>
      <c r="I1323" s="2">
        <v>5500</v>
      </c>
    </row>
    <row r="1324" spans="1:9" x14ac:dyDescent="0.3">
      <c r="A1324" s="5">
        <v>9483</v>
      </c>
      <c r="B1324" s="5" t="s">
        <v>2165</v>
      </c>
      <c r="C1324" s="5">
        <v>2</v>
      </c>
      <c r="D1324" s="5" t="s">
        <v>261</v>
      </c>
      <c r="E1324" t="s">
        <v>2166</v>
      </c>
      <c r="G1324">
        <v>0</v>
      </c>
      <c r="H1324" t="s">
        <v>642</v>
      </c>
      <c r="I1324" s="2">
        <v>4500</v>
      </c>
    </row>
    <row r="1325" spans="1:9" x14ac:dyDescent="0.3">
      <c r="A1325" s="5">
        <v>9483</v>
      </c>
      <c r="B1325" s="5" t="s">
        <v>2165</v>
      </c>
      <c r="C1325" s="5">
        <v>2</v>
      </c>
      <c r="D1325" s="5" t="s">
        <v>261</v>
      </c>
      <c r="E1325" t="s">
        <v>2166</v>
      </c>
      <c r="G1325">
        <v>0</v>
      </c>
      <c r="H1325" t="s">
        <v>1234</v>
      </c>
      <c r="I1325" s="2">
        <v>9500</v>
      </c>
    </row>
    <row r="1326" spans="1:9" x14ac:dyDescent="0.3">
      <c r="A1326" s="5">
        <v>9482</v>
      </c>
      <c r="B1326" s="5" t="s">
        <v>2167</v>
      </c>
      <c r="C1326" s="5">
        <v>1</v>
      </c>
      <c r="D1326" s="5" t="s">
        <v>10</v>
      </c>
      <c r="E1326" t="s">
        <v>2168</v>
      </c>
      <c r="F1326" t="s">
        <v>2169</v>
      </c>
      <c r="G1326">
        <v>0</v>
      </c>
      <c r="H1326" t="s">
        <v>139</v>
      </c>
      <c r="I1326" s="2">
        <v>6000</v>
      </c>
    </row>
    <row r="1327" spans="1:9" x14ac:dyDescent="0.3">
      <c r="A1327" s="5">
        <v>9482</v>
      </c>
      <c r="B1327" s="5" t="s">
        <v>2167</v>
      </c>
      <c r="C1327" s="5">
        <v>1</v>
      </c>
      <c r="D1327" s="5" t="s">
        <v>10</v>
      </c>
      <c r="E1327" t="s">
        <v>2168</v>
      </c>
      <c r="F1327" t="s">
        <v>2169</v>
      </c>
      <c r="G1327">
        <v>0</v>
      </c>
      <c r="H1327" t="s">
        <v>126</v>
      </c>
      <c r="I1327" s="2">
        <v>6000</v>
      </c>
    </row>
    <row r="1328" spans="1:9" x14ac:dyDescent="0.3">
      <c r="A1328" s="5">
        <v>9481</v>
      </c>
      <c r="B1328" s="5" t="s">
        <v>2170</v>
      </c>
      <c r="C1328" s="5">
        <v>4</v>
      </c>
      <c r="D1328" s="5" t="s">
        <v>39</v>
      </c>
      <c r="E1328" t="s">
        <v>2171</v>
      </c>
      <c r="F1328" t="s">
        <v>2172</v>
      </c>
      <c r="G1328">
        <v>0</v>
      </c>
      <c r="H1328" t="s">
        <v>205</v>
      </c>
      <c r="I1328" s="2">
        <v>1800</v>
      </c>
    </row>
    <row r="1329" spans="1:9" x14ac:dyDescent="0.3">
      <c r="A1329" s="5">
        <v>9481</v>
      </c>
      <c r="B1329" s="5" t="s">
        <v>2170</v>
      </c>
      <c r="C1329" s="5">
        <v>4</v>
      </c>
      <c r="D1329" s="5" t="s">
        <v>39</v>
      </c>
      <c r="E1329" t="s">
        <v>2171</v>
      </c>
      <c r="F1329" t="s">
        <v>2172</v>
      </c>
      <c r="G1329">
        <v>0</v>
      </c>
      <c r="H1329" t="s">
        <v>2173</v>
      </c>
      <c r="I1329" s="2">
        <v>2500</v>
      </c>
    </row>
    <row r="1330" spans="1:9" x14ac:dyDescent="0.3">
      <c r="A1330" s="5">
        <v>9480</v>
      </c>
      <c r="B1330" s="5" t="s">
        <v>2174</v>
      </c>
      <c r="C1330" s="5">
        <v>5</v>
      </c>
      <c r="D1330" s="5" t="s">
        <v>63</v>
      </c>
      <c r="E1330" t="s">
        <v>2175</v>
      </c>
      <c r="G1330">
        <v>0</v>
      </c>
      <c r="H1330" t="s">
        <v>67</v>
      </c>
      <c r="I1330" s="2">
        <v>6000</v>
      </c>
    </row>
    <row r="1331" spans="1:9" x14ac:dyDescent="0.3">
      <c r="A1331" s="5">
        <v>9479</v>
      </c>
      <c r="B1331" s="5" t="s">
        <v>2176</v>
      </c>
      <c r="C1331" s="5">
        <v>5</v>
      </c>
      <c r="D1331" s="5" t="s">
        <v>63</v>
      </c>
      <c r="E1331" t="s">
        <v>2177</v>
      </c>
      <c r="G1331">
        <v>0</v>
      </c>
      <c r="H1331" t="s">
        <v>67</v>
      </c>
      <c r="I1331" s="2">
        <v>6000</v>
      </c>
    </row>
    <row r="1332" spans="1:9" x14ac:dyDescent="0.3">
      <c r="A1332" s="5">
        <v>9479</v>
      </c>
      <c r="B1332" s="5" t="s">
        <v>2176</v>
      </c>
      <c r="C1332" s="5">
        <v>5</v>
      </c>
      <c r="D1332" s="5" t="s">
        <v>63</v>
      </c>
      <c r="E1332" t="s">
        <v>2177</v>
      </c>
      <c r="G1332">
        <v>0</v>
      </c>
      <c r="H1332" t="s">
        <v>66</v>
      </c>
      <c r="I1332" s="2">
        <v>7000</v>
      </c>
    </row>
    <row r="1333" spans="1:9" x14ac:dyDescent="0.3">
      <c r="A1333" s="5">
        <v>9478</v>
      </c>
      <c r="B1333" s="5" t="s">
        <v>2178</v>
      </c>
      <c r="C1333" s="5">
        <v>5</v>
      </c>
      <c r="D1333" s="5" t="s">
        <v>63</v>
      </c>
      <c r="E1333" t="s">
        <v>2179</v>
      </c>
      <c r="F1333" t="s">
        <v>2180</v>
      </c>
      <c r="G1333">
        <v>0</v>
      </c>
      <c r="H1333" t="s">
        <v>2181</v>
      </c>
      <c r="I1333" s="2">
        <v>10000</v>
      </c>
    </row>
    <row r="1334" spans="1:9" x14ac:dyDescent="0.3">
      <c r="A1334" s="5">
        <v>9478</v>
      </c>
      <c r="B1334" s="5" t="s">
        <v>2178</v>
      </c>
      <c r="C1334" s="5">
        <v>5</v>
      </c>
      <c r="D1334" s="5" t="s">
        <v>63</v>
      </c>
      <c r="E1334" t="s">
        <v>2179</v>
      </c>
      <c r="F1334" t="s">
        <v>2180</v>
      </c>
      <c r="G1334">
        <v>0</v>
      </c>
      <c r="H1334" t="s">
        <v>2182</v>
      </c>
      <c r="I1334" s="2">
        <v>25000</v>
      </c>
    </row>
    <row r="1335" spans="1:9" x14ac:dyDescent="0.3">
      <c r="A1335" s="5">
        <v>9478</v>
      </c>
      <c r="B1335" s="5" t="s">
        <v>2178</v>
      </c>
      <c r="C1335" s="5">
        <v>5</v>
      </c>
      <c r="D1335" s="5" t="s">
        <v>63</v>
      </c>
      <c r="E1335" t="s">
        <v>2179</v>
      </c>
      <c r="F1335" t="s">
        <v>2180</v>
      </c>
      <c r="G1335">
        <v>0</v>
      </c>
      <c r="H1335" t="s">
        <v>1787</v>
      </c>
      <c r="I1335" s="2">
        <v>7000</v>
      </c>
    </row>
    <row r="1336" spans="1:9" x14ac:dyDescent="0.3">
      <c r="A1336" s="5">
        <v>9477</v>
      </c>
      <c r="B1336" s="5" t="s">
        <v>2183</v>
      </c>
      <c r="C1336" s="5">
        <v>1</v>
      </c>
      <c r="D1336" s="5" t="s">
        <v>10</v>
      </c>
      <c r="E1336" t="s">
        <v>2184</v>
      </c>
      <c r="G1336">
        <v>0</v>
      </c>
      <c r="H1336" t="s">
        <v>217</v>
      </c>
      <c r="I1336" s="2">
        <v>12000</v>
      </c>
    </row>
    <row r="1337" spans="1:9" x14ac:dyDescent="0.3">
      <c r="A1337" s="5">
        <v>9476</v>
      </c>
      <c r="B1337" s="5" t="s">
        <v>2185</v>
      </c>
      <c r="C1337" s="5">
        <v>4</v>
      </c>
      <c r="D1337" s="5" t="s">
        <v>39</v>
      </c>
      <c r="E1337" t="s">
        <v>2186</v>
      </c>
      <c r="F1337" t="s">
        <v>2187</v>
      </c>
      <c r="G1337">
        <v>0</v>
      </c>
      <c r="H1337" t="s">
        <v>2188</v>
      </c>
      <c r="I1337" s="2">
        <v>1700</v>
      </c>
    </row>
    <row r="1338" spans="1:9" x14ac:dyDescent="0.3">
      <c r="A1338" s="5">
        <v>9476</v>
      </c>
      <c r="B1338" s="5" t="s">
        <v>2185</v>
      </c>
      <c r="C1338" s="5">
        <v>4</v>
      </c>
      <c r="D1338" s="5" t="s">
        <v>39</v>
      </c>
      <c r="E1338" t="s">
        <v>2186</v>
      </c>
      <c r="F1338" t="s">
        <v>2187</v>
      </c>
      <c r="G1338">
        <v>0</v>
      </c>
      <c r="H1338" t="s">
        <v>2189</v>
      </c>
      <c r="I1338" s="2">
        <v>3000</v>
      </c>
    </row>
    <row r="1339" spans="1:9" x14ac:dyDescent="0.3">
      <c r="A1339" s="5">
        <v>9475</v>
      </c>
      <c r="B1339" s="5" t="s">
        <v>2190</v>
      </c>
      <c r="C1339" s="5">
        <v>1</v>
      </c>
      <c r="D1339" s="5" t="s">
        <v>10</v>
      </c>
      <c r="E1339" t="s">
        <v>2191</v>
      </c>
      <c r="F1339" t="s">
        <v>2192</v>
      </c>
      <c r="G1339">
        <v>0</v>
      </c>
      <c r="H1339" t="s">
        <v>304</v>
      </c>
      <c r="I1339" s="2">
        <v>7000</v>
      </c>
    </row>
    <row r="1340" spans="1:9" x14ac:dyDescent="0.3">
      <c r="A1340" s="5">
        <v>9475</v>
      </c>
      <c r="B1340" s="5" t="s">
        <v>2190</v>
      </c>
      <c r="C1340" s="5">
        <v>1</v>
      </c>
      <c r="D1340" s="5" t="s">
        <v>10</v>
      </c>
      <c r="E1340" t="s">
        <v>2191</v>
      </c>
      <c r="F1340" t="s">
        <v>2192</v>
      </c>
      <c r="G1340">
        <v>0</v>
      </c>
      <c r="H1340" t="s">
        <v>229</v>
      </c>
      <c r="I1340" s="2">
        <v>6000</v>
      </c>
    </row>
    <row r="1341" spans="1:9" x14ac:dyDescent="0.3">
      <c r="A1341" s="5">
        <v>9475</v>
      </c>
      <c r="B1341" s="5" t="s">
        <v>2190</v>
      </c>
      <c r="C1341" s="5">
        <v>1</v>
      </c>
      <c r="D1341" s="5" t="s">
        <v>10</v>
      </c>
      <c r="E1341" t="s">
        <v>2191</v>
      </c>
      <c r="F1341" t="s">
        <v>2192</v>
      </c>
      <c r="G1341">
        <v>0</v>
      </c>
      <c r="H1341" t="s">
        <v>794</v>
      </c>
      <c r="I1341" s="2">
        <v>6000</v>
      </c>
    </row>
    <row r="1342" spans="1:9" x14ac:dyDescent="0.3">
      <c r="A1342" s="5">
        <v>9474</v>
      </c>
      <c r="B1342" s="5" t="s">
        <v>2193</v>
      </c>
      <c r="C1342" s="5">
        <v>1</v>
      </c>
      <c r="D1342" s="5" t="s">
        <v>10</v>
      </c>
      <c r="E1342" t="s">
        <v>2194</v>
      </c>
      <c r="F1342" t="s">
        <v>2195</v>
      </c>
      <c r="G1342">
        <v>0</v>
      </c>
      <c r="H1342" t="s">
        <v>34</v>
      </c>
      <c r="I1342" s="2">
        <v>35000</v>
      </c>
    </row>
    <row r="1343" spans="1:9" x14ac:dyDescent="0.3">
      <c r="A1343" s="5">
        <v>9473</v>
      </c>
      <c r="B1343" s="5" t="s">
        <v>2196</v>
      </c>
      <c r="C1343" s="5">
        <v>5</v>
      </c>
      <c r="D1343" s="5" t="s">
        <v>63</v>
      </c>
      <c r="E1343" t="s">
        <v>2197</v>
      </c>
      <c r="G1343">
        <v>0</v>
      </c>
      <c r="H1343" t="s">
        <v>67</v>
      </c>
      <c r="I1343" s="2">
        <v>10000</v>
      </c>
    </row>
    <row r="1344" spans="1:9" x14ac:dyDescent="0.3">
      <c r="A1344" s="5">
        <v>9473</v>
      </c>
      <c r="B1344" s="5" t="s">
        <v>2196</v>
      </c>
      <c r="C1344" s="5">
        <v>5</v>
      </c>
      <c r="D1344" s="5" t="s">
        <v>63</v>
      </c>
      <c r="E1344" t="s">
        <v>2197</v>
      </c>
      <c r="G1344">
        <v>0</v>
      </c>
      <c r="H1344" t="s">
        <v>88</v>
      </c>
      <c r="I1344" s="2">
        <v>30000</v>
      </c>
    </row>
    <row r="1345" spans="1:9" x14ac:dyDescent="0.3">
      <c r="A1345" s="5">
        <v>9473</v>
      </c>
      <c r="B1345" s="5" t="s">
        <v>2196</v>
      </c>
      <c r="C1345" s="5">
        <v>5</v>
      </c>
      <c r="D1345" s="5" t="s">
        <v>63</v>
      </c>
      <c r="E1345" t="s">
        <v>2197</v>
      </c>
      <c r="G1345">
        <v>0</v>
      </c>
      <c r="H1345" t="s">
        <v>88</v>
      </c>
      <c r="I1345" s="2">
        <v>30000</v>
      </c>
    </row>
    <row r="1346" spans="1:9" x14ac:dyDescent="0.3">
      <c r="A1346" s="5">
        <v>9473</v>
      </c>
      <c r="B1346" s="5" t="s">
        <v>2196</v>
      </c>
      <c r="C1346" s="5">
        <v>5</v>
      </c>
      <c r="D1346" s="5" t="s">
        <v>63</v>
      </c>
      <c r="E1346" t="s">
        <v>2197</v>
      </c>
      <c r="G1346">
        <v>0</v>
      </c>
      <c r="H1346" t="s">
        <v>2143</v>
      </c>
      <c r="I1346" s="2">
        <v>10000</v>
      </c>
    </row>
    <row r="1347" spans="1:9" x14ac:dyDescent="0.3">
      <c r="A1347" s="5">
        <v>9472</v>
      </c>
      <c r="B1347" s="5" t="s">
        <v>2198</v>
      </c>
      <c r="C1347" s="5">
        <v>5</v>
      </c>
      <c r="D1347" s="5" t="s">
        <v>63</v>
      </c>
      <c r="E1347" t="s">
        <v>2199</v>
      </c>
      <c r="G1347">
        <v>0</v>
      </c>
      <c r="H1347" t="s">
        <v>67</v>
      </c>
      <c r="I1347" s="2">
        <v>8000</v>
      </c>
    </row>
    <row r="1348" spans="1:9" x14ac:dyDescent="0.3">
      <c r="A1348" s="5">
        <v>9472</v>
      </c>
      <c r="B1348" s="5" t="s">
        <v>2198</v>
      </c>
      <c r="C1348" s="5">
        <v>5</v>
      </c>
      <c r="D1348" s="5" t="s">
        <v>63</v>
      </c>
      <c r="E1348" t="s">
        <v>2199</v>
      </c>
      <c r="G1348">
        <v>0</v>
      </c>
      <c r="H1348" t="s">
        <v>88</v>
      </c>
      <c r="I1348" s="2">
        <v>25000</v>
      </c>
    </row>
    <row r="1349" spans="1:9" x14ac:dyDescent="0.3">
      <c r="A1349" s="5">
        <v>9471</v>
      </c>
      <c r="B1349" s="5" t="s">
        <v>2200</v>
      </c>
      <c r="C1349" s="5">
        <v>5</v>
      </c>
      <c r="D1349" s="5" t="s">
        <v>63</v>
      </c>
      <c r="E1349" t="s">
        <v>2201</v>
      </c>
      <c r="G1349">
        <v>0</v>
      </c>
      <c r="H1349" t="s">
        <v>67</v>
      </c>
      <c r="I1349" s="2">
        <v>5000</v>
      </c>
    </row>
    <row r="1350" spans="1:9" x14ac:dyDescent="0.3">
      <c r="A1350" s="5">
        <v>9471</v>
      </c>
      <c r="B1350" s="5" t="s">
        <v>2200</v>
      </c>
      <c r="C1350" s="5">
        <v>5</v>
      </c>
      <c r="D1350" s="5" t="s">
        <v>63</v>
      </c>
      <c r="E1350" t="s">
        <v>2201</v>
      </c>
      <c r="G1350">
        <v>0</v>
      </c>
      <c r="H1350" t="s">
        <v>88</v>
      </c>
      <c r="I1350" s="2">
        <v>25000</v>
      </c>
    </row>
    <row r="1351" spans="1:9" x14ac:dyDescent="0.3">
      <c r="A1351" s="5">
        <v>9470</v>
      </c>
      <c r="B1351" s="5" t="s">
        <v>2202</v>
      </c>
      <c r="C1351" s="5">
        <v>1</v>
      </c>
      <c r="D1351" s="5" t="s">
        <v>10</v>
      </c>
      <c r="E1351" t="s">
        <v>2203</v>
      </c>
      <c r="F1351" t="s">
        <v>2204</v>
      </c>
      <c r="G1351">
        <v>0</v>
      </c>
      <c r="H1351" t="s">
        <v>259</v>
      </c>
      <c r="I1351" s="2">
        <v>7000</v>
      </c>
    </row>
    <row r="1352" spans="1:9" x14ac:dyDescent="0.3">
      <c r="A1352" s="5">
        <v>9470</v>
      </c>
      <c r="B1352" s="5" t="s">
        <v>2202</v>
      </c>
      <c r="C1352" s="5">
        <v>1</v>
      </c>
      <c r="D1352" s="5" t="s">
        <v>10</v>
      </c>
      <c r="E1352" t="s">
        <v>2203</v>
      </c>
      <c r="F1352" t="s">
        <v>2204</v>
      </c>
      <c r="G1352">
        <v>0</v>
      </c>
      <c r="H1352" t="s">
        <v>21</v>
      </c>
      <c r="I1352" s="2">
        <v>5000</v>
      </c>
    </row>
    <row r="1353" spans="1:9" x14ac:dyDescent="0.3">
      <c r="A1353" s="5">
        <v>9469</v>
      </c>
      <c r="B1353" s="5" t="s">
        <v>15</v>
      </c>
      <c r="C1353" s="5">
        <v>1</v>
      </c>
      <c r="D1353" s="5" t="s">
        <v>10</v>
      </c>
      <c r="E1353" t="s">
        <v>2205</v>
      </c>
      <c r="F1353" t="s">
        <v>2206</v>
      </c>
      <c r="G1353">
        <v>0</v>
      </c>
      <c r="H1353" t="s">
        <v>145</v>
      </c>
      <c r="I1353" s="2">
        <v>5000</v>
      </c>
    </row>
    <row r="1354" spans="1:9" x14ac:dyDescent="0.3">
      <c r="A1354" s="5">
        <v>9468</v>
      </c>
      <c r="B1354" s="5" t="s">
        <v>2207</v>
      </c>
      <c r="C1354" s="5">
        <v>2</v>
      </c>
      <c r="D1354" s="5" t="s">
        <v>261</v>
      </c>
      <c r="E1354" t="s">
        <v>2208</v>
      </c>
      <c r="F1354" t="s">
        <v>2209</v>
      </c>
      <c r="G1354">
        <v>0</v>
      </c>
      <c r="H1354" t="s">
        <v>2210</v>
      </c>
      <c r="I1354" s="2">
        <v>5000</v>
      </c>
    </row>
    <row r="1355" spans="1:9" x14ac:dyDescent="0.3">
      <c r="A1355" s="5">
        <v>9468</v>
      </c>
      <c r="B1355" s="5" t="s">
        <v>2207</v>
      </c>
      <c r="C1355" s="5">
        <v>2</v>
      </c>
      <c r="D1355" s="5" t="s">
        <v>261</v>
      </c>
      <c r="E1355" t="s">
        <v>2208</v>
      </c>
      <c r="F1355" t="s">
        <v>2209</v>
      </c>
      <c r="G1355">
        <v>0</v>
      </c>
      <c r="H1355" t="s">
        <v>641</v>
      </c>
      <c r="I1355" s="2">
        <v>8000</v>
      </c>
    </row>
    <row r="1356" spans="1:9" x14ac:dyDescent="0.3">
      <c r="A1356" s="5">
        <v>9468</v>
      </c>
      <c r="B1356" s="5" t="s">
        <v>2207</v>
      </c>
      <c r="C1356" s="5">
        <v>2</v>
      </c>
      <c r="D1356" s="5" t="s">
        <v>261</v>
      </c>
      <c r="E1356" t="s">
        <v>2208</v>
      </c>
      <c r="F1356" t="s">
        <v>2209</v>
      </c>
      <c r="G1356">
        <v>0</v>
      </c>
      <c r="H1356" t="s">
        <v>642</v>
      </c>
      <c r="I1356" s="2">
        <v>3500</v>
      </c>
    </row>
    <row r="1357" spans="1:9" x14ac:dyDescent="0.3">
      <c r="A1357" s="5">
        <v>9467</v>
      </c>
      <c r="B1357" s="5" t="s">
        <v>2211</v>
      </c>
      <c r="C1357" s="5">
        <v>2</v>
      </c>
      <c r="D1357" s="5" t="s">
        <v>261</v>
      </c>
      <c r="E1357" t="s">
        <v>2212</v>
      </c>
      <c r="G1357">
        <v>0</v>
      </c>
      <c r="H1357" t="s">
        <v>641</v>
      </c>
      <c r="I1357" s="2">
        <v>10000</v>
      </c>
    </row>
    <row r="1358" spans="1:9" x14ac:dyDescent="0.3">
      <c r="A1358" s="5">
        <v>9467</v>
      </c>
      <c r="B1358" s="5" t="s">
        <v>2211</v>
      </c>
      <c r="C1358" s="5">
        <v>2</v>
      </c>
      <c r="D1358" s="5" t="s">
        <v>261</v>
      </c>
      <c r="E1358" t="s">
        <v>2212</v>
      </c>
      <c r="G1358">
        <v>0</v>
      </c>
      <c r="H1358" t="s">
        <v>265</v>
      </c>
      <c r="I1358" s="2">
        <v>4000</v>
      </c>
    </row>
    <row r="1359" spans="1:9" x14ac:dyDescent="0.3">
      <c r="A1359" s="5">
        <v>9467</v>
      </c>
      <c r="B1359" s="5" t="s">
        <v>2211</v>
      </c>
      <c r="C1359" s="5">
        <v>2</v>
      </c>
      <c r="D1359" s="5" t="s">
        <v>261</v>
      </c>
      <c r="E1359" t="s">
        <v>2212</v>
      </c>
      <c r="G1359">
        <v>0</v>
      </c>
      <c r="H1359" t="s">
        <v>642</v>
      </c>
      <c r="I1359" s="2">
        <v>3000</v>
      </c>
    </row>
    <row r="1360" spans="1:9" x14ac:dyDescent="0.3">
      <c r="A1360" s="5">
        <v>9466</v>
      </c>
      <c r="B1360" s="5" t="s">
        <v>2213</v>
      </c>
      <c r="C1360" s="5">
        <v>13</v>
      </c>
      <c r="D1360" s="5" t="s">
        <v>27</v>
      </c>
      <c r="E1360" t="s">
        <v>2214</v>
      </c>
      <c r="F1360" t="s">
        <v>2215</v>
      </c>
      <c r="G1360">
        <v>0</v>
      </c>
      <c r="H1360" t="s">
        <v>2216</v>
      </c>
      <c r="I1360" s="2">
        <v>4500</v>
      </c>
    </row>
    <row r="1361" spans="1:9" x14ac:dyDescent="0.3">
      <c r="A1361" s="5">
        <v>9466</v>
      </c>
      <c r="B1361" s="5" t="s">
        <v>2213</v>
      </c>
      <c r="C1361" s="5">
        <v>13</v>
      </c>
      <c r="D1361" s="5" t="s">
        <v>27</v>
      </c>
      <c r="E1361" t="s">
        <v>2214</v>
      </c>
      <c r="F1361" t="s">
        <v>2215</v>
      </c>
      <c r="G1361">
        <v>0</v>
      </c>
      <c r="H1361" t="s">
        <v>2217</v>
      </c>
      <c r="I1361" s="2">
        <v>5000</v>
      </c>
    </row>
    <row r="1362" spans="1:9" x14ac:dyDescent="0.3">
      <c r="A1362" s="5">
        <v>9465</v>
      </c>
      <c r="B1362" s="5" t="s">
        <v>2218</v>
      </c>
      <c r="C1362" s="5">
        <v>1</v>
      </c>
      <c r="D1362" s="5" t="s">
        <v>10</v>
      </c>
      <c r="E1362" t="s">
        <v>2219</v>
      </c>
      <c r="F1362" t="s">
        <v>2220</v>
      </c>
      <c r="G1362">
        <v>0</v>
      </c>
      <c r="H1362" t="s">
        <v>2221</v>
      </c>
      <c r="I1362" s="2">
        <v>8000</v>
      </c>
    </row>
    <row r="1363" spans="1:9" x14ac:dyDescent="0.3">
      <c r="A1363" s="5">
        <v>9465</v>
      </c>
      <c r="B1363" s="5" t="s">
        <v>2218</v>
      </c>
      <c r="C1363" s="5">
        <v>1</v>
      </c>
      <c r="D1363" s="5" t="s">
        <v>10</v>
      </c>
      <c r="E1363" t="s">
        <v>2219</v>
      </c>
      <c r="F1363" t="s">
        <v>2220</v>
      </c>
      <c r="G1363">
        <v>0</v>
      </c>
      <c r="H1363" t="s">
        <v>2222</v>
      </c>
      <c r="I1363" s="2">
        <v>16000</v>
      </c>
    </row>
    <row r="1364" spans="1:9" x14ac:dyDescent="0.3">
      <c r="A1364" s="5">
        <v>9464</v>
      </c>
      <c r="B1364" s="5" t="s">
        <v>2223</v>
      </c>
      <c r="C1364" s="5">
        <v>1</v>
      </c>
      <c r="D1364" s="5" t="s">
        <v>10</v>
      </c>
      <c r="E1364" t="s">
        <v>2224</v>
      </c>
      <c r="F1364" t="s">
        <v>2225</v>
      </c>
      <c r="G1364">
        <v>0</v>
      </c>
    </row>
    <row r="1365" spans="1:9" x14ac:dyDescent="0.3">
      <c r="A1365" s="5">
        <v>9463</v>
      </c>
      <c r="B1365" s="5" t="s">
        <v>2226</v>
      </c>
      <c r="C1365" s="5">
        <v>1</v>
      </c>
      <c r="D1365" s="5" t="s">
        <v>10</v>
      </c>
      <c r="E1365" t="s">
        <v>2227</v>
      </c>
      <c r="F1365" t="s">
        <v>2228</v>
      </c>
      <c r="G1365">
        <v>0</v>
      </c>
      <c r="H1365" t="s">
        <v>2229</v>
      </c>
      <c r="I1365" s="2">
        <v>6000</v>
      </c>
    </row>
    <row r="1366" spans="1:9" x14ac:dyDescent="0.3">
      <c r="A1366" s="5">
        <v>9463</v>
      </c>
      <c r="B1366" s="5" t="s">
        <v>2226</v>
      </c>
      <c r="C1366" s="5">
        <v>1</v>
      </c>
      <c r="D1366" s="5" t="s">
        <v>10</v>
      </c>
      <c r="E1366" t="s">
        <v>2227</v>
      </c>
      <c r="F1366" t="s">
        <v>2228</v>
      </c>
      <c r="G1366">
        <v>0</v>
      </c>
      <c r="H1366" t="s">
        <v>139</v>
      </c>
      <c r="I1366" s="2">
        <v>6000</v>
      </c>
    </row>
    <row r="1367" spans="1:9" x14ac:dyDescent="0.3">
      <c r="A1367" s="5">
        <v>9463</v>
      </c>
      <c r="B1367" s="5" t="s">
        <v>2226</v>
      </c>
      <c r="C1367" s="5">
        <v>1</v>
      </c>
      <c r="D1367" s="5" t="s">
        <v>10</v>
      </c>
      <c r="E1367" t="s">
        <v>2227</v>
      </c>
      <c r="F1367" t="s">
        <v>2228</v>
      </c>
      <c r="G1367">
        <v>0</v>
      </c>
      <c r="H1367" t="s">
        <v>37</v>
      </c>
      <c r="I1367" s="2">
        <v>6000</v>
      </c>
    </row>
    <row r="1368" spans="1:9" x14ac:dyDescent="0.3">
      <c r="A1368" s="5">
        <v>9462</v>
      </c>
      <c r="B1368" s="5" t="s">
        <v>2230</v>
      </c>
      <c r="C1368" s="5">
        <v>1</v>
      </c>
      <c r="D1368" s="5" t="s">
        <v>10</v>
      </c>
      <c r="E1368" t="s">
        <v>2231</v>
      </c>
      <c r="F1368" t="s">
        <v>2232</v>
      </c>
      <c r="G1368">
        <v>0</v>
      </c>
      <c r="H1368" t="s">
        <v>19</v>
      </c>
      <c r="I1368" s="2">
        <v>5500</v>
      </c>
    </row>
    <row r="1369" spans="1:9" x14ac:dyDescent="0.3">
      <c r="A1369" s="5">
        <v>9462</v>
      </c>
      <c r="B1369" s="5" t="s">
        <v>2230</v>
      </c>
      <c r="C1369" s="5">
        <v>1</v>
      </c>
      <c r="D1369" s="5" t="s">
        <v>10</v>
      </c>
      <c r="E1369" t="s">
        <v>2231</v>
      </c>
      <c r="F1369" t="s">
        <v>2232</v>
      </c>
      <c r="G1369">
        <v>0</v>
      </c>
      <c r="H1369" t="s">
        <v>21</v>
      </c>
      <c r="I1369" s="2">
        <v>5000</v>
      </c>
    </row>
    <row r="1370" spans="1:9" x14ac:dyDescent="0.3">
      <c r="A1370" s="5">
        <v>9462</v>
      </c>
      <c r="B1370" s="5" t="s">
        <v>2230</v>
      </c>
      <c r="C1370" s="5">
        <v>1</v>
      </c>
      <c r="D1370" s="5" t="s">
        <v>10</v>
      </c>
      <c r="E1370" t="s">
        <v>2231</v>
      </c>
      <c r="F1370" t="s">
        <v>2232</v>
      </c>
      <c r="G1370">
        <v>0</v>
      </c>
      <c r="H1370" t="s">
        <v>175</v>
      </c>
      <c r="I1370" s="2">
        <v>4500</v>
      </c>
    </row>
    <row r="1371" spans="1:9" x14ac:dyDescent="0.3">
      <c r="A1371" s="5">
        <v>9461</v>
      </c>
      <c r="B1371" s="5" t="s">
        <v>2233</v>
      </c>
      <c r="C1371" s="5">
        <v>5</v>
      </c>
      <c r="D1371" s="5" t="s">
        <v>63</v>
      </c>
      <c r="E1371" t="s">
        <v>2234</v>
      </c>
      <c r="F1371" t="s">
        <v>2235</v>
      </c>
      <c r="G1371">
        <v>0</v>
      </c>
      <c r="H1371" t="s">
        <v>2236</v>
      </c>
      <c r="I1371" s="2">
        <v>9000</v>
      </c>
    </row>
    <row r="1372" spans="1:9" x14ac:dyDescent="0.3">
      <c r="A1372" s="5">
        <v>9461</v>
      </c>
      <c r="B1372" s="5" t="s">
        <v>2233</v>
      </c>
      <c r="C1372" s="5">
        <v>5</v>
      </c>
      <c r="D1372" s="5" t="s">
        <v>63</v>
      </c>
      <c r="E1372" t="s">
        <v>2234</v>
      </c>
      <c r="F1372" t="s">
        <v>2235</v>
      </c>
      <c r="G1372">
        <v>0</v>
      </c>
      <c r="H1372" t="s">
        <v>66</v>
      </c>
      <c r="I1372" s="2">
        <v>25000</v>
      </c>
    </row>
    <row r="1373" spans="1:9" x14ac:dyDescent="0.3">
      <c r="A1373" s="5">
        <v>9461</v>
      </c>
      <c r="B1373" s="5" t="s">
        <v>2233</v>
      </c>
      <c r="C1373" s="5">
        <v>5</v>
      </c>
      <c r="D1373" s="5" t="s">
        <v>63</v>
      </c>
      <c r="E1373" t="s">
        <v>2234</v>
      </c>
      <c r="F1373" t="s">
        <v>2235</v>
      </c>
      <c r="G1373">
        <v>0</v>
      </c>
      <c r="H1373" t="s">
        <v>2237</v>
      </c>
      <c r="I1373" s="2">
        <v>8000</v>
      </c>
    </row>
    <row r="1374" spans="1:9" x14ac:dyDescent="0.3">
      <c r="A1374" s="5">
        <v>9460</v>
      </c>
      <c r="B1374" s="5" t="s">
        <v>2238</v>
      </c>
      <c r="C1374" s="5">
        <v>4</v>
      </c>
      <c r="D1374" s="5" t="s">
        <v>39</v>
      </c>
      <c r="E1374" t="s">
        <v>2239</v>
      </c>
      <c r="F1374" t="s">
        <v>2240</v>
      </c>
      <c r="G1374">
        <v>0</v>
      </c>
      <c r="H1374" t="s">
        <v>2241</v>
      </c>
      <c r="I1374" s="2">
        <v>2900</v>
      </c>
    </row>
    <row r="1375" spans="1:9" x14ac:dyDescent="0.3">
      <c r="A1375" s="5">
        <v>9460</v>
      </c>
      <c r="B1375" s="5" t="s">
        <v>2238</v>
      </c>
      <c r="C1375" s="5">
        <v>4</v>
      </c>
      <c r="D1375" s="5" t="s">
        <v>39</v>
      </c>
      <c r="E1375" t="s">
        <v>2239</v>
      </c>
      <c r="F1375" t="s">
        <v>2240</v>
      </c>
      <c r="G1375">
        <v>0</v>
      </c>
      <c r="H1375" t="s">
        <v>2242</v>
      </c>
      <c r="I1375" s="2">
        <v>4000</v>
      </c>
    </row>
    <row r="1376" spans="1:9" x14ac:dyDescent="0.3">
      <c r="A1376" s="5">
        <v>9460</v>
      </c>
      <c r="B1376" s="5" t="s">
        <v>2238</v>
      </c>
      <c r="C1376" s="5">
        <v>4</v>
      </c>
      <c r="D1376" s="5" t="s">
        <v>39</v>
      </c>
      <c r="E1376" t="s">
        <v>2239</v>
      </c>
      <c r="F1376" t="s">
        <v>2240</v>
      </c>
      <c r="G1376">
        <v>0</v>
      </c>
      <c r="H1376" t="s">
        <v>205</v>
      </c>
      <c r="I1376" s="2">
        <v>3500</v>
      </c>
    </row>
    <row r="1377" spans="1:9" x14ac:dyDescent="0.3">
      <c r="A1377" s="5">
        <v>9459</v>
      </c>
      <c r="B1377" s="5" t="s">
        <v>2243</v>
      </c>
      <c r="C1377" s="5">
        <v>5</v>
      </c>
      <c r="D1377" s="5" t="s">
        <v>63</v>
      </c>
      <c r="E1377" t="s">
        <v>2244</v>
      </c>
      <c r="F1377" t="s">
        <v>2245</v>
      </c>
      <c r="G1377">
        <v>0</v>
      </c>
      <c r="H1377" t="s">
        <v>88</v>
      </c>
      <c r="I1377" s="2">
        <v>35000</v>
      </c>
    </row>
    <row r="1378" spans="1:9" x14ac:dyDescent="0.3">
      <c r="A1378" s="5">
        <v>9459</v>
      </c>
      <c r="B1378" s="5" t="s">
        <v>2243</v>
      </c>
      <c r="C1378" s="5">
        <v>5</v>
      </c>
      <c r="D1378" s="5" t="s">
        <v>63</v>
      </c>
      <c r="E1378" t="s">
        <v>2244</v>
      </c>
      <c r="F1378" t="s">
        <v>2245</v>
      </c>
      <c r="G1378">
        <v>0</v>
      </c>
      <c r="H1378" t="s">
        <v>66</v>
      </c>
      <c r="I1378" s="2">
        <v>25000</v>
      </c>
    </row>
    <row r="1379" spans="1:9" x14ac:dyDescent="0.3">
      <c r="A1379" s="5">
        <v>9459</v>
      </c>
      <c r="B1379" s="5" t="s">
        <v>2243</v>
      </c>
      <c r="C1379" s="5">
        <v>5</v>
      </c>
      <c r="D1379" s="5" t="s">
        <v>63</v>
      </c>
      <c r="E1379" t="s">
        <v>2244</v>
      </c>
      <c r="F1379" t="s">
        <v>2245</v>
      </c>
      <c r="G1379">
        <v>0</v>
      </c>
      <c r="H1379" t="s">
        <v>67</v>
      </c>
      <c r="I1379" s="2">
        <v>13000</v>
      </c>
    </row>
    <row r="1380" spans="1:9" x14ac:dyDescent="0.3">
      <c r="A1380" s="5">
        <v>9458</v>
      </c>
      <c r="B1380" s="5" t="s">
        <v>2246</v>
      </c>
      <c r="C1380" s="5">
        <v>5</v>
      </c>
      <c r="D1380" s="5" t="s">
        <v>63</v>
      </c>
      <c r="E1380" t="s">
        <v>2247</v>
      </c>
      <c r="F1380" t="s">
        <v>2248</v>
      </c>
      <c r="G1380">
        <v>0</v>
      </c>
      <c r="H1380" t="s">
        <v>2249</v>
      </c>
      <c r="I1380" s="2">
        <v>10000</v>
      </c>
    </row>
    <row r="1381" spans="1:9" x14ac:dyDescent="0.3">
      <c r="A1381" s="5">
        <v>9458</v>
      </c>
      <c r="B1381" s="5" t="s">
        <v>2246</v>
      </c>
      <c r="C1381" s="5">
        <v>5</v>
      </c>
      <c r="D1381" s="5" t="s">
        <v>63</v>
      </c>
      <c r="E1381" t="s">
        <v>2247</v>
      </c>
      <c r="F1381" t="s">
        <v>2248</v>
      </c>
      <c r="G1381">
        <v>0</v>
      </c>
      <c r="H1381" t="s">
        <v>2250</v>
      </c>
      <c r="I1381" s="2">
        <v>30000</v>
      </c>
    </row>
    <row r="1382" spans="1:9" x14ac:dyDescent="0.3">
      <c r="A1382" s="5">
        <v>9457</v>
      </c>
      <c r="B1382" s="5" t="s">
        <v>2251</v>
      </c>
      <c r="C1382" s="5">
        <v>5</v>
      </c>
      <c r="D1382" s="5" t="s">
        <v>63</v>
      </c>
      <c r="E1382" t="s">
        <v>2252</v>
      </c>
      <c r="F1382" t="s">
        <v>2253</v>
      </c>
      <c r="G1382">
        <v>0</v>
      </c>
      <c r="H1382" t="s">
        <v>2254</v>
      </c>
      <c r="I1382" s="2">
        <v>10000</v>
      </c>
    </row>
    <row r="1383" spans="1:9" x14ac:dyDescent="0.3">
      <c r="A1383" s="5">
        <v>9457</v>
      </c>
      <c r="B1383" s="5" t="s">
        <v>2251</v>
      </c>
      <c r="C1383" s="5">
        <v>5</v>
      </c>
      <c r="D1383" s="5" t="s">
        <v>63</v>
      </c>
      <c r="E1383" t="s">
        <v>2252</v>
      </c>
      <c r="F1383" t="s">
        <v>2253</v>
      </c>
      <c r="G1383">
        <v>0</v>
      </c>
      <c r="H1383" t="s">
        <v>563</v>
      </c>
      <c r="I1383" s="2">
        <v>12000</v>
      </c>
    </row>
    <row r="1384" spans="1:9" x14ac:dyDescent="0.3">
      <c r="A1384" s="5">
        <v>9457</v>
      </c>
      <c r="B1384" s="5" t="s">
        <v>2251</v>
      </c>
      <c r="C1384" s="5">
        <v>5</v>
      </c>
      <c r="D1384" s="5" t="s">
        <v>63</v>
      </c>
      <c r="E1384" t="s">
        <v>2252</v>
      </c>
      <c r="F1384" t="s">
        <v>2253</v>
      </c>
      <c r="G1384">
        <v>0</v>
      </c>
      <c r="H1384" t="s">
        <v>67</v>
      </c>
      <c r="I1384" s="2">
        <v>10000</v>
      </c>
    </row>
    <row r="1385" spans="1:9" x14ac:dyDescent="0.3">
      <c r="A1385" s="5">
        <v>9456</v>
      </c>
      <c r="B1385" s="5" t="s">
        <v>2255</v>
      </c>
      <c r="C1385" s="5">
        <v>5</v>
      </c>
      <c r="D1385" s="5" t="s">
        <v>63</v>
      </c>
      <c r="E1385" t="s">
        <v>2256</v>
      </c>
      <c r="F1385" t="s">
        <v>2257</v>
      </c>
      <c r="G1385">
        <v>0</v>
      </c>
      <c r="H1385" t="s">
        <v>88</v>
      </c>
      <c r="I1385" s="2">
        <v>40000</v>
      </c>
    </row>
    <row r="1386" spans="1:9" x14ac:dyDescent="0.3">
      <c r="A1386" s="5">
        <v>9456</v>
      </c>
      <c r="B1386" s="5" t="s">
        <v>2255</v>
      </c>
      <c r="C1386" s="5">
        <v>5</v>
      </c>
      <c r="D1386" s="5" t="s">
        <v>63</v>
      </c>
      <c r="E1386" t="s">
        <v>2256</v>
      </c>
      <c r="F1386" t="s">
        <v>2257</v>
      </c>
      <c r="G1386">
        <v>0</v>
      </c>
      <c r="H1386" t="s">
        <v>67</v>
      </c>
      <c r="I1386" s="2">
        <v>10000</v>
      </c>
    </row>
    <row r="1387" spans="1:9" x14ac:dyDescent="0.3">
      <c r="A1387" s="5">
        <v>9456</v>
      </c>
      <c r="B1387" s="5" t="s">
        <v>2255</v>
      </c>
      <c r="C1387" s="5">
        <v>5</v>
      </c>
      <c r="D1387" s="5" t="s">
        <v>63</v>
      </c>
      <c r="E1387" t="s">
        <v>2256</v>
      </c>
      <c r="F1387" t="s">
        <v>2257</v>
      </c>
      <c r="G1387">
        <v>0</v>
      </c>
      <c r="H1387" t="s">
        <v>2258</v>
      </c>
      <c r="I1387" s="2">
        <v>20000</v>
      </c>
    </row>
    <row r="1388" spans="1:9" x14ac:dyDescent="0.3">
      <c r="A1388" s="5">
        <v>9455</v>
      </c>
      <c r="B1388" s="5" t="s">
        <v>2259</v>
      </c>
      <c r="C1388" s="5">
        <v>5</v>
      </c>
      <c r="D1388" s="5" t="s">
        <v>63</v>
      </c>
      <c r="E1388" t="s">
        <v>2260</v>
      </c>
      <c r="F1388" t="s">
        <v>2261</v>
      </c>
      <c r="G1388">
        <v>0</v>
      </c>
      <c r="H1388" t="s">
        <v>2262</v>
      </c>
      <c r="I1388" s="2">
        <v>8000</v>
      </c>
    </row>
    <row r="1389" spans="1:9" x14ac:dyDescent="0.3">
      <c r="A1389" s="5">
        <v>9455</v>
      </c>
      <c r="B1389" s="5" t="s">
        <v>2259</v>
      </c>
      <c r="C1389" s="5">
        <v>5</v>
      </c>
      <c r="D1389" s="5" t="s">
        <v>63</v>
      </c>
      <c r="E1389" t="s">
        <v>2260</v>
      </c>
      <c r="F1389" t="s">
        <v>2261</v>
      </c>
      <c r="G1389">
        <v>0</v>
      </c>
      <c r="H1389" t="s">
        <v>2263</v>
      </c>
      <c r="I1389" s="2">
        <v>25000</v>
      </c>
    </row>
    <row r="1390" spans="1:9" x14ac:dyDescent="0.3">
      <c r="A1390" s="5">
        <v>9455</v>
      </c>
      <c r="B1390" s="5" t="s">
        <v>2259</v>
      </c>
      <c r="C1390" s="5">
        <v>5</v>
      </c>
      <c r="D1390" s="5" t="s">
        <v>63</v>
      </c>
      <c r="E1390" t="s">
        <v>2260</v>
      </c>
      <c r="F1390" t="s">
        <v>2261</v>
      </c>
      <c r="G1390">
        <v>0</v>
      </c>
      <c r="H1390" t="s">
        <v>2249</v>
      </c>
      <c r="I1390" s="2">
        <v>10000</v>
      </c>
    </row>
    <row r="1391" spans="1:9" x14ac:dyDescent="0.3">
      <c r="A1391" s="5">
        <v>9454</v>
      </c>
      <c r="B1391" s="5" t="s">
        <v>2264</v>
      </c>
      <c r="C1391" s="5">
        <v>5</v>
      </c>
      <c r="D1391" s="5" t="s">
        <v>63</v>
      </c>
      <c r="E1391" t="s">
        <v>2265</v>
      </c>
      <c r="F1391" t="s">
        <v>2266</v>
      </c>
      <c r="G1391">
        <v>0</v>
      </c>
      <c r="H1391" t="s">
        <v>88</v>
      </c>
      <c r="I1391" s="2">
        <v>25000</v>
      </c>
    </row>
    <row r="1392" spans="1:9" x14ac:dyDescent="0.3">
      <c r="A1392" s="5">
        <v>9454</v>
      </c>
      <c r="B1392" s="5" t="s">
        <v>2264</v>
      </c>
      <c r="C1392" s="5">
        <v>5</v>
      </c>
      <c r="D1392" s="5" t="s">
        <v>63</v>
      </c>
      <c r="E1392" t="s">
        <v>2265</v>
      </c>
      <c r="F1392" t="s">
        <v>2266</v>
      </c>
      <c r="G1392">
        <v>0</v>
      </c>
      <c r="H1392" t="s">
        <v>67</v>
      </c>
      <c r="I1392" s="2">
        <v>10000</v>
      </c>
    </row>
    <row r="1393" spans="1:9" x14ac:dyDescent="0.3">
      <c r="A1393" s="5">
        <v>9453</v>
      </c>
      <c r="B1393" s="5" t="s">
        <v>2267</v>
      </c>
      <c r="C1393" s="5">
        <v>5</v>
      </c>
      <c r="D1393" s="5" t="s">
        <v>63</v>
      </c>
      <c r="E1393" t="s">
        <v>2268</v>
      </c>
      <c r="F1393" t="s">
        <v>2269</v>
      </c>
      <c r="G1393">
        <v>0</v>
      </c>
      <c r="H1393" t="s">
        <v>2142</v>
      </c>
      <c r="I1393" s="2">
        <v>7000</v>
      </c>
    </row>
    <row r="1394" spans="1:9" x14ac:dyDescent="0.3">
      <c r="A1394" s="5">
        <v>9453</v>
      </c>
      <c r="B1394" s="5" t="s">
        <v>2267</v>
      </c>
      <c r="C1394" s="5">
        <v>5</v>
      </c>
      <c r="D1394" s="5" t="s">
        <v>63</v>
      </c>
      <c r="E1394" t="s">
        <v>2268</v>
      </c>
      <c r="F1394" t="s">
        <v>2269</v>
      </c>
      <c r="G1394">
        <v>0</v>
      </c>
      <c r="H1394" t="s">
        <v>88</v>
      </c>
      <c r="I1394" s="2">
        <v>20000</v>
      </c>
    </row>
    <row r="1395" spans="1:9" x14ac:dyDescent="0.3">
      <c r="A1395" s="5">
        <v>9453</v>
      </c>
      <c r="B1395" s="5" t="s">
        <v>2267</v>
      </c>
      <c r="C1395" s="5">
        <v>5</v>
      </c>
      <c r="D1395" s="5" t="s">
        <v>63</v>
      </c>
      <c r="E1395" t="s">
        <v>2268</v>
      </c>
      <c r="F1395" t="s">
        <v>2269</v>
      </c>
      <c r="G1395">
        <v>0</v>
      </c>
      <c r="H1395" t="s">
        <v>2143</v>
      </c>
      <c r="I1395" s="2">
        <v>6000</v>
      </c>
    </row>
    <row r="1396" spans="1:9" x14ac:dyDescent="0.3">
      <c r="A1396" s="5">
        <v>9452</v>
      </c>
      <c r="B1396" s="5" t="s">
        <v>2270</v>
      </c>
      <c r="C1396" s="5">
        <v>5</v>
      </c>
      <c r="D1396" s="5" t="s">
        <v>63</v>
      </c>
      <c r="E1396" t="s">
        <v>2271</v>
      </c>
      <c r="F1396" t="s">
        <v>2272</v>
      </c>
      <c r="G1396">
        <v>0</v>
      </c>
      <c r="H1396" t="s">
        <v>67</v>
      </c>
      <c r="I1396" s="2">
        <v>10000</v>
      </c>
    </row>
    <row r="1397" spans="1:9" x14ac:dyDescent="0.3">
      <c r="A1397" s="5">
        <v>9452</v>
      </c>
      <c r="B1397" s="5" t="s">
        <v>2270</v>
      </c>
      <c r="C1397" s="5">
        <v>5</v>
      </c>
      <c r="D1397" s="5" t="s">
        <v>63</v>
      </c>
      <c r="E1397" t="s">
        <v>2271</v>
      </c>
      <c r="F1397" t="s">
        <v>2272</v>
      </c>
      <c r="G1397">
        <v>0</v>
      </c>
      <c r="H1397" t="s">
        <v>88</v>
      </c>
      <c r="I1397" s="2">
        <v>30000</v>
      </c>
    </row>
    <row r="1398" spans="1:9" x14ac:dyDescent="0.3">
      <c r="A1398" s="5">
        <v>9451</v>
      </c>
      <c r="B1398" s="5" t="s">
        <v>2273</v>
      </c>
      <c r="C1398" s="5">
        <v>5</v>
      </c>
      <c r="D1398" s="5" t="s">
        <v>63</v>
      </c>
      <c r="E1398" t="s">
        <v>2274</v>
      </c>
      <c r="F1398" t="s">
        <v>2275</v>
      </c>
      <c r="G1398">
        <v>0</v>
      </c>
      <c r="H1398" t="s">
        <v>88</v>
      </c>
      <c r="I1398" s="2">
        <v>3000</v>
      </c>
    </row>
    <row r="1399" spans="1:9" x14ac:dyDescent="0.3">
      <c r="A1399" s="5">
        <v>9451</v>
      </c>
      <c r="B1399" s="5" t="s">
        <v>2273</v>
      </c>
      <c r="C1399" s="5">
        <v>5</v>
      </c>
      <c r="D1399" s="5" t="s">
        <v>63</v>
      </c>
      <c r="E1399" t="s">
        <v>2274</v>
      </c>
      <c r="F1399" t="s">
        <v>2275</v>
      </c>
      <c r="G1399">
        <v>0</v>
      </c>
      <c r="H1399" t="s">
        <v>2142</v>
      </c>
      <c r="I1399" s="2">
        <v>10000</v>
      </c>
    </row>
    <row r="1400" spans="1:9" x14ac:dyDescent="0.3">
      <c r="A1400" s="5">
        <v>9451</v>
      </c>
      <c r="B1400" s="5" t="s">
        <v>2273</v>
      </c>
      <c r="C1400" s="5">
        <v>5</v>
      </c>
      <c r="D1400" s="5" t="s">
        <v>63</v>
      </c>
      <c r="E1400" t="s">
        <v>2274</v>
      </c>
      <c r="F1400" t="s">
        <v>2275</v>
      </c>
      <c r="G1400">
        <v>0</v>
      </c>
      <c r="H1400" t="s">
        <v>2143</v>
      </c>
      <c r="I1400" s="2">
        <v>12000</v>
      </c>
    </row>
    <row r="1401" spans="1:9" x14ac:dyDescent="0.3">
      <c r="A1401" s="5">
        <v>9450</v>
      </c>
      <c r="B1401" s="5" t="s">
        <v>2276</v>
      </c>
      <c r="C1401" s="5">
        <v>1</v>
      </c>
      <c r="D1401" s="5" t="s">
        <v>10</v>
      </c>
      <c r="E1401" t="s">
        <v>2277</v>
      </c>
      <c r="F1401" t="s">
        <v>2278</v>
      </c>
      <c r="G1401">
        <v>0</v>
      </c>
      <c r="H1401" t="s">
        <v>139</v>
      </c>
      <c r="I1401" s="2">
        <v>6000</v>
      </c>
    </row>
    <row r="1402" spans="1:9" x14ac:dyDescent="0.3">
      <c r="A1402" s="5">
        <v>9450</v>
      </c>
      <c r="B1402" s="5" t="s">
        <v>2276</v>
      </c>
      <c r="C1402" s="5">
        <v>1</v>
      </c>
      <c r="D1402" s="5" t="s">
        <v>10</v>
      </c>
      <c r="E1402" t="s">
        <v>2277</v>
      </c>
      <c r="F1402" t="s">
        <v>2278</v>
      </c>
      <c r="G1402">
        <v>0</v>
      </c>
      <c r="H1402" t="s">
        <v>126</v>
      </c>
      <c r="I1402" s="2">
        <v>6000</v>
      </c>
    </row>
    <row r="1403" spans="1:9" x14ac:dyDescent="0.3">
      <c r="A1403" s="5">
        <v>9450</v>
      </c>
      <c r="B1403" s="5" t="s">
        <v>2276</v>
      </c>
      <c r="C1403" s="5">
        <v>1</v>
      </c>
      <c r="D1403" s="5" t="s">
        <v>10</v>
      </c>
      <c r="E1403" t="s">
        <v>2277</v>
      </c>
      <c r="F1403" t="s">
        <v>2278</v>
      </c>
      <c r="G1403">
        <v>0</v>
      </c>
      <c r="H1403" t="s">
        <v>1206</v>
      </c>
      <c r="I1403" s="2">
        <v>6000</v>
      </c>
    </row>
    <row r="1404" spans="1:9" x14ac:dyDescent="0.3">
      <c r="A1404" s="5">
        <v>9449</v>
      </c>
      <c r="B1404" s="5" t="s">
        <v>2279</v>
      </c>
      <c r="C1404" s="5">
        <v>1</v>
      </c>
      <c r="D1404" s="5" t="s">
        <v>10</v>
      </c>
      <c r="E1404" t="s">
        <v>2280</v>
      </c>
      <c r="F1404" t="s">
        <v>2281</v>
      </c>
      <c r="G1404">
        <v>0</v>
      </c>
      <c r="H1404" t="s">
        <v>259</v>
      </c>
      <c r="I1404" s="2">
        <v>6000</v>
      </c>
    </row>
    <row r="1405" spans="1:9" x14ac:dyDescent="0.3">
      <c r="A1405" s="5">
        <v>9448</v>
      </c>
      <c r="B1405" s="5" t="s">
        <v>1022</v>
      </c>
      <c r="C1405" s="5">
        <v>1</v>
      </c>
      <c r="D1405" s="5" t="s">
        <v>10</v>
      </c>
      <c r="E1405" t="s">
        <v>2282</v>
      </c>
      <c r="F1405" t="s">
        <v>2283</v>
      </c>
      <c r="G1405">
        <v>0</v>
      </c>
      <c r="H1405" t="s">
        <v>21</v>
      </c>
      <c r="I1405" s="2">
        <v>5000</v>
      </c>
    </row>
    <row r="1406" spans="1:9" x14ac:dyDescent="0.3">
      <c r="A1406" s="5">
        <v>9448</v>
      </c>
      <c r="B1406" s="5" t="s">
        <v>1022</v>
      </c>
      <c r="C1406" s="5">
        <v>1</v>
      </c>
      <c r="D1406" s="5" t="s">
        <v>10</v>
      </c>
      <c r="E1406" t="s">
        <v>2282</v>
      </c>
      <c r="F1406" t="s">
        <v>2283</v>
      </c>
      <c r="G1406">
        <v>0</v>
      </c>
      <c r="H1406" t="s">
        <v>175</v>
      </c>
      <c r="I1406" s="2">
        <v>5000</v>
      </c>
    </row>
    <row r="1407" spans="1:9" x14ac:dyDescent="0.3">
      <c r="A1407" s="5">
        <v>9447</v>
      </c>
      <c r="B1407" s="5" t="s">
        <v>2284</v>
      </c>
      <c r="C1407" s="5">
        <v>1</v>
      </c>
      <c r="D1407" s="5" t="s">
        <v>10</v>
      </c>
      <c r="E1407" t="s">
        <v>2285</v>
      </c>
      <c r="F1407" t="s">
        <v>2286</v>
      </c>
      <c r="G1407">
        <v>0</v>
      </c>
      <c r="H1407" t="s">
        <v>2287</v>
      </c>
      <c r="I1407" s="2">
        <v>26000</v>
      </c>
    </row>
    <row r="1408" spans="1:9" x14ac:dyDescent="0.3">
      <c r="A1408" s="5">
        <v>9447</v>
      </c>
      <c r="B1408" s="5" t="s">
        <v>2284</v>
      </c>
      <c r="C1408" s="5">
        <v>1</v>
      </c>
      <c r="D1408" s="5" t="s">
        <v>10</v>
      </c>
      <c r="E1408" t="s">
        <v>2285</v>
      </c>
      <c r="F1408" t="s">
        <v>2286</v>
      </c>
      <c r="G1408">
        <v>0</v>
      </c>
      <c r="H1408" t="s">
        <v>153</v>
      </c>
      <c r="I1408" s="2">
        <v>8000</v>
      </c>
    </row>
    <row r="1409" spans="1:9" x14ac:dyDescent="0.3">
      <c r="A1409" s="5">
        <v>9447</v>
      </c>
      <c r="B1409" s="5" t="s">
        <v>2284</v>
      </c>
      <c r="C1409" s="5">
        <v>1</v>
      </c>
      <c r="D1409" s="5" t="s">
        <v>10</v>
      </c>
      <c r="E1409" t="s">
        <v>2285</v>
      </c>
      <c r="F1409" t="s">
        <v>2286</v>
      </c>
      <c r="G1409">
        <v>0</v>
      </c>
      <c r="H1409" t="s">
        <v>187</v>
      </c>
      <c r="I1409" s="2">
        <v>7000</v>
      </c>
    </row>
    <row r="1410" spans="1:9" x14ac:dyDescent="0.3">
      <c r="A1410" s="5">
        <v>9447</v>
      </c>
      <c r="B1410" s="5" t="s">
        <v>2284</v>
      </c>
      <c r="C1410" s="5">
        <v>1</v>
      </c>
      <c r="D1410" s="5" t="s">
        <v>10</v>
      </c>
      <c r="E1410" t="s">
        <v>2285</v>
      </c>
      <c r="F1410" t="s">
        <v>2286</v>
      </c>
      <c r="G1410">
        <v>0</v>
      </c>
      <c r="H1410" t="s">
        <v>187</v>
      </c>
      <c r="I1410" s="2">
        <v>6000</v>
      </c>
    </row>
    <row r="1411" spans="1:9" x14ac:dyDescent="0.3">
      <c r="A1411" s="5">
        <v>9446</v>
      </c>
      <c r="B1411" s="5" t="s">
        <v>2288</v>
      </c>
      <c r="C1411" s="5">
        <v>1</v>
      </c>
      <c r="D1411" s="5" t="s">
        <v>10</v>
      </c>
      <c r="E1411" t="s">
        <v>2289</v>
      </c>
      <c r="F1411" t="s">
        <v>2290</v>
      </c>
      <c r="G1411">
        <v>0</v>
      </c>
      <c r="H1411" t="s">
        <v>10</v>
      </c>
      <c r="I1411" s="2">
        <v>6000</v>
      </c>
    </row>
    <row r="1412" spans="1:9" x14ac:dyDescent="0.3">
      <c r="A1412" s="5">
        <v>9445</v>
      </c>
      <c r="B1412" s="5" t="s">
        <v>1071</v>
      </c>
      <c r="C1412" s="5">
        <v>5</v>
      </c>
      <c r="D1412" s="5" t="s">
        <v>63</v>
      </c>
      <c r="E1412" t="s">
        <v>2291</v>
      </c>
      <c r="F1412" t="s">
        <v>2292</v>
      </c>
      <c r="G1412">
        <v>0</v>
      </c>
      <c r="H1412" t="s">
        <v>67</v>
      </c>
      <c r="I1412" s="2">
        <v>6000</v>
      </c>
    </row>
    <row r="1413" spans="1:9" x14ac:dyDescent="0.3">
      <c r="A1413" s="5">
        <v>9445</v>
      </c>
      <c r="B1413" s="5" t="s">
        <v>1071</v>
      </c>
      <c r="C1413" s="5">
        <v>5</v>
      </c>
      <c r="D1413" s="5" t="s">
        <v>63</v>
      </c>
      <c r="E1413" t="s">
        <v>2291</v>
      </c>
      <c r="F1413" t="s">
        <v>2292</v>
      </c>
      <c r="G1413">
        <v>0</v>
      </c>
      <c r="H1413" t="s">
        <v>88</v>
      </c>
      <c r="I1413" s="2">
        <v>25000</v>
      </c>
    </row>
    <row r="1414" spans="1:9" x14ac:dyDescent="0.3">
      <c r="A1414" s="5">
        <v>9444</v>
      </c>
      <c r="B1414" s="5" t="s">
        <v>2293</v>
      </c>
      <c r="C1414" s="5">
        <v>4</v>
      </c>
      <c r="D1414" s="5" t="s">
        <v>39</v>
      </c>
      <c r="E1414" t="s">
        <v>2294</v>
      </c>
      <c r="F1414" t="s">
        <v>74</v>
      </c>
      <c r="G1414">
        <v>0</v>
      </c>
      <c r="H1414" t="s">
        <v>342</v>
      </c>
      <c r="I1414" s="2">
        <v>3500</v>
      </c>
    </row>
    <row r="1415" spans="1:9" x14ac:dyDescent="0.3">
      <c r="A1415" s="5">
        <v>9444</v>
      </c>
      <c r="B1415" s="5" t="s">
        <v>2293</v>
      </c>
      <c r="C1415" s="5">
        <v>4</v>
      </c>
      <c r="D1415" s="5" t="s">
        <v>39</v>
      </c>
      <c r="E1415" t="s">
        <v>2294</v>
      </c>
      <c r="F1415" t="s">
        <v>74</v>
      </c>
      <c r="G1415">
        <v>0</v>
      </c>
      <c r="H1415" t="s">
        <v>205</v>
      </c>
      <c r="I1415" s="2">
        <v>2500</v>
      </c>
    </row>
    <row r="1416" spans="1:9" x14ac:dyDescent="0.3">
      <c r="A1416" s="5">
        <v>9442</v>
      </c>
      <c r="B1416" s="5" t="s">
        <v>2295</v>
      </c>
      <c r="C1416" s="5">
        <v>1</v>
      </c>
      <c r="D1416" s="5" t="s">
        <v>10</v>
      </c>
      <c r="E1416" t="s">
        <v>2296</v>
      </c>
      <c r="F1416" t="s">
        <v>2297</v>
      </c>
      <c r="G1416">
        <v>0</v>
      </c>
    </row>
    <row r="1417" spans="1:9" x14ac:dyDescent="0.3">
      <c r="A1417" s="5">
        <v>9441</v>
      </c>
      <c r="B1417" s="5" t="s">
        <v>2298</v>
      </c>
      <c r="C1417" s="5">
        <v>1</v>
      </c>
      <c r="D1417" s="5" t="s">
        <v>10</v>
      </c>
      <c r="E1417" t="s">
        <v>2299</v>
      </c>
      <c r="F1417" t="s">
        <v>2300</v>
      </c>
      <c r="G1417">
        <v>0</v>
      </c>
      <c r="H1417" t="s">
        <v>71</v>
      </c>
      <c r="I1417" s="2">
        <v>7000</v>
      </c>
    </row>
    <row r="1418" spans="1:9" x14ac:dyDescent="0.3">
      <c r="A1418" s="5">
        <v>9440</v>
      </c>
      <c r="B1418" s="5" t="s">
        <v>2301</v>
      </c>
      <c r="C1418" s="5">
        <v>1</v>
      </c>
      <c r="D1418" s="5" t="s">
        <v>10</v>
      </c>
      <c r="E1418" t="s">
        <v>2302</v>
      </c>
      <c r="F1418" t="s">
        <v>2303</v>
      </c>
      <c r="G1418">
        <v>0</v>
      </c>
      <c r="H1418" t="s">
        <v>988</v>
      </c>
      <c r="I1418" s="2">
        <v>24000</v>
      </c>
    </row>
    <row r="1419" spans="1:9" x14ac:dyDescent="0.3">
      <c r="A1419" s="5">
        <v>9439</v>
      </c>
      <c r="B1419" s="5" t="s">
        <v>2304</v>
      </c>
      <c r="C1419" s="5">
        <v>1</v>
      </c>
      <c r="D1419" s="5" t="s">
        <v>10</v>
      </c>
      <c r="E1419" t="s">
        <v>2305</v>
      </c>
      <c r="F1419" t="s">
        <v>2306</v>
      </c>
      <c r="G1419">
        <v>0</v>
      </c>
      <c r="H1419" t="s">
        <v>217</v>
      </c>
      <c r="I1419" s="2">
        <v>7000</v>
      </c>
    </row>
    <row r="1420" spans="1:9" x14ac:dyDescent="0.3">
      <c r="A1420" s="5">
        <v>9439</v>
      </c>
      <c r="B1420" s="5" t="s">
        <v>2304</v>
      </c>
      <c r="C1420" s="5">
        <v>1</v>
      </c>
      <c r="D1420" s="5" t="s">
        <v>10</v>
      </c>
      <c r="E1420" t="s">
        <v>2305</v>
      </c>
      <c r="F1420" t="s">
        <v>2306</v>
      </c>
      <c r="G1420">
        <v>0</v>
      </c>
      <c r="H1420" t="s">
        <v>2116</v>
      </c>
      <c r="I1420" s="2">
        <v>6000</v>
      </c>
    </row>
    <row r="1421" spans="1:9" x14ac:dyDescent="0.3">
      <c r="A1421" s="5">
        <v>9438</v>
      </c>
      <c r="B1421" s="5" t="s">
        <v>2307</v>
      </c>
      <c r="C1421" s="5">
        <v>1</v>
      </c>
      <c r="D1421" s="5" t="s">
        <v>10</v>
      </c>
      <c r="E1421" t="s">
        <v>2308</v>
      </c>
      <c r="F1421" t="s">
        <v>2309</v>
      </c>
      <c r="G1421">
        <v>0</v>
      </c>
      <c r="H1421" t="s">
        <v>2310</v>
      </c>
      <c r="I1421" s="2">
        <v>15000</v>
      </c>
    </row>
    <row r="1422" spans="1:9" x14ac:dyDescent="0.3">
      <c r="A1422" s="5">
        <v>9438</v>
      </c>
      <c r="B1422" s="5" t="s">
        <v>2307</v>
      </c>
      <c r="C1422" s="5">
        <v>1</v>
      </c>
      <c r="D1422" s="5" t="s">
        <v>10</v>
      </c>
      <c r="E1422" t="s">
        <v>2308</v>
      </c>
      <c r="F1422" t="s">
        <v>2309</v>
      </c>
      <c r="G1422">
        <v>0</v>
      </c>
      <c r="H1422" t="s">
        <v>2311</v>
      </c>
      <c r="I1422" s="2">
        <v>18000</v>
      </c>
    </row>
    <row r="1423" spans="1:9" x14ac:dyDescent="0.3">
      <c r="A1423" s="5">
        <v>9438</v>
      </c>
      <c r="B1423" s="5" t="s">
        <v>2307</v>
      </c>
      <c r="C1423" s="5">
        <v>1</v>
      </c>
      <c r="D1423" s="5" t="s">
        <v>10</v>
      </c>
      <c r="E1423" t="s">
        <v>2308</v>
      </c>
      <c r="F1423" t="s">
        <v>2309</v>
      </c>
      <c r="G1423">
        <v>0</v>
      </c>
      <c r="H1423" t="s">
        <v>2312</v>
      </c>
      <c r="I1423" s="2">
        <v>12000</v>
      </c>
    </row>
    <row r="1424" spans="1:9" x14ac:dyDescent="0.3">
      <c r="A1424" s="5">
        <v>9437</v>
      </c>
      <c r="B1424" s="5" t="s">
        <v>2313</v>
      </c>
      <c r="C1424" s="5">
        <v>5</v>
      </c>
      <c r="D1424" s="5" t="s">
        <v>63</v>
      </c>
      <c r="E1424" t="s">
        <v>2314</v>
      </c>
      <c r="G1424">
        <v>0</v>
      </c>
      <c r="H1424" t="s">
        <v>117</v>
      </c>
      <c r="I1424" s="2">
        <v>7000</v>
      </c>
    </row>
    <row r="1425" spans="1:9" x14ac:dyDescent="0.3">
      <c r="A1425" s="5">
        <v>9436</v>
      </c>
      <c r="B1425" s="5" t="s">
        <v>2315</v>
      </c>
      <c r="C1425" s="5">
        <v>5</v>
      </c>
      <c r="D1425" s="5" t="s">
        <v>63</v>
      </c>
      <c r="E1425" t="s">
        <v>2316</v>
      </c>
      <c r="F1425" t="s">
        <v>74</v>
      </c>
      <c r="G1425">
        <v>0</v>
      </c>
      <c r="H1425" t="s">
        <v>1318</v>
      </c>
      <c r="I1425" s="2">
        <v>7000</v>
      </c>
    </row>
    <row r="1426" spans="1:9" x14ac:dyDescent="0.3">
      <c r="A1426" s="5">
        <v>9436</v>
      </c>
      <c r="B1426" s="5" t="s">
        <v>2315</v>
      </c>
      <c r="C1426" s="5">
        <v>5</v>
      </c>
      <c r="D1426" s="5" t="s">
        <v>63</v>
      </c>
      <c r="E1426" t="s">
        <v>2316</v>
      </c>
      <c r="F1426" t="s">
        <v>74</v>
      </c>
      <c r="G1426">
        <v>0</v>
      </c>
      <c r="H1426" t="s">
        <v>67</v>
      </c>
      <c r="I1426" s="2">
        <v>8000</v>
      </c>
    </row>
    <row r="1427" spans="1:9" x14ac:dyDescent="0.3">
      <c r="A1427" s="5">
        <v>9436</v>
      </c>
      <c r="B1427" s="5" t="s">
        <v>2315</v>
      </c>
      <c r="C1427" s="5">
        <v>5</v>
      </c>
      <c r="D1427" s="5" t="s">
        <v>63</v>
      </c>
      <c r="E1427" t="s">
        <v>2316</v>
      </c>
      <c r="F1427" t="s">
        <v>74</v>
      </c>
      <c r="G1427">
        <v>0</v>
      </c>
      <c r="H1427" t="s">
        <v>88</v>
      </c>
      <c r="I1427" s="2">
        <v>25000</v>
      </c>
    </row>
    <row r="1428" spans="1:9" x14ac:dyDescent="0.3">
      <c r="A1428" s="5">
        <v>9435</v>
      </c>
      <c r="B1428" s="5" t="s">
        <v>2317</v>
      </c>
      <c r="C1428" s="5">
        <v>4</v>
      </c>
      <c r="D1428" s="5" t="s">
        <v>39</v>
      </c>
      <c r="E1428" t="s">
        <v>2318</v>
      </c>
      <c r="F1428" t="s">
        <v>74</v>
      </c>
      <c r="G1428">
        <v>0</v>
      </c>
      <c r="H1428" t="s">
        <v>2319</v>
      </c>
      <c r="I1428" s="2">
        <v>3500</v>
      </c>
    </row>
    <row r="1429" spans="1:9" x14ac:dyDescent="0.3">
      <c r="A1429" s="5">
        <v>9435</v>
      </c>
      <c r="B1429" s="5" t="s">
        <v>2317</v>
      </c>
      <c r="C1429" s="5">
        <v>4</v>
      </c>
      <c r="D1429" s="5" t="s">
        <v>39</v>
      </c>
      <c r="E1429" t="s">
        <v>2318</v>
      </c>
      <c r="F1429" t="s">
        <v>74</v>
      </c>
      <c r="G1429">
        <v>0</v>
      </c>
      <c r="H1429" t="s">
        <v>1011</v>
      </c>
      <c r="I1429" s="2">
        <v>1300</v>
      </c>
    </row>
    <row r="1430" spans="1:9" x14ac:dyDescent="0.3">
      <c r="A1430" s="5">
        <v>9435</v>
      </c>
      <c r="B1430" s="5" t="s">
        <v>2317</v>
      </c>
      <c r="C1430" s="5">
        <v>4</v>
      </c>
      <c r="D1430" s="5" t="s">
        <v>39</v>
      </c>
      <c r="E1430" t="s">
        <v>2318</v>
      </c>
      <c r="F1430" t="s">
        <v>74</v>
      </c>
      <c r="G1430">
        <v>0</v>
      </c>
      <c r="H1430" t="s">
        <v>2320</v>
      </c>
      <c r="I1430" s="2">
        <v>1300</v>
      </c>
    </row>
    <row r="1431" spans="1:9" x14ac:dyDescent="0.3">
      <c r="A1431" s="5">
        <v>9434</v>
      </c>
      <c r="B1431" s="5" t="s">
        <v>2321</v>
      </c>
      <c r="C1431" s="5">
        <v>4</v>
      </c>
      <c r="D1431" s="5" t="s">
        <v>39</v>
      </c>
      <c r="E1431" t="s">
        <v>2322</v>
      </c>
      <c r="F1431" t="s">
        <v>2323</v>
      </c>
      <c r="G1431">
        <v>0</v>
      </c>
      <c r="H1431" t="s">
        <v>2324</v>
      </c>
      <c r="I1431" s="2">
        <v>3800</v>
      </c>
    </row>
    <row r="1432" spans="1:9" x14ac:dyDescent="0.3">
      <c r="A1432" s="5">
        <v>9434</v>
      </c>
      <c r="B1432" s="5" t="s">
        <v>2321</v>
      </c>
      <c r="C1432" s="5">
        <v>4</v>
      </c>
      <c r="D1432" s="5" t="s">
        <v>39</v>
      </c>
      <c r="E1432" t="s">
        <v>2322</v>
      </c>
      <c r="F1432" t="s">
        <v>2323</v>
      </c>
      <c r="G1432">
        <v>0</v>
      </c>
      <c r="H1432" t="s">
        <v>342</v>
      </c>
      <c r="I1432" s="2">
        <v>2800</v>
      </c>
    </row>
    <row r="1433" spans="1:9" x14ac:dyDescent="0.3">
      <c r="A1433" s="5">
        <v>9434</v>
      </c>
      <c r="B1433" s="5" t="s">
        <v>2321</v>
      </c>
      <c r="C1433" s="5">
        <v>4</v>
      </c>
      <c r="D1433" s="5" t="s">
        <v>39</v>
      </c>
      <c r="E1433" t="s">
        <v>2322</v>
      </c>
      <c r="F1433" t="s">
        <v>2323</v>
      </c>
      <c r="G1433">
        <v>0</v>
      </c>
      <c r="H1433" t="s">
        <v>205</v>
      </c>
      <c r="I1433" s="2">
        <v>2000</v>
      </c>
    </row>
    <row r="1434" spans="1:9" x14ac:dyDescent="0.3">
      <c r="A1434" s="5">
        <v>9434</v>
      </c>
      <c r="B1434" s="5" t="s">
        <v>2321</v>
      </c>
      <c r="C1434" s="5">
        <v>4</v>
      </c>
      <c r="D1434" s="5" t="s">
        <v>39</v>
      </c>
      <c r="E1434" t="s">
        <v>2322</v>
      </c>
      <c r="F1434" t="s">
        <v>2323</v>
      </c>
      <c r="G1434">
        <v>0</v>
      </c>
      <c r="H1434" t="s">
        <v>2325</v>
      </c>
      <c r="I1434" s="2">
        <v>5500</v>
      </c>
    </row>
    <row r="1435" spans="1:9" x14ac:dyDescent="0.3">
      <c r="A1435" s="5">
        <v>9433</v>
      </c>
      <c r="B1435" s="5" t="s">
        <v>2326</v>
      </c>
      <c r="C1435" s="5">
        <v>1</v>
      </c>
      <c r="D1435" s="5" t="s">
        <v>10</v>
      </c>
      <c r="E1435" t="s">
        <v>2327</v>
      </c>
      <c r="F1435" t="s">
        <v>2328</v>
      </c>
      <c r="G1435">
        <v>0</v>
      </c>
      <c r="H1435" t="s">
        <v>149</v>
      </c>
      <c r="I1435" s="2">
        <v>5000</v>
      </c>
    </row>
    <row r="1436" spans="1:9" x14ac:dyDescent="0.3">
      <c r="A1436" s="5">
        <v>9433</v>
      </c>
      <c r="B1436" s="5" t="s">
        <v>2326</v>
      </c>
      <c r="C1436" s="5">
        <v>1</v>
      </c>
      <c r="D1436" s="5" t="s">
        <v>10</v>
      </c>
      <c r="E1436" t="s">
        <v>2327</v>
      </c>
      <c r="F1436" t="s">
        <v>2328</v>
      </c>
      <c r="G1436">
        <v>0</v>
      </c>
      <c r="H1436" t="s">
        <v>35</v>
      </c>
      <c r="I1436" s="2">
        <v>5000</v>
      </c>
    </row>
    <row r="1437" spans="1:9" x14ac:dyDescent="0.3">
      <c r="A1437" s="5">
        <v>9433</v>
      </c>
      <c r="B1437" s="5" t="s">
        <v>2326</v>
      </c>
      <c r="C1437" s="5">
        <v>1</v>
      </c>
      <c r="D1437" s="5" t="s">
        <v>10</v>
      </c>
      <c r="E1437" t="s">
        <v>2327</v>
      </c>
      <c r="F1437" t="s">
        <v>2328</v>
      </c>
      <c r="G1437">
        <v>0</v>
      </c>
      <c r="H1437" t="s">
        <v>37</v>
      </c>
      <c r="I1437" s="2">
        <v>5000</v>
      </c>
    </row>
    <row r="1438" spans="1:9" x14ac:dyDescent="0.3">
      <c r="A1438" s="5">
        <v>9432</v>
      </c>
      <c r="B1438" s="5" t="s">
        <v>2329</v>
      </c>
      <c r="C1438" s="5">
        <v>2</v>
      </c>
      <c r="D1438" s="5" t="s">
        <v>261</v>
      </c>
      <c r="E1438" t="s">
        <v>2330</v>
      </c>
      <c r="F1438" t="s">
        <v>2331</v>
      </c>
      <c r="G1438">
        <v>0</v>
      </c>
      <c r="H1438" t="s">
        <v>265</v>
      </c>
      <c r="I1438" s="2">
        <v>5000</v>
      </c>
    </row>
    <row r="1439" spans="1:9" x14ac:dyDescent="0.3">
      <c r="A1439" s="5">
        <v>9432</v>
      </c>
      <c r="B1439" s="5" t="s">
        <v>2329</v>
      </c>
      <c r="C1439" s="5">
        <v>2</v>
      </c>
      <c r="D1439" s="5" t="s">
        <v>261</v>
      </c>
      <c r="E1439" t="s">
        <v>2330</v>
      </c>
      <c r="F1439" t="s">
        <v>2331</v>
      </c>
      <c r="G1439">
        <v>0</v>
      </c>
      <c r="H1439" t="s">
        <v>37</v>
      </c>
      <c r="I1439" s="2">
        <v>5500</v>
      </c>
    </row>
    <row r="1440" spans="1:9" x14ac:dyDescent="0.3">
      <c r="A1440" s="5">
        <v>9432</v>
      </c>
      <c r="B1440" s="5" t="s">
        <v>2329</v>
      </c>
      <c r="C1440" s="5">
        <v>2</v>
      </c>
      <c r="D1440" s="5" t="s">
        <v>261</v>
      </c>
      <c r="E1440" t="s">
        <v>2330</v>
      </c>
      <c r="F1440" t="s">
        <v>2331</v>
      </c>
      <c r="G1440">
        <v>0</v>
      </c>
      <c r="H1440" t="s">
        <v>264</v>
      </c>
      <c r="I1440" s="2">
        <v>4000</v>
      </c>
    </row>
    <row r="1441" spans="1:9" x14ac:dyDescent="0.3">
      <c r="A1441" s="5">
        <v>9431</v>
      </c>
      <c r="B1441" s="5" t="s">
        <v>2332</v>
      </c>
      <c r="C1441" s="5">
        <v>4</v>
      </c>
      <c r="D1441" s="5" t="s">
        <v>39</v>
      </c>
      <c r="E1441" t="s">
        <v>2333</v>
      </c>
      <c r="F1441" t="s">
        <v>2334</v>
      </c>
      <c r="G1441">
        <v>0</v>
      </c>
      <c r="H1441" t="s">
        <v>2335</v>
      </c>
      <c r="I1441" s="2">
        <v>4400</v>
      </c>
    </row>
    <row r="1442" spans="1:9" x14ac:dyDescent="0.3">
      <c r="A1442" s="5">
        <v>9431</v>
      </c>
      <c r="B1442" s="5" t="s">
        <v>2332</v>
      </c>
      <c r="C1442" s="5">
        <v>4</v>
      </c>
      <c r="D1442" s="5" t="s">
        <v>39</v>
      </c>
      <c r="E1442" t="s">
        <v>2333</v>
      </c>
      <c r="F1442" t="s">
        <v>2334</v>
      </c>
      <c r="G1442">
        <v>0</v>
      </c>
      <c r="H1442" t="s">
        <v>205</v>
      </c>
      <c r="I1442" s="2">
        <v>2900</v>
      </c>
    </row>
    <row r="1443" spans="1:9" x14ac:dyDescent="0.3">
      <c r="A1443" s="5">
        <v>9431</v>
      </c>
      <c r="B1443" s="5" t="s">
        <v>2332</v>
      </c>
      <c r="C1443" s="5">
        <v>4</v>
      </c>
      <c r="D1443" s="5" t="s">
        <v>39</v>
      </c>
      <c r="E1443" t="s">
        <v>2333</v>
      </c>
      <c r="F1443" t="s">
        <v>2334</v>
      </c>
      <c r="G1443">
        <v>0</v>
      </c>
      <c r="H1443" t="s">
        <v>2336</v>
      </c>
      <c r="I1443" s="2">
        <v>3200</v>
      </c>
    </row>
    <row r="1444" spans="1:9" x14ac:dyDescent="0.3">
      <c r="A1444" s="5">
        <v>9431</v>
      </c>
      <c r="B1444" s="5" t="s">
        <v>2332</v>
      </c>
      <c r="C1444" s="5">
        <v>4</v>
      </c>
      <c r="D1444" s="5" t="s">
        <v>39</v>
      </c>
      <c r="E1444" t="s">
        <v>2333</v>
      </c>
      <c r="F1444" t="s">
        <v>2334</v>
      </c>
      <c r="G1444">
        <v>0</v>
      </c>
      <c r="H1444" t="s">
        <v>1011</v>
      </c>
      <c r="I1444" s="2">
        <v>2900</v>
      </c>
    </row>
    <row r="1445" spans="1:9" x14ac:dyDescent="0.3">
      <c r="A1445" s="5">
        <v>9430</v>
      </c>
      <c r="B1445" s="5" t="s">
        <v>2337</v>
      </c>
      <c r="C1445" s="5">
        <v>4</v>
      </c>
      <c r="D1445" s="5" t="s">
        <v>39</v>
      </c>
      <c r="E1445" t="s">
        <v>2338</v>
      </c>
      <c r="F1445" t="s">
        <v>2339</v>
      </c>
      <c r="G1445">
        <v>0</v>
      </c>
      <c r="H1445" t="s">
        <v>205</v>
      </c>
      <c r="I1445" s="2">
        <v>2500</v>
      </c>
    </row>
    <row r="1446" spans="1:9" x14ac:dyDescent="0.3">
      <c r="A1446" s="5">
        <v>9430</v>
      </c>
      <c r="B1446" s="5" t="s">
        <v>2337</v>
      </c>
      <c r="C1446" s="5">
        <v>4</v>
      </c>
      <c r="D1446" s="5" t="s">
        <v>39</v>
      </c>
      <c r="E1446" t="s">
        <v>2338</v>
      </c>
      <c r="F1446" t="s">
        <v>2339</v>
      </c>
      <c r="G1446">
        <v>0</v>
      </c>
      <c r="H1446" t="s">
        <v>342</v>
      </c>
      <c r="I1446" s="2">
        <v>3000</v>
      </c>
    </row>
    <row r="1447" spans="1:9" x14ac:dyDescent="0.3">
      <c r="A1447" s="5">
        <v>9429</v>
      </c>
      <c r="B1447" s="5" t="s">
        <v>2340</v>
      </c>
      <c r="C1447" s="5">
        <v>1</v>
      </c>
      <c r="D1447" s="5" t="s">
        <v>10</v>
      </c>
      <c r="E1447" t="s">
        <v>2341</v>
      </c>
      <c r="F1447" t="s">
        <v>2342</v>
      </c>
      <c r="G1447">
        <v>0</v>
      </c>
      <c r="H1447" t="s">
        <v>2343</v>
      </c>
      <c r="I1447" s="2">
        <v>18000</v>
      </c>
    </row>
    <row r="1448" spans="1:9" x14ac:dyDescent="0.3">
      <c r="A1448" s="5">
        <v>9429</v>
      </c>
      <c r="B1448" s="5" t="s">
        <v>2340</v>
      </c>
      <c r="C1448" s="5">
        <v>1</v>
      </c>
      <c r="D1448" s="5" t="s">
        <v>10</v>
      </c>
      <c r="E1448" t="s">
        <v>2341</v>
      </c>
      <c r="F1448" t="s">
        <v>2342</v>
      </c>
      <c r="G1448">
        <v>0</v>
      </c>
      <c r="H1448" t="s">
        <v>229</v>
      </c>
      <c r="I1448" s="2">
        <v>7000</v>
      </c>
    </row>
    <row r="1449" spans="1:9" x14ac:dyDescent="0.3">
      <c r="A1449" s="5">
        <v>9428</v>
      </c>
      <c r="B1449" s="5" t="s">
        <v>2344</v>
      </c>
      <c r="C1449" s="5">
        <v>4</v>
      </c>
      <c r="D1449" s="5" t="s">
        <v>39</v>
      </c>
      <c r="E1449" t="s">
        <v>2345</v>
      </c>
      <c r="F1449" t="s">
        <v>2346</v>
      </c>
      <c r="G1449">
        <v>0</v>
      </c>
      <c r="H1449" t="s">
        <v>80</v>
      </c>
      <c r="I1449" s="2">
        <v>2500</v>
      </c>
    </row>
    <row r="1450" spans="1:9" x14ac:dyDescent="0.3">
      <c r="A1450" s="5">
        <v>9427</v>
      </c>
      <c r="B1450" s="5" t="s">
        <v>2347</v>
      </c>
      <c r="C1450" s="5">
        <v>5</v>
      </c>
      <c r="D1450" s="5" t="s">
        <v>63</v>
      </c>
      <c r="E1450" t="s">
        <v>2348</v>
      </c>
      <c r="F1450" t="s">
        <v>2349</v>
      </c>
      <c r="G1450">
        <v>0</v>
      </c>
      <c r="H1450" t="s">
        <v>1105</v>
      </c>
      <c r="I1450" s="2">
        <v>7000</v>
      </c>
    </row>
    <row r="1451" spans="1:9" x14ac:dyDescent="0.3">
      <c r="A1451" s="5">
        <v>9426</v>
      </c>
      <c r="B1451" s="5" t="s">
        <v>2350</v>
      </c>
      <c r="C1451" s="5">
        <v>1</v>
      </c>
      <c r="D1451" s="5" t="s">
        <v>10</v>
      </c>
      <c r="E1451" t="s">
        <v>2351</v>
      </c>
      <c r="F1451" t="s">
        <v>2352</v>
      </c>
      <c r="G1451">
        <v>0</v>
      </c>
      <c r="H1451" t="s">
        <v>126</v>
      </c>
      <c r="I1451" s="2">
        <v>6000</v>
      </c>
    </row>
    <row r="1452" spans="1:9" x14ac:dyDescent="0.3">
      <c r="A1452" s="5">
        <v>9426</v>
      </c>
      <c r="B1452" s="5" t="s">
        <v>2350</v>
      </c>
      <c r="C1452" s="5">
        <v>1</v>
      </c>
      <c r="D1452" s="5" t="s">
        <v>10</v>
      </c>
      <c r="E1452" t="s">
        <v>2351</v>
      </c>
      <c r="F1452" t="s">
        <v>2352</v>
      </c>
      <c r="G1452">
        <v>0</v>
      </c>
      <c r="H1452" t="s">
        <v>374</v>
      </c>
      <c r="I1452" s="2">
        <v>2000</v>
      </c>
    </row>
    <row r="1453" spans="1:9" x14ac:dyDescent="0.3">
      <c r="A1453" s="5">
        <v>9426</v>
      </c>
      <c r="B1453" s="5" t="s">
        <v>2350</v>
      </c>
      <c r="C1453" s="5">
        <v>1</v>
      </c>
      <c r="D1453" s="5" t="s">
        <v>10</v>
      </c>
      <c r="E1453" t="s">
        <v>2351</v>
      </c>
      <c r="F1453" t="s">
        <v>2352</v>
      </c>
      <c r="G1453">
        <v>0</v>
      </c>
      <c r="H1453" t="s">
        <v>139</v>
      </c>
      <c r="I1453" s="2">
        <v>6000</v>
      </c>
    </row>
    <row r="1454" spans="1:9" x14ac:dyDescent="0.3">
      <c r="A1454" s="5">
        <v>9425</v>
      </c>
      <c r="B1454" s="5" t="s">
        <v>2353</v>
      </c>
      <c r="C1454" s="5">
        <v>5</v>
      </c>
      <c r="D1454" s="5" t="s">
        <v>63</v>
      </c>
      <c r="E1454" t="s">
        <v>2354</v>
      </c>
      <c r="G1454">
        <v>0</v>
      </c>
      <c r="H1454" t="s">
        <v>117</v>
      </c>
      <c r="I1454" s="2">
        <v>7000</v>
      </c>
    </row>
    <row r="1455" spans="1:9" x14ac:dyDescent="0.3">
      <c r="A1455" s="5">
        <v>9424</v>
      </c>
      <c r="B1455" s="5" t="s">
        <v>2355</v>
      </c>
      <c r="C1455" s="5">
        <v>2</v>
      </c>
      <c r="D1455" s="5" t="s">
        <v>261</v>
      </c>
      <c r="E1455" t="s">
        <v>2356</v>
      </c>
      <c r="F1455" t="s">
        <v>2357</v>
      </c>
      <c r="G1455">
        <v>0</v>
      </c>
      <c r="H1455" t="s">
        <v>265</v>
      </c>
      <c r="I1455" s="2">
        <v>6000</v>
      </c>
    </row>
    <row r="1456" spans="1:9" x14ac:dyDescent="0.3">
      <c r="A1456" s="5">
        <v>9424</v>
      </c>
      <c r="B1456" s="5" t="s">
        <v>2355</v>
      </c>
      <c r="C1456" s="5">
        <v>2</v>
      </c>
      <c r="D1456" s="5" t="s">
        <v>261</v>
      </c>
      <c r="E1456" t="s">
        <v>2356</v>
      </c>
      <c r="F1456" t="s">
        <v>2357</v>
      </c>
      <c r="G1456">
        <v>0</v>
      </c>
      <c r="H1456" t="s">
        <v>642</v>
      </c>
      <c r="I1456" s="2">
        <v>4500</v>
      </c>
    </row>
    <row r="1457" spans="1:9" x14ac:dyDescent="0.3">
      <c r="A1457" s="5">
        <v>9424</v>
      </c>
      <c r="B1457" s="5" t="s">
        <v>2355</v>
      </c>
      <c r="C1457" s="5">
        <v>2</v>
      </c>
      <c r="D1457" s="5" t="s">
        <v>261</v>
      </c>
      <c r="E1457" t="s">
        <v>2356</v>
      </c>
      <c r="F1457" t="s">
        <v>2357</v>
      </c>
      <c r="G1457">
        <v>0</v>
      </c>
      <c r="H1457" t="s">
        <v>641</v>
      </c>
      <c r="I1457" s="2">
        <v>14000</v>
      </c>
    </row>
    <row r="1458" spans="1:9" x14ac:dyDescent="0.3">
      <c r="A1458" s="5">
        <v>9423</v>
      </c>
      <c r="B1458" s="5" t="s">
        <v>2358</v>
      </c>
      <c r="C1458" s="5">
        <v>1</v>
      </c>
      <c r="D1458" s="5" t="s">
        <v>10</v>
      </c>
      <c r="E1458" t="s">
        <v>2359</v>
      </c>
      <c r="F1458" t="s">
        <v>2360</v>
      </c>
      <c r="G1458">
        <v>0</v>
      </c>
      <c r="H1458" t="s">
        <v>229</v>
      </c>
      <c r="I1458" s="2">
        <v>5000</v>
      </c>
    </row>
    <row r="1459" spans="1:9" x14ac:dyDescent="0.3">
      <c r="A1459" s="5">
        <v>9423</v>
      </c>
      <c r="B1459" s="5" t="s">
        <v>2358</v>
      </c>
      <c r="C1459" s="5">
        <v>1</v>
      </c>
      <c r="D1459" s="5" t="s">
        <v>10</v>
      </c>
      <c r="E1459" t="s">
        <v>2359</v>
      </c>
      <c r="F1459" t="s">
        <v>2360</v>
      </c>
      <c r="G1459">
        <v>0</v>
      </c>
      <c r="H1459" t="s">
        <v>37</v>
      </c>
      <c r="I1459" s="2">
        <v>4500</v>
      </c>
    </row>
    <row r="1460" spans="1:9" x14ac:dyDescent="0.3">
      <c r="A1460" s="5">
        <v>9422</v>
      </c>
      <c r="B1460" s="5" t="s">
        <v>2361</v>
      </c>
      <c r="C1460" s="5">
        <v>5</v>
      </c>
      <c r="D1460" s="5" t="s">
        <v>63</v>
      </c>
      <c r="E1460" t="s">
        <v>2362</v>
      </c>
      <c r="F1460" t="s">
        <v>2363</v>
      </c>
      <c r="G1460">
        <v>0</v>
      </c>
      <c r="H1460" t="s">
        <v>1104</v>
      </c>
      <c r="I1460" s="2">
        <v>17000</v>
      </c>
    </row>
    <row r="1461" spans="1:9" x14ac:dyDescent="0.3">
      <c r="A1461" s="5">
        <v>9422</v>
      </c>
      <c r="B1461" s="5" t="s">
        <v>2361</v>
      </c>
      <c r="C1461" s="5">
        <v>5</v>
      </c>
      <c r="D1461" s="5" t="s">
        <v>63</v>
      </c>
      <c r="E1461" t="s">
        <v>2362</v>
      </c>
      <c r="F1461" t="s">
        <v>2363</v>
      </c>
      <c r="G1461">
        <v>0</v>
      </c>
      <c r="H1461" t="s">
        <v>67</v>
      </c>
      <c r="I1461" s="2">
        <v>6000</v>
      </c>
    </row>
    <row r="1462" spans="1:9" x14ac:dyDescent="0.3">
      <c r="A1462" s="5">
        <v>9421</v>
      </c>
      <c r="B1462" s="5" t="s">
        <v>2364</v>
      </c>
      <c r="C1462" s="5">
        <v>5</v>
      </c>
      <c r="D1462" s="5" t="s">
        <v>63</v>
      </c>
      <c r="E1462" t="s">
        <v>2365</v>
      </c>
      <c r="F1462" t="s">
        <v>2366</v>
      </c>
      <c r="G1462">
        <v>0</v>
      </c>
      <c r="H1462" t="s">
        <v>1105</v>
      </c>
      <c r="I1462" s="2">
        <v>7000</v>
      </c>
    </row>
    <row r="1463" spans="1:9" x14ac:dyDescent="0.3">
      <c r="A1463" s="5">
        <v>9421</v>
      </c>
      <c r="B1463" s="5" t="s">
        <v>2364</v>
      </c>
      <c r="C1463" s="5">
        <v>5</v>
      </c>
      <c r="D1463" s="5" t="s">
        <v>63</v>
      </c>
      <c r="E1463" t="s">
        <v>2365</v>
      </c>
      <c r="F1463" t="s">
        <v>2366</v>
      </c>
      <c r="G1463">
        <v>0</v>
      </c>
      <c r="H1463" t="s">
        <v>88</v>
      </c>
      <c r="I1463" s="2">
        <v>30000</v>
      </c>
    </row>
    <row r="1464" spans="1:9" x14ac:dyDescent="0.3">
      <c r="A1464" s="5">
        <v>9418</v>
      </c>
      <c r="B1464" s="5" t="s">
        <v>2367</v>
      </c>
      <c r="C1464" s="5">
        <v>2</v>
      </c>
      <c r="D1464" s="5" t="s">
        <v>261</v>
      </c>
      <c r="E1464" t="s">
        <v>2368</v>
      </c>
      <c r="F1464" t="s">
        <v>2369</v>
      </c>
      <c r="G1464">
        <v>0</v>
      </c>
      <c r="H1464" t="s">
        <v>642</v>
      </c>
      <c r="I1464" s="2">
        <v>4000</v>
      </c>
    </row>
    <row r="1465" spans="1:9" x14ac:dyDescent="0.3">
      <c r="A1465" s="5">
        <v>9418</v>
      </c>
      <c r="B1465" s="5" t="s">
        <v>2367</v>
      </c>
      <c r="C1465" s="5">
        <v>2</v>
      </c>
      <c r="D1465" s="5" t="s">
        <v>261</v>
      </c>
      <c r="E1465" t="s">
        <v>2368</v>
      </c>
      <c r="F1465" t="s">
        <v>2369</v>
      </c>
      <c r="G1465">
        <v>0</v>
      </c>
      <c r="H1465" t="s">
        <v>265</v>
      </c>
      <c r="I1465" s="2">
        <v>5000</v>
      </c>
    </row>
    <row r="1466" spans="1:9" x14ac:dyDescent="0.3">
      <c r="A1466" s="5">
        <v>9416</v>
      </c>
      <c r="B1466" s="5" t="s">
        <v>2370</v>
      </c>
      <c r="C1466" s="5">
        <v>5</v>
      </c>
      <c r="D1466" s="5" t="s">
        <v>63</v>
      </c>
      <c r="E1466" t="s">
        <v>2371</v>
      </c>
      <c r="F1466" t="s">
        <v>2372</v>
      </c>
      <c r="G1466">
        <v>0</v>
      </c>
      <c r="H1466" t="s">
        <v>67</v>
      </c>
      <c r="I1466" s="2">
        <v>12000</v>
      </c>
    </row>
    <row r="1467" spans="1:9" x14ac:dyDescent="0.3">
      <c r="A1467" s="5">
        <v>9416</v>
      </c>
      <c r="B1467" s="5" t="s">
        <v>2370</v>
      </c>
      <c r="C1467" s="5">
        <v>5</v>
      </c>
      <c r="D1467" s="5" t="s">
        <v>63</v>
      </c>
      <c r="E1467" t="s">
        <v>2371</v>
      </c>
      <c r="F1467" t="s">
        <v>2372</v>
      </c>
      <c r="G1467">
        <v>0</v>
      </c>
      <c r="H1467" t="s">
        <v>88</v>
      </c>
      <c r="I1467" s="2">
        <v>40000</v>
      </c>
    </row>
    <row r="1468" spans="1:9" x14ac:dyDescent="0.3">
      <c r="A1468" s="5">
        <v>9415</v>
      </c>
      <c r="B1468" s="5" t="s">
        <v>2373</v>
      </c>
      <c r="C1468" s="5">
        <v>3</v>
      </c>
      <c r="D1468" s="5" t="s">
        <v>44</v>
      </c>
      <c r="E1468" t="s">
        <v>2374</v>
      </c>
      <c r="F1468" t="s">
        <v>2375</v>
      </c>
      <c r="G1468">
        <v>0</v>
      </c>
      <c r="H1468" t="s">
        <v>126</v>
      </c>
      <c r="I1468" s="2">
        <v>6000</v>
      </c>
    </row>
    <row r="1469" spans="1:9" x14ac:dyDescent="0.3">
      <c r="A1469" s="5">
        <v>9415</v>
      </c>
      <c r="B1469" s="5" t="s">
        <v>2373</v>
      </c>
      <c r="C1469" s="5">
        <v>3</v>
      </c>
      <c r="D1469" s="5" t="s">
        <v>44</v>
      </c>
      <c r="E1469" t="s">
        <v>2374</v>
      </c>
      <c r="F1469" t="s">
        <v>2375</v>
      </c>
      <c r="G1469">
        <v>0</v>
      </c>
      <c r="H1469" t="s">
        <v>229</v>
      </c>
      <c r="I1469" s="2">
        <v>6000</v>
      </c>
    </row>
    <row r="1470" spans="1:9" x14ac:dyDescent="0.3">
      <c r="A1470" s="5">
        <v>9415</v>
      </c>
      <c r="B1470" s="5" t="s">
        <v>2373</v>
      </c>
      <c r="C1470" s="5">
        <v>3</v>
      </c>
      <c r="D1470" s="5" t="s">
        <v>44</v>
      </c>
      <c r="E1470" t="s">
        <v>2374</v>
      </c>
      <c r="F1470" t="s">
        <v>2375</v>
      </c>
      <c r="G1470">
        <v>0</v>
      </c>
      <c r="H1470" t="s">
        <v>1047</v>
      </c>
      <c r="I1470" s="2">
        <v>12000</v>
      </c>
    </row>
    <row r="1471" spans="1:9" x14ac:dyDescent="0.3">
      <c r="A1471" s="5">
        <v>9415</v>
      </c>
      <c r="B1471" s="5" t="s">
        <v>2373</v>
      </c>
      <c r="C1471" s="5">
        <v>3</v>
      </c>
      <c r="D1471" s="5" t="s">
        <v>44</v>
      </c>
      <c r="E1471" t="s">
        <v>2374</v>
      </c>
      <c r="F1471" t="s">
        <v>2375</v>
      </c>
      <c r="G1471">
        <v>0</v>
      </c>
      <c r="H1471" t="s">
        <v>581</v>
      </c>
      <c r="I1471" s="2">
        <v>3000</v>
      </c>
    </row>
    <row r="1472" spans="1:9" x14ac:dyDescent="0.3">
      <c r="A1472" s="5">
        <v>9415</v>
      </c>
      <c r="B1472" s="5" t="s">
        <v>2373</v>
      </c>
      <c r="C1472" s="5">
        <v>3</v>
      </c>
      <c r="D1472" s="5" t="s">
        <v>44</v>
      </c>
      <c r="E1472" t="s">
        <v>2374</v>
      </c>
      <c r="F1472" t="s">
        <v>2375</v>
      </c>
      <c r="G1472">
        <v>0</v>
      </c>
      <c r="H1472" t="s">
        <v>304</v>
      </c>
      <c r="I1472" s="2">
        <v>7000</v>
      </c>
    </row>
    <row r="1473" spans="1:9" x14ac:dyDescent="0.3">
      <c r="A1473" s="5">
        <v>9414</v>
      </c>
      <c r="B1473" s="5" t="s">
        <v>2376</v>
      </c>
      <c r="C1473" s="5">
        <v>1</v>
      </c>
      <c r="D1473" s="5" t="s">
        <v>10</v>
      </c>
      <c r="E1473" t="s">
        <v>2377</v>
      </c>
      <c r="F1473" t="s">
        <v>2378</v>
      </c>
      <c r="G1473">
        <v>0</v>
      </c>
      <c r="H1473" t="s">
        <v>259</v>
      </c>
      <c r="I1473" s="2">
        <v>6000</v>
      </c>
    </row>
    <row r="1474" spans="1:9" x14ac:dyDescent="0.3">
      <c r="A1474" s="5">
        <v>9414</v>
      </c>
      <c r="B1474" s="5" t="s">
        <v>2376</v>
      </c>
      <c r="C1474" s="5">
        <v>1</v>
      </c>
      <c r="D1474" s="5" t="s">
        <v>10</v>
      </c>
      <c r="E1474" t="s">
        <v>2377</v>
      </c>
      <c r="F1474" t="s">
        <v>2378</v>
      </c>
      <c r="G1474">
        <v>0</v>
      </c>
      <c r="H1474" t="s">
        <v>217</v>
      </c>
      <c r="I1474" s="2">
        <v>12000</v>
      </c>
    </row>
    <row r="1475" spans="1:9" x14ac:dyDescent="0.3">
      <c r="A1475" s="5">
        <v>9413</v>
      </c>
      <c r="B1475" s="5" t="s">
        <v>2379</v>
      </c>
      <c r="C1475" s="5">
        <v>5</v>
      </c>
      <c r="D1475" s="5" t="s">
        <v>63</v>
      </c>
      <c r="E1475" t="s">
        <v>2380</v>
      </c>
      <c r="F1475" t="s">
        <v>2381</v>
      </c>
      <c r="G1475">
        <v>0</v>
      </c>
      <c r="H1475" t="s">
        <v>88</v>
      </c>
      <c r="I1475" s="2">
        <v>35000</v>
      </c>
    </row>
    <row r="1476" spans="1:9" x14ac:dyDescent="0.3">
      <c r="A1476" s="5">
        <v>9413</v>
      </c>
      <c r="B1476" s="5" t="s">
        <v>2379</v>
      </c>
      <c r="C1476" s="5">
        <v>5</v>
      </c>
      <c r="D1476" s="5" t="s">
        <v>63</v>
      </c>
      <c r="E1476" t="s">
        <v>2380</v>
      </c>
      <c r="F1476" t="s">
        <v>2381</v>
      </c>
      <c r="G1476">
        <v>0</v>
      </c>
      <c r="H1476" t="s">
        <v>67</v>
      </c>
      <c r="I1476" s="2">
        <v>15000</v>
      </c>
    </row>
    <row r="1477" spans="1:9" x14ac:dyDescent="0.3">
      <c r="A1477" s="5">
        <v>9412</v>
      </c>
      <c r="B1477" s="5" t="s">
        <v>2382</v>
      </c>
      <c r="C1477" s="5">
        <v>1</v>
      </c>
      <c r="D1477" s="5" t="s">
        <v>10</v>
      </c>
      <c r="E1477" t="s">
        <v>2383</v>
      </c>
      <c r="F1477" t="s">
        <v>2384</v>
      </c>
      <c r="G1477">
        <v>0</v>
      </c>
      <c r="H1477" t="s">
        <v>229</v>
      </c>
      <c r="I1477" s="2">
        <v>5000</v>
      </c>
    </row>
    <row r="1478" spans="1:9" x14ac:dyDescent="0.3">
      <c r="A1478" s="5">
        <v>9412</v>
      </c>
      <c r="B1478" s="5" t="s">
        <v>2382</v>
      </c>
      <c r="C1478" s="5">
        <v>1</v>
      </c>
      <c r="D1478" s="5" t="s">
        <v>10</v>
      </c>
      <c r="E1478" t="s">
        <v>2383</v>
      </c>
      <c r="F1478" t="s">
        <v>2384</v>
      </c>
      <c r="G1478">
        <v>0</v>
      </c>
      <c r="H1478" t="s">
        <v>21</v>
      </c>
      <c r="I1478" s="2">
        <v>4500</v>
      </c>
    </row>
    <row r="1479" spans="1:9" x14ac:dyDescent="0.3">
      <c r="A1479" s="5">
        <v>9411</v>
      </c>
      <c r="B1479" s="5" t="s">
        <v>2379</v>
      </c>
      <c r="C1479" s="5">
        <v>5</v>
      </c>
      <c r="D1479" s="5" t="s">
        <v>63</v>
      </c>
      <c r="E1479" t="s">
        <v>2380</v>
      </c>
      <c r="F1479" t="s">
        <v>2385</v>
      </c>
      <c r="G1479">
        <v>0</v>
      </c>
      <c r="H1479" t="s">
        <v>88</v>
      </c>
      <c r="I1479" s="2">
        <v>35000</v>
      </c>
    </row>
    <row r="1480" spans="1:9" x14ac:dyDescent="0.3">
      <c r="A1480" s="5">
        <v>9411</v>
      </c>
      <c r="B1480" s="5" t="s">
        <v>2379</v>
      </c>
      <c r="C1480" s="5">
        <v>5</v>
      </c>
      <c r="D1480" s="5" t="s">
        <v>63</v>
      </c>
      <c r="E1480" t="s">
        <v>2380</v>
      </c>
      <c r="F1480" t="s">
        <v>2385</v>
      </c>
      <c r="G1480">
        <v>0</v>
      </c>
      <c r="H1480" t="s">
        <v>67</v>
      </c>
      <c r="I1480" s="2">
        <v>12000</v>
      </c>
    </row>
    <row r="1481" spans="1:9" x14ac:dyDescent="0.3">
      <c r="A1481" s="5">
        <v>9410</v>
      </c>
      <c r="B1481" s="5" t="s">
        <v>2379</v>
      </c>
      <c r="C1481" s="5">
        <v>5</v>
      </c>
      <c r="D1481" s="5" t="s">
        <v>63</v>
      </c>
      <c r="E1481" t="s">
        <v>2380</v>
      </c>
      <c r="F1481" t="s">
        <v>2381</v>
      </c>
      <c r="G1481">
        <v>0</v>
      </c>
      <c r="H1481" t="s">
        <v>67</v>
      </c>
      <c r="I1481" s="2">
        <v>12000</v>
      </c>
    </row>
    <row r="1482" spans="1:9" x14ac:dyDescent="0.3">
      <c r="A1482" s="5">
        <v>9410</v>
      </c>
      <c r="B1482" s="5" t="s">
        <v>2379</v>
      </c>
      <c r="C1482" s="5">
        <v>5</v>
      </c>
      <c r="D1482" s="5" t="s">
        <v>63</v>
      </c>
      <c r="E1482" t="s">
        <v>2380</v>
      </c>
      <c r="F1482" t="s">
        <v>2381</v>
      </c>
      <c r="G1482">
        <v>0</v>
      </c>
      <c r="H1482" t="s">
        <v>88</v>
      </c>
      <c r="I1482" s="2">
        <v>35000</v>
      </c>
    </row>
    <row r="1483" spans="1:9" x14ac:dyDescent="0.3">
      <c r="A1483" s="5">
        <v>9409</v>
      </c>
      <c r="B1483" s="5" t="s">
        <v>2379</v>
      </c>
      <c r="C1483" s="5">
        <v>5</v>
      </c>
      <c r="D1483" s="5" t="s">
        <v>63</v>
      </c>
      <c r="E1483" t="s">
        <v>2380</v>
      </c>
      <c r="F1483" t="s">
        <v>2381</v>
      </c>
      <c r="G1483">
        <v>0</v>
      </c>
      <c r="H1483" t="s">
        <v>88</v>
      </c>
      <c r="I1483" s="2">
        <v>35000</v>
      </c>
    </row>
    <row r="1484" spans="1:9" x14ac:dyDescent="0.3">
      <c r="A1484" s="5">
        <v>9409</v>
      </c>
      <c r="B1484" s="5" t="s">
        <v>2379</v>
      </c>
      <c r="C1484" s="5">
        <v>5</v>
      </c>
      <c r="D1484" s="5" t="s">
        <v>63</v>
      </c>
      <c r="E1484" t="s">
        <v>2380</v>
      </c>
      <c r="F1484" t="s">
        <v>2381</v>
      </c>
      <c r="G1484">
        <v>0</v>
      </c>
      <c r="H1484" t="s">
        <v>67</v>
      </c>
      <c r="I1484" s="2">
        <v>12000</v>
      </c>
    </row>
    <row r="1485" spans="1:9" x14ac:dyDescent="0.3">
      <c r="A1485" s="5">
        <v>9408</v>
      </c>
      <c r="B1485" s="5" t="s">
        <v>2386</v>
      </c>
      <c r="C1485" s="5">
        <v>1</v>
      </c>
      <c r="D1485" s="5" t="s">
        <v>10</v>
      </c>
      <c r="E1485" t="s">
        <v>2387</v>
      </c>
      <c r="F1485" t="s">
        <v>2388</v>
      </c>
      <c r="G1485">
        <v>0</v>
      </c>
      <c r="H1485" t="s">
        <v>592</v>
      </c>
      <c r="I1485" s="2">
        <v>3000</v>
      </c>
    </row>
    <row r="1486" spans="1:9" x14ac:dyDescent="0.3">
      <c r="A1486" s="5">
        <v>9407</v>
      </c>
      <c r="B1486" s="5" t="s">
        <v>2386</v>
      </c>
      <c r="C1486" s="5">
        <v>1</v>
      </c>
      <c r="D1486" s="5" t="s">
        <v>10</v>
      </c>
      <c r="E1486" t="s">
        <v>2387</v>
      </c>
      <c r="F1486" t="s">
        <v>2388</v>
      </c>
      <c r="G1486">
        <v>0</v>
      </c>
      <c r="H1486" t="s">
        <v>592</v>
      </c>
      <c r="I1486" s="2">
        <v>3000</v>
      </c>
    </row>
    <row r="1487" spans="1:9" x14ac:dyDescent="0.3">
      <c r="A1487" s="5">
        <v>9406</v>
      </c>
      <c r="B1487" s="5" t="s">
        <v>2386</v>
      </c>
      <c r="C1487" s="5">
        <v>1</v>
      </c>
      <c r="D1487" s="5" t="s">
        <v>10</v>
      </c>
      <c r="E1487" t="s">
        <v>2387</v>
      </c>
      <c r="F1487" t="s">
        <v>2388</v>
      </c>
      <c r="G1487">
        <v>0</v>
      </c>
      <c r="H1487" t="s">
        <v>592</v>
      </c>
      <c r="I1487" s="2">
        <v>3000</v>
      </c>
    </row>
    <row r="1488" spans="1:9" x14ac:dyDescent="0.3">
      <c r="A1488" s="5">
        <v>9405</v>
      </c>
      <c r="B1488" s="5" t="s">
        <v>2389</v>
      </c>
      <c r="C1488" s="5">
        <v>13</v>
      </c>
      <c r="D1488" s="5" t="s">
        <v>27</v>
      </c>
      <c r="E1488" t="s">
        <v>2390</v>
      </c>
      <c r="F1488" t="s">
        <v>2391</v>
      </c>
      <c r="G1488">
        <v>0</v>
      </c>
      <c r="H1488" t="s">
        <v>205</v>
      </c>
      <c r="I1488" s="2">
        <v>2000</v>
      </c>
    </row>
    <row r="1489" spans="1:9" x14ac:dyDescent="0.3">
      <c r="A1489" s="5">
        <v>9405</v>
      </c>
      <c r="B1489" s="5" t="s">
        <v>2389</v>
      </c>
      <c r="C1489" s="5">
        <v>13</v>
      </c>
      <c r="D1489" s="5" t="s">
        <v>27</v>
      </c>
      <c r="E1489" t="s">
        <v>2390</v>
      </c>
      <c r="F1489" t="s">
        <v>2391</v>
      </c>
      <c r="G1489">
        <v>0</v>
      </c>
      <c r="H1489" t="s">
        <v>2392</v>
      </c>
      <c r="I1489" s="2">
        <v>2500</v>
      </c>
    </row>
    <row r="1490" spans="1:9" x14ac:dyDescent="0.3">
      <c r="A1490" s="5">
        <v>9404</v>
      </c>
      <c r="B1490" s="5" t="s">
        <v>2393</v>
      </c>
      <c r="C1490" s="5">
        <v>1</v>
      </c>
      <c r="D1490" s="5" t="s">
        <v>10</v>
      </c>
      <c r="E1490" t="s">
        <v>2394</v>
      </c>
      <c r="F1490" t="s">
        <v>2395</v>
      </c>
      <c r="G1490">
        <v>0</v>
      </c>
      <c r="H1490" t="s">
        <v>2396</v>
      </c>
      <c r="I1490" s="2">
        <v>20000</v>
      </c>
    </row>
    <row r="1491" spans="1:9" x14ac:dyDescent="0.3">
      <c r="A1491" s="5">
        <v>9403</v>
      </c>
      <c r="B1491" s="5" t="s">
        <v>2397</v>
      </c>
      <c r="C1491" s="5">
        <v>1</v>
      </c>
      <c r="D1491" s="5" t="s">
        <v>10</v>
      </c>
      <c r="E1491" t="s">
        <v>2398</v>
      </c>
      <c r="F1491" t="s">
        <v>2399</v>
      </c>
      <c r="G1491">
        <v>0</v>
      </c>
      <c r="H1491" t="s">
        <v>187</v>
      </c>
      <c r="I1491" s="2">
        <v>8000</v>
      </c>
    </row>
    <row r="1492" spans="1:9" x14ac:dyDescent="0.3">
      <c r="A1492" s="5">
        <v>9403</v>
      </c>
      <c r="B1492" s="5" t="s">
        <v>2397</v>
      </c>
      <c r="C1492" s="5">
        <v>1</v>
      </c>
      <c r="D1492" s="5" t="s">
        <v>10</v>
      </c>
      <c r="E1492" t="s">
        <v>2398</v>
      </c>
      <c r="F1492" t="s">
        <v>2399</v>
      </c>
      <c r="G1492">
        <v>0</v>
      </c>
      <c r="H1492" t="s">
        <v>188</v>
      </c>
      <c r="I1492" s="2">
        <v>9000</v>
      </c>
    </row>
    <row r="1493" spans="1:9" x14ac:dyDescent="0.3">
      <c r="A1493" s="5">
        <v>9402</v>
      </c>
      <c r="B1493" s="5" t="s">
        <v>2400</v>
      </c>
      <c r="C1493" s="5">
        <v>1</v>
      </c>
      <c r="D1493" s="5" t="s">
        <v>10</v>
      </c>
      <c r="E1493" t="s">
        <v>2401</v>
      </c>
      <c r="F1493" t="s">
        <v>2402</v>
      </c>
      <c r="G1493">
        <v>0</v>
      </c>
      <c r="H1493" t="s">
        <v>2403</v>
      </c>
      <c r="I1493" s="2">
        <v>8000</v>
      </c>
    </row>
    <row r="1494" spans="1:9" x14ac:dyDescent="0.3">
      <c r="A1494" s="5">
        <v>9401</v>
      </c>
      <c r="B1494" s="5" t="s">
        <v>2404</v>
      </c>
      <c r="C1494" s="5">
        <v>1</v>
      </c>
      <c r="D1494" s="5" t="s">
        <v>10</v>
      </c>
      <c r="E1494" t="s">
        <v>2405</v>
      </c>
      <c r="F1494" t="s">
        <v>2406</v>
      </c>
      <c r="G1494">
        <v>0</v>
      </c>
      <c r="H1494" t="s">
        <v>2407</v>
      </c>
      <c r="I1494" s="2">
        <v>6000</v>
      </c>
    </row>
    <row r="1495" spans="1:9" x14ac:dyDescent="0.3">
      <c r="A1495" s="5">
        <v>9400</v>
      </c>
      <c r="B1495" s="5" t="s">
        <v>2408</v>
      </c>
      <c r="C1495" s="5">
        <v>4</v>
      </c>
      <c r="D1495" s="5" t="s">
        <v>39</v>
      </c>
      <c r="E1495" t="s">
        <v>2409</v>
      </c>
      <c r="F1495" t="s">
        <v>2410</v>
      </c>
      <c r="G1495">
        <v>0</v>
      </c>
      <c r="H1495" t="s">
        <v>2411</v>
      </c>
      <c r="I1495" s="2">
        <v>7500</v>
      </c>
    </row>
    <row r="1496" spans="1:9" x14ac:dyDescent="0.3">
      <c r="A1496" s="5">
        <v>9400</v>
      </c>
      <c r="B1496" s="5" t="s">
        <v>2408</v>
      </c>
      <c r="C1496" s="5">
        <v>4</v>
      </c>
      <c r="D1496" s="5" t="s">
        <v>39</v>
      </c>
      <c r="E1496" t="s">
        <v>2409</v>
      </c>
      <c r="F1496" t="s">
        <v>2410</v>
      </c>
      <c r="G1496">
        <v>0</v>
      </c>
      <c r="H1496" t="s">
        <v>2412</v>
      </c>
      <c r="I1496" s="2">
        <v>7500</v>
      </c>
    </row>
    <row r="1497" spans="1:9" x14ac:dyDescent="0.3">
      <c r="A1497" s="5">
        <v>9400</v>
      </c>
      <c r="B1497" s="5" t="s">
        <v>2408</v>
      </c>
      <c r="C1497" s="5">
        <v>4</v>
      </c>
      <c r="D1497" s="5" t="s">
        <v>39</v>
      </c>
      <c r="E1497" t="s">
        <v>2409</v>
      </c>
      <c r="F1497" t="s">
        <v>2410</v>
      </c>
      <c r="G1497">
        <v>0</v>
      </c>
      <c r="H1497" t="s">
        <v>2413</v>
      </c>
      <c r="I1497" s="2">
        <v>7500</v>
      </c>
    </row>
    <row r="1498" spans="1:9" x14ac:dyDescent="0.3">
      <c r="A1498" s="5">
        <v>9399</v>
      </c>
      <c r="B1498" s="5" t="s">
        <v>2414</v>
      </c>
      <c r="C1498" s="5">
        <v>5</v>
      </c>
      <c r="D1498" s="5" t="s">
        <v>63</v>
      </c>
      <c r="E1498" t="s">
        <v>2415</v>
      </c>
      <c r="F1498" t="s">
        <v>2416</v>
      </c>
      <c r="G1498">
        <v>0</v>
      </c>
      <c r="H1498" t="s">
        <v>2417</v>
      </c>
      <c r="I1498" s="2">
        <v>12000</v>
      </c>
    </row>
    <row r="1499" spans="1:9" x14ac:dyDescent="0.3">
      <c r="A1499" s="5">
        <v>9399</v>
      </c>
      <c r="B1499" s="5" t="s">
        <v>2414</v>
      </c>
      <c r="C1499" s="5">
        <v>5</v>
      </c>
      <c r="D1499" s="5" t="s">
        <v>63</v>
      </c>
      <c r="E1499" t="s">
        <v>2415</v>
      </c>
      <c r="F1499" t="s">
        <v>2416</v>
      </c>
      <c r="G1499">
        <v>0</v>
      </c>
      <c r="H1499" t="s">
        <v>2418</v>
      </c>
      <c r="I1499" s="2">
        <v>39000</v>
      </c>
    </row>
    <row r="1500" spans="1:9" x14ac:dyDescent="0.3">
      <c r="A1500" s="5">
        <v>9399</v>
      </c>
      <c r="B1500" s="5" t="s">
        <v>2414</v>
      </c>
      <c r="C1500" s="5">
        <v>5</v>
      </c>
      <c r="D1500" s="5" t="s">
        <v>63</v>
      </c>
      <c r="E1500" t="s">
        <v>2415</v>
      </c>
      <c r="F1500" t="s">
        <v>2416</v>
      </c>
      <c r="G1500">
        <v>0</v>
      </c>
      <c r="H1500" t="s">
        <v>458</v>
      </c>
      <c r="I1500" s="2">
        <v>25000</v>
      </c>
    </row>
    <row r="1501" spans="1:9" x14ac:dyDescent="0.3">
      <c r="A1501" s="5">
        <v>9398</v>
      </c>
      <c r="B1501" s="5" t="s">
        <v>2419</v>
      </c>
      <c r="C1501" s="5">
        <v>1</v>
      </c>
      <c r="D1501" s="5" t="s">
        <v>10</v>
      </c>
      <c r="E1501" t="s">
        <v>2420</v>
      </c>
      <c r="F1501" t="s">
        <v>2421</v>
      </c>
      <c r="G1501">
        <v>0</v>
      </c>
      <c r="H1501" t="s">
        <v>84</v>
      </c>
      <c r="I1501" s="2">
        <v>7000</v>
      </c>
    </row>
    <row r="1502" spans="1:9" x14ac:dyDescent="0.3">
      <c r="A1502" s="5">
        <v>9398</v>
      </c>
      <c r="B1502" s="5" t="s">
        <v>2419</v>
      </c>
      <c r="C1502" s="5">
        <v>1</v>
      </c>
      <c r="D1502" s="5" t="s">
        <v>10</v>
      </c>
      <c r="E1502" t="s">
        <v>2420</v>
      </c>
      <c r="F1502" t="s">
        <v>2421</v>
      </c>
      <c r="G1502">
        <v>0</v>
      </c>
      <c r="H1502" t="s">
        <v>19</v>
      </c>
      <c r="I1502" s="2">
        <v>7000</v>
      </c>
    </row>
    <row r="1503" spans="1:9" x14ac:dyDescent="0.3">
      <c r="A1503" s="5">
        <v>9398</v>
      </c>
      <c r="B1503" s="5" t="s">
        <v>2419</v>
      </c>
      <c r="C1503" s="5">
        <v>1</v>
      </c>
      <c r="D1503" s="5" t="s">
        <v>10</v>
      </c>
      <c r="E1503" t="s">
        <v>2420</v>
      </c>
      <c r="F1503" t="s">
        <v>2421</v>
      </c>
      <c r="G1503">
        <v>0</v>
      </c>
      <c r="H1503" t="s">
        <v>175</v>
      </c>
      <c r="I1503" s="2">
        <v>6000</v>
      </c>
    </row>
    <row r="1504" spans="1:9" x14ac:dyDescent="0.3">
      <c r="A1504" s="5">
        <v>9397</v>
      </c>
      <c r="B1504" s="5" t="s">
        <v>2422</v>
      </c>
      <c r="C1504" s="5">
        <v>4</v>
      </c>
      <c r="D1504" s="5" t="s">
        <v>39</v>
      </c>
      <c r="E1504" t="s">
        <v>2423</v>
      </c>
      <c r="F1504" t="s">
        <v>2424</v>
      </c>
      <c r="G1504">
        <v>0</v>
      </c>
      <c r="H1504" t="s">
        <v>133</v>
      </c>
      <c r="I1504" s="2">
        <v>6000</v>
      </c>
    </row>
    <row r="1505" spans="1:9" x14ac:dyDescent="0.3">
      <c r="A1505" s="5">
        <v>9397</v>
      </c>
      <c r="B1505" s="5" t="s">
        <v>2422</v>
      </c>
      <c r="C1505" s="5">
        <v>4</v>
      </c>
      <c r="D1505" s="5" t="s">
        <v>39</v>
      </c>
      <c r="E1505" t="s">
        <v>2423</v>
      </c>
      <c r="F1505" t="s">
        <v>2424</v>
      </c>
      <c r="G1505">
        <v>0</v>
      </c>
      <c r="H1505" t="s">
        <v>947</v>
      </c>
      <c r="I1505" s="2">
        <v>6000</v>
      </c>
    </row>
    <row r="1506" spans="1:9" x14ac:dyDescent="0.3">
      <c r="A1506" s="5">
        <v>9397</v>
      </c>
      <c r="B1506" s="5" t="s">
        <v>2422</v>
      </c>
      <c r="C1506" s="5">
        <v>4</v>
      </c>
      <c r="D1506" s="5" t="s">
        <v>39</v>
      </c>
      <c r="E1506" t="s">
        <v>2423</v>
      </c>
      <c r="F1506" t="s">
        <v>2424</v>
      </c>
      <c r="G1506">
        <v>0</v>
      </c>
      <c r="H1506" t="s">
        <v>100</v>
      </c>
      <c r="I1506" s="2">
        <v>6000</v>
      </c>
    </row>
    <row r="1507" spans="1:9" x14ac:dyDescent="0.3">
      <c r="A1507" s="5">
        <v>9396</v>
      </c>
      <c r="B1507" s="5" t="s">
        <v>2425</v>
      </c>
      <c r="C1507" s="5">
        <v>4</v>
      </c>
      <c r="D1507" s="5" t="s">
        <v>39</v>
      </c>
      <c r="E1507" t="s">
        <v>2426</v>
      </c>
      <c r="F1507" t="s">
        <v>2427</v>
      </c>
      <c r="G1507">
        <v>0</v>
      </c>
      <c r="H1507" t="s">
        <v>264</v>
      </c>
      <c r="I1507" s="2">
        <v>5000</v>
      </c>
    </row>
    <row r="1508" spans="1:9" x14ac:dyDescent="0.3">
      <c r="A1508" s="5">
        <v>9396</v>
      </c>
      <c r="B1508" s="5" t="s">
        <v>2425</v>
      </c>
      <c r="C1508" s="5">
        <v>4</v>
      </c>
      <c r="D1508" s="5" t="s">
        <v>39</v>
      </c>
      <c r="E1508" t="s">
        <v>2426</v>
      </c>
      <c r="F1508" t="s">
        <v>2427</v>
      </c>
      <c r="G1508">
        <v>0</v>
      </c>
      <c r="H1508" t="s">
        <v>2428</v>
      </c>
      <c r="I1508" s="2">
        <v>7000</v>
      </c>
    </row>
    <row r="1509" spans="1:9" x14ac:dyDescent="0.3">
      <c r="A1509" s="5">
        <v>9396</v>
      </c>
      <c r="B1509" s="5" t="s">
        <v>2425</v>
      </c>
      <c r="C1509" s="5">
        <v>4</v>
      </c>
      <c r="D1509" s="5" t="s">
        <v>39</v>
      </c>
      <c r="E1509" t="s">
        <v>2426</v>
      </c>
      <c r="F1509" t="s">
        <v>2427</v>
      </c>
      <c r="G1509">
        <v>0</v>
      </c>
      <c r="H1509" t="s">
        <v>2429</v>
      </c>
      <c r="I1509" s="2">
        <v>7500</v>
      </c>
    </row>
    <row r="1510" spans="1:9" x14ac:dyDescent="0.3">
      <c r="A1510" s="5">
        <v>9395</v>
      </c>
      <c r="B1510" s="5" t="s">
        <v>2430</v>
      </c>
      <c r="C1510" s="5">
        <v>1</v>
      </c>
      <c r="D1510" s="5" t="s">
        <v>10</v>
      </c>
      <c r="E1510" t="s">
        <v>2431</v>
      </c>
      <c r="F1510" t="s">
        <v>2432</v>
      </c>
      <c r="G1510">
        <v>0</v>
      </c>
      <c r="H1510" t="s">
        <v>2433</v>
      </c>
      <c r="I1510" s="2">
        <v>15000</v>
      </c>
    </row>
    <row r="1511" spans="1:9" x14ac:dyDescent="0.3">
      <c r="A1511" s="5">
        <v>9395</v>
      </c>
      <c r="B1511" s="5" t="s">
        <v>2430</v>
      </c>
      <c r="C1511" s="5">
        <v>1</v>
      </c>
      <c r="D1511" s="5" t="s">
        <v>10</v>
      </c>
      <c r="E1511" t="s">
        <v>2431</v>
      </c>
      <c r="F1511" t="s">
        <v>2432</v>
      </c>
      <c r="G1511">
        <v>0</v>
      </c>
      <c r="H1511" t="s">
        <v>2434</v>
      </c>
      <c r="I1511" s="2">
        <v>15000</v>
      </c>
    </row>
    <row r="1512" spans="1:9" x14ac:dyDescent="0.3">
      <c r="A1512" s="5">
        <v>9395</v>
      </c>
      <c r="B1512" s="5" t="s">
        <v>2430</v>
      </c>
      <c r="C1512" s="5">
        <v>1</v>
      </c>
      <c r="D1512" s="5" t="s">
        <v>10</v>
      </c>
      <c r="E1512" t="s">
        <v>2431</v>
      </c>
      <c r="F1512" t="s">
        <v>2432</v>
      </c>
      <c r="G1512">
        <v>0</v>
      </c>
      <c r="H1512" t="s">
        <v>2435</v>
      </c>
      <c r="I1512" s="2">
        <v>15000</v>
      </c>
    </row>
    <row r="1513" spans="1:9" x14ac:dyDescent="0.3">
      <c r="A1513" s="5">
        <v>9394</v>
      </c>
      <c r="B1513" s="5" t="s">
        <v>2246</v>
      </c>
      <c r="C1513" s="5">
        <v>5</v>
      </c>
      <c r="D1513" s="5" t="s">
        <v>63</v>
      </c>
      <c r="E1513" t="s">
        <v>2436</v>
      </c>
      <c r="F1513" t="s">
        <v>2437</v>
      </c>
      <c r="G1513">
        <v>0</v>
      </c>
      <c r="H1513" t="s">
        <v>88</v>
      </c>
      <c r="I1513" s="2">
        <v>30000</v>
      </c>
    </row>
    <row r="1514" spans="1:9" x14ac:dyDescent="0.3">
      <c r="A1514" s="5">
        <v>9394</v>
      </c>
      <c r="B1514" s="5" t="s">
        <v>2246</v>
      </c>
      <c r="C1514" s="5">
        <v>5</v>
      </c>
      <c r="D1514" s="5" t="s">
        <v>63</v>
      </c>
      <c r="E1514" t="s">
        <v>2436</v>
      </c>
      <c r="F1514" t="s">
        <v>2437</v>
      </c>
      <c r="G1514">
        <v>0</v>
      </c>
      <c r="H1514" t="s">
        <v>67</v>
      </c>
      <c r="I1514" s="2">
        <v>10000</v>
      </c>
    </row>
    <row r="1515" spans="1:9" x14ac:dyDescent="0.3">
      <c r="A1515" s="5">
        <v>9393</v>
      </c>
      <c r="B1515" s="5" t="s">
        <v>2438</v>
      </c>
      <c r="C1515" s="5">
        <v>5</v>
      </c>
      <c r="D1515" s="5" t="s">
        <v>63</v>
      </c>
      <c r="E1515" t="s">
        <v>2439</v>
      </c>
      <c r="F1515" t="s">
        <v>2440</v>
      </c>
      <c r="G1515">
        <v>0</v>
      </c>
      <c r="H1515" t="s">
        <v>67</v>
      </c>
      <c r="I1515" s="2">
        <v>15000</v>
      </c>
    </row>
    <row r="1516" spans="1:9" x14ac:dyDescent="0.3">
      <c r="A1516" s="5">
        <v>9393</v>
      </c>
      <c r="B1516" s="5" t="s">
        <v>2438</v>
      </c>
      <c r="C1516" s="5">
        <v>5</v>
      </c>
      <c r="D1516" s="5" t="s">
        <v>63</v>
      </c>
      <c r="E1516" t="s">
        <v>2439</v>
      </c>
      <c r="F1516" t="s">
        <v>2440</v>
      </c>
      <c r="G1516">
        <v>0</v>
      </c>
      <c r="H1516" t="s">
        <v>88</v>
      </c>
      <c r="I1516" s="2">
        <v>40000</v>
      </c>
    </row>
    <row r="1517" spans="1:9" x14ac:dyDescent="0.3">
      <c r="A1517" s="5">
        <v>9392</v>
      </c>
      <c r="B1517" s="5" t="s">
        <v>2441</v>
      </c>
      <c r="C1517" s="5">
        <v>5</v>
      </c>
      <c r="D1517" s="5" t="s">
        <v>63</v>
      </c>
      <c r="E1517" t="s">
        <v>2442</v>
      </c>
      <c r="F1517" t="s">
        <v>2443</v>
      </c>
      <c r="G1517">
        <v>0</v>
      </c>
      <c r="H1517" t="s">
        <v>67</v>
      </c>
      <c r="I1517" s="2">
        <v>10000</v>
      </c>
    </row>
    <row r="1518" spans="1:9" x14ac:dyDescent="0.3">
      <c r="A1518" s="5">
        <v>9392</v>
      </c>
      <c r="B1518" s="5" t="s">
        <v>2441</v>
      </c>
      <c r="C1518" s="5">
        <v>5</v>
      </c>
      <c r="D1518" s="5" t="s">
        <v>63</v>
      </c>
      <c r="E1518" t="s">
        <v>2442</v>
      </c>
      <c r="F1518" t="s">
        <v>2443</v>
      </c>
      <c r="G1518">
        <v>0</v>
      </c>
      <c r="H1518" t="s">
        <v>88</v>
      </c>
      <c r="I1518" s="2">
        <v>30000</v>
      </c>
    </row>
    <row r="1519" spans="1:9" x14ac:dyDescent="0.3">
      <c r="A1519" s="5">
        <v>9391</v>
      </c>
      <c r="B1519" s="5" t="s">
        <v>2444</v>
      </c>
      <c r="C1519" s="5">
        <v>5</v>
      </c>
      <c r="D1519" s="5" t="s">
        <v>63</v>
      </c>
      <c r="E1519" t="s">
        <v>2445</v>
      </c>
      <c r="F1519" t="s">
        <v>816</v>
      </c>
      <c r="G1519">
        <v>0</v>
      </c>
      <c r="H1519" t="s">
        <v>88</v>
      </c>
      <c r="I1519" s="2">
        <v>15000</v>
      </c>
    </row>
    <row r="1520" spans="1:9" x14ac:dyDescent="0.3">
      <c r="A1520" s="5">
        <v>9391</v>
      </c>
      <c r="B1520" s="5" t="s">
        <v>2444</v>
      </c>
      <c r="C1520" s="5">
        <v>5</v>
      </c>
      <c r="D1520" s="5" t="s">
        <v>63</v>
      </c>
      <c r="E1520" t="s">
        <v>2445</v>
      </c>
      <c r="F1520" t="s">
        <v>816</v>
      </c>
      <c r="G1520">
        <v>0</v>
      </c>
      <c r="H1520" t="s">
        <v>67</v>
      </c>
      <c r="I1520" s="2">
        <v>5000</v>
      </c>
    </row>
    <row r="1521" spans="1:9" x14ac:dyDescent="0.3">
      <c r="A1521" s="5">
        <v>9390</v>
      </c>
      <c r="B1521" s="5" t="s">
        <v>2446</v>
      </c>
      <c r="C1521" s="5">
        <v>4</v>
      </c>
      <c r="D1521" s="5" t="s">
        <v>39</v>
      </c>
      <c r="E1521" t="s">
        <v>2447</v>
      </c>
      <c r="F1521" t="s">
        <v>2448</v>
      </c>
      <c r="G1521">
        <v>0</v>
      </c>
      <c r="H1521" t="s">
        <v>320</v>
      </c>
      <c r="I1521" s="2">
        <v>9000</v>
      </c>
    </row>
    <row r="1522" spans="1:9" x14ac:dyDescent="0.3">
      <c r="A1522" s="5">
        <v>9389</v>
      </c>
      <c r="B1522" s="5" t="s">
        <v>2449</v>
      </c>
      <c r="C1522" s="5">
        <v>4</v>
      </c>
      <c r="D1522" s="5" t="s">
        <v>39</v>
      </c>
      <c r="E1522" t="s">
        <v>2450</v>
      </c>
      <c r="F1522" t="s">
        <v>2451</v>
      </c>
      <c r="G1522">
        <v>0</v>
      </c>
      <c r="H1522" t="s">
        <v>2452</v>
      </c>
      <c r="I1522" s="2">
        <v>3600</v>
      </c>
    </row>
    <row r="1523" spans="1:9" x14ac:dyDescent="0.3">
      <c r="A1523" s="5">
        <v>9388</v>
      </c>
      <c r="B1523" s="5" t="s">
        <v>2453</v>
      </c>
      <c r="C1523" s="5">
        <v>1</v>
      </c>
      <c r="D1523" s="5" t="s">
        <v>10</v>
      </c>
      <c r="E1523" t="s">
        <v>2454</v>
      </c>
      <c r="F1523" t="s">
        <v>816</v>
      </c>
      <c r="G1523">
        <v>0</v>
      </c>
      <c r="H1523" t="s">
        <v>229</v>
      </c>
      <c r="I1523" s="2">
        <v>4900</v>
      </c>
    </row>
    <row r="1524" spans="1:9" x14ac:dyDescent="0.3">
      <c r="A1524" s="5">
        <v>9388</v>
      </c>
      <c r="B1524" s="5" t="s">
        <v>2453</v>
      </c>
      <c r="C1524" s="5">
        <v>1</v>
      </c>
      <c r="D1524" s="5" t="s">
        <v>10</v>
      </c>
      <c r="E1524" t="s">
        <v>2454</v>
      </c>
      <c r="F1524" t="s">
        <v>816</v>
      </c>
      <c r="G1524">
        <v>0</v>
      </c>
      <c r="H1524" t="s">
        <v>126</v>
      </c>
      <c r="I1524" s="2">
        <v>6900</v>
      </c>
    </row>
    <row r="1525" spans="1:9" x14ac:dyDescent="0.3">
      <c r="A1525" s="5">
        <v>9388</v>
      </c>
      <c r="B1525" s="5" t="s">
        <v>2453</v>
      </c>
      <c r="C1525" s="5">
        <v>1</v>
      </c>
      <c r="D1525" s="5" t="s">
        <v>10</v>
      </c>
      <c r="E1525" t="s">
        <v>2454</v>
      </c>
      <c r="F1525" t="s">
        <v>816</v>
      </c>
      <c r="G1525">
        <v>0</v>
      </c>
      <c r="H1525" t="s">
        <v>37</v>
      </c>
      <c r="I1525" s="2">
        <v>5900</v>
      </c>
    </row>
    <row r="1526" spans="1:9" x14ac:dyDescent="0.3">
      <c r="A1526" s="5">
        <v>9387</v>
      </c>
      <c r="B1526" s="5" t="s">
        <v>2455</v>
      </c>
      <c r="C1526" s="5">
        <v>1</v>
      </c>
      <c r="D1526" s="5" t="s">
        <v>10</v>
      </c>
      <c r="E1526" t="s">
        <v>2456</v>
      </c>
      <c r="F1526" t="s">
        <v>2457</v>
      </c>
      <c r="G1526">
        <v>0</v>
      </c>
      <c r="H1526" t="s">
        <v>2458</v>
      </c>
      <c r="I1526" s="2">
        <v>9000</v>
      </c>
    </row>
    <row r="1527" spans="1:9" x14ac:dyDescent="0.3">
      <c r="A1527" s="5">
        <v>9387</v>
      </c>
      <c r="B1527" s="5" t="s">
        <v>2455</v>
      </c>
      <c r="C1527" s="5">
        <v>1</v>
      </c>
      <c r="D1527" s="5" t="s">
        <v>10</v>
      </c>
      <c r="E1527" t="s">
        <v>2456</v>
      </c>
      <c r="F1527" t="s">
        <v>2457</v>
      </c>
      <c r="G1527">
        <v>0</v>
      </c>
      <c r="H1527" t="s">
        <v>2459</v>
      </c>
      <c r="I1527" s="2">
        <v>8000</v>
      </c>
    </row>
    <row r="1528" spans="1:9" x14ac:dyDescent="0.3">
      <c r="A1528" s="5">
        <v>9387</v>
      </c>
      <c r="B1528" s="5" t="s">
        <v>2455</v>
      </c>
      <c r="C1528" s="5">
        <v>1</v>
      </c>
      <c r="D1528" s="5" t="s">
        <v>10</v>
      </c>
      <c r="E1528" t="s">
        <v>2456</v>
      </c>
      <c r="F1528" t="s">
        <v>2457</v>
      </c>
      <c r="G1528">
        <v>0</v>
      </c>
      <c r="H1528" t="s">
        <v>2460</v>
      </c>
      <c r="I1528" s="2">
        <v>9000</v>
      </c>
    </row>
    <row r="1529" spans="1:9" x14ac:dyDescent="0.3">
      <c r="A1529" s="5">
        <v>9386</v>
      </c>
      <c r="B1529" s="5" t="s">
        <v>1839</v>
      </c>
      <c r="C1529" s="5">
        <v>4</v>
      </c>
      <c r="D1529" s="5" t="s">
        <v>39</v>
      </c>
      <c r="E1529" t="s">
        <v>2461</v>
      </c>
      <c r="F1529" t="s">
        <v>2462</v>
      </c>
      <c r="G1529">
        <v>0</v>
      </c>
      <c r="H1529" t="s">
        <v>1842</v>
      </c>
      <c r="I1529" s="2">
        <v>5500</v>
      </c>
    </row>
    <row r="1530" spans="1:9" x14ac:dyDescent="0.3">
      <c r="A1530" s="5">
        <v>9386</v>
      </c>
      <c r="B1530" s="5" t="s">
        <v>1839</v>
      </c>
      <c r="C1530" s="5">
        <v>4</v>
      </c>
      <c r="D1530" s="5" t="s">
        <v>39</v>
      </c>
      <c r="E1530" t="s">
        <v>2461</v>
      </c>
      <c r="F1530" t="s">
        <v>2462</v>
      </c>
      <c r="G1530">
        <v>0</v>
      </c>
      <c r="H1530" t="s">
        <v>2463</v>
      </c>
      <c r="I1530" s="2">
        <v>6500</v>
      </c>
    </row>
    <row r="1531" spans="1:9" x14ac:dyDescent="0.3">
      <c r="A1531" s="5">
        <v>9386</v>
      </c>
      <c r="B1531" s="5" t="s">
        <v>1839</v>
      </c>
      <c r="C1531" s="5">
        <v>4</v>
      </c>
      <c r="D1531" s="5" t="s">
        <v>39</v>
      </c>
      <c r="E1531" t="s">
        <v>2461</v>
      </c>
      <c r="F1531" t="s">
        <v>2462</v>
      </c>
      <c r="G1531">
        <v>0</v>
      </c>
      <c r="H1531" t="s">
        <v>1843</v>
      </c>
      <c r="I1531" s="2">
        <v>6000</v>
      </c>
    </row>
    <row r="1532" spans="1:9" x14ac:dyDescent="0.3">
      <c r="A1532" s="5">
        <v>9385</v>
      </c>
      <c r="B1532" s="5" t="s">
        <v>2464</v>
      </c>
      <c r="C1532" s="5">
        <v>1</v>
      </c>
      <c r="D1532" s="5" t="s">
        <v>10</v>
      </c>
      <c r="E1532" t="s">
        <v>2465</v>
      </c>
      <c r="F1532" t="s">
        <v>2466</v>
      </c>
      <c r="G1532">
        <v>0</v>
      </c>
      <c r="H1532" t="s">
        <v>259</v>
      </c>
      <c r="I1532" s="2">
        <v>7000</v>
      </c>
    </row>
    <row r="1533" spans="1:9" x14ac:dyDescent="0.3">
      <c r="A1533" s="5">
        <v>9385</v>
      </c>
      <c r="B1533" s="5" t="s">
        <v>2464</v>
      </c>
      <c r="C1533" s="5">
        <v>1</v>
      </c>
      <c r="D1533" s="5" t="s">
        <v>10</v>
      </c>
      <c r="E1533" t="s">
        <v>2465</v>
      </c>
      <c r="F1533" t="s">
        <v>2466</v>
      </c>
      <c r="G1533">
        <v>0</v>
      </c>
      <c r="H1533" t="s">
        <v>2467</v>
      </c>
      <c r="I1533" s="2">
        <v>7000</v>
      </c>
    </row>
    <row r="1534" spans="1:9" x14ac:dyDescent="0.3">
      <c r="A1534" s="5">
        <v>9385</v>
      </c>
      <c r="B1534" s="5" t="s">
        <v>2464</v>
      </c>
      <c r="C1534" s="5">
        <v>1</v>
      </c>
      <c r="D1534" s="5" t="s">
        <v>10</v>
      </c>
      <c r="E1534" t="s">
        <v>2465</v>
      </c>
      <c r="F1534" t="s">
        <v>2466</v>
      </c>
      <c r="G1534">
        <v>0</v>
      </c>
      <c r="H1534" t="s">
        <v>403</v>
      </c>
      <c r="I1534" s="2">
        <v>8000</v>
      </c>
    </row>
    <row r="1535" spans="1:9" x14ac:dyDescent="0.3">
      <c r="A1535" s="5">
        <v>9384</v>
      </c>
      <c r="B1535" s="5" t="s">
        <v>2468</v>
      </c>
      <c r="C1535" s="5">
        <v>1</v>
      </c>
      <c r="D1535" s="5" t="s">
        <v>10</v>
      </c>
      <c r="E1535" t="s">
        <v>2469</v>
      </c>
      <c r="F1535" t="s">
        <v>2470</v>
      </c>
      <c r="G1535">
        <v>0</v>
      </c>
      <c r="H1535" t="s">
        <v>669</v>
      </c>
      <c r="I1535" s="2">
        <v>13000</v>
      </c>
    </row>
    <row r="1536" spans="1:9" x14ac:dyDescent="0.3">
      <c r="A1536" s="5">
        <v>9384</v>
      </c>
      <c r="B1536" s="5" t="s">
        <v>2468</v>
      </c>
      <c r="C1536" s="5">
        <v>1</v>
      </c>
      <c r="D1536" s="5" t="s">
        <v>10</v>
      </c>
      <c r="E1536" t="s">
        <v>2469</v>
      </c>
      <c r="F1536" t="s">
        <v>2470</v>
      </c>
      <c r="G1536">
        <v>0</v>
      </c>
      <c r="H1536" t="s">
        <v>2471</v>
      </c>
      <c r="I1536" s="2">
        <v>38000</v>
      </c>
    </row>
    <row r="1537" spans="1:9" x14ac:dyDescent="0.3">
      <c r="A1537" s="5">
        <v>9384</v>
      </c>
      <c r="B1537" s="5" t="s">
        <v>2468</v>
      </c>
      <c r="C1537" s="5">
        <v>1</v>
      </c>
      <c r="D1537" s="5" t="s">
        <v>10</v>
      </c>
      <c r="E1537" t="s">
        <v>2469</v>
      </c>
      <c r="F1537" t="s">
        <v>2470</v>
      </c>
      <c r="G1537">
        <v>0</v>
      </c>
      <c r="H1537" t="s">
        <v>2472</v>
      </c>
      <c r="I1537" s="2">
        <v>15000</v>
      </c>
    </row>
    <row r="1538" spans="1:9" x14ac:dyDescent="0.3">
      <c r="A1538" s="5">
        <v>9383</v>
      </c>
      <c r="B1538" s="5" t="s">
        <v>2473</v>
      </c>
      <c r="C1538" s="5">
        <v>1</v>
      </c>
      <c r="D1538" s="5" t="s">
        <v>10</v>
      </c>
      <c r="E1538" t="s">
        <v>2474</v>
      </c>
      <c r="F1538" t="s">
        <v>2475</v>
      </c>
      <c r="G1538">
        <v>0</v>
      </c>
      <c r="H1538" t="s">
        <v>126</v>
      </c>
      <c r="I1538" s="2">
        <v>4000</v>
      </c>
    </row>
    <row r="1539" spans="1:9" x14ac:dyDescent="0.3">
      <c r="A1539" s="5">
        <v>9383</v>
      </c>
      <c r="B1539" s="5" t="s">
        <v>2473</v>
      </c>
      <c r="C1539" s="5">
        <v>1</v>
      </c>
      <c r="D1539" s="5" t="s">
        <v>10</v>
      </c>
      <c r="E1539" t="s">
        <v>2474</v>
      </c>
      <c r="F1539" t="s">
        <v>2475</v>
      </c>
      <c r="G1539">
        <v>0</v>
      </c>
      <c r="H1539" t="s">
        <v>2476</v>
      </c>
      <c r="I1539" s="2">
        <v>4000</v>
      </c>
    </row>
    <row r="1540" spans="1:9" x14ac:dyDescent="0.3">
      <c r="A1540" s="5">
        <v>9383</v>
      </c>
      <c r="B1540" s="5" t="s">
        <v>2473</v>
      </c>
      <c r="C1540" s="5">
        <v>1</v>
      </c>
      <c r="D1540" s="5" t="s">
        <v>10</v>
      </c>
      <c r="E1540" t="s">
        <v>2474</v>
      </c>
      <c r="F1540" t="s">
        <v>2475</v>
      </c>
      <c r="G1540">
        <v>0</v>
      </c>
      <c r="H1540" t="s">
        <v>2477</v>
      </c>
      <c r="I1540" s="2">
        <v>4000</v>
      </c>
    </row>
    <row r="1541" spans="1:9" x14ac:dyDescent="0.3">
      <c r="A1541" s="5">
        <v>9382</v>
      </c>
      <c r="B1541" s="5" t="s">
        <v>2478</v>
      </c>
      <c r="C1541" s="5">
        <v>1</v>
      </c>
      <c r="D1541" s="5" t="s">
        <v>10</v>
      </c>
      <c r="E1541" t="s">
        <v>2479</v>
      </c>
      <c r="F1541" t="s">
        <v>2480</v>
      </c>
      <c r="G1541">
        <v>0</v>
      </c>
      <c r="H1541" t="s">
        <v>126</v>
      </c>
      <c r="I1541" s="2">
        <v>8000</v>
      </c>
    </row>
    <row r="1542" spans="1:9" x14ac:dyDescent="0.3">
      <c r="A1542" s="5">
        <v>9382</v>
      </c>
      <c r="B1542" s="5" t="s">
        <v>2478</v>
      </c>
      <c r="C1542" s="5">
        <v>1</v>
      </c>
      <c r="D1542" s="5" t="s">
        <v>10</v>
      </c>
      <c r="E1542" t="s">
        <v>2479</v>
      </c>
      <c r="F1542" t="s">
        <v>2480</v>
      </c>
      <c r="G1542">
        <v>0</v>
      </c>
      <c r="H1542" t="s">
        <v>35</v>
      </c>
      <c r="I1542" s="2">
        <v>9000</v>
      </c>
    </row>
    <row r="1543" spans="1:9" x14ac:dyDescent="0.3">
      <c r="A1543" s="5">
        <v>9382</v>
      </c>
      <c r="B1543" s="5" t="s">
        <v>2478</v>
      </c>
      <c r="C1543" s="5">
        <v>1</v>
      </c>
      <c r="D1543" s="5" t="s">
        <v>10</v>
      </c>
      <c r="E1543" t="s">
        <v>2479</v>
      </c>
      <c r="F1543" t="s">
        <v>2480</v>
      </c>
      <c r="G1543">
        <v>0</v>
      </c>
      <c r="H1543" t="s">
        <v>2481</v>
      </c>
      <c r="I1543" s="2">
        <v>8000</v>
      </c>
    </row>
    <row r="1544" spans="1:9" x14ac:dyDescent="0.3">
      <c r="A1544" s="5">
        <v>9381</v>
      </c>
      <c r="B1544" s="5" t="s">
        <v>2482</v>
      </c>
      <c r="C1544" s="5">
        <v>1</v>
      </c>
      <c r="D1544" s="5" t="s">
        <v>10</v>
      </c>
      <c r="E1544" t="s">
        <v>2483</v>
      </c>
      <c r="F1544" t="s">
        <v>2484</v>
      </c>
      <c r="G1544">
        <v>0</v>
      </c>
      <c r="H1544" t="s">
        <v>2485</v>
      </c>
      <c r="I1544" s="2">
        <v>8000</v>
      </c>
    </row>
    <row r="1545" spans="1:9" x14ac:dyDescent="0.3">
      <c r="A1545" s="5">
        <v>9381</v>
      </c>
      <c r="B1545" s="5" t="s">
        <v>2482</v>
      </c>
      <c r="C1545" s="5">
        <v>1</v>
      </c>
      <c r="D1545" s="5" t="s">
        <v>10</v>
      </c>
      <c r="E1545" t="s">
        <v>2483</v>
      </c>
      <c r="F1545" t="s">
        <v>2484</v>
      </c>
      <c r="G1545">
        <v>0</v>
      </c>
      <c r="H1545" t="s">
        <v>2221</v>
      </c>
      <c r="I1545" s="2">
        <v>7000</v>
      </c>
    </row>
    <row r="1546" spans="1:9" x14ac:dyDescent="0.3">
      <c r="A1546" s="5">
        <v>9380</v>
      </c>
      <c r="B1546" s="5" t="s">
        <v>2486</v>
      </c>
      <c r="C1546" s="5">
        <v>1</v>
      </c>
      <c r="D1546" s="5" t="s">
        <v>10</v>
      </c>
      <c r="E1546" t="s">
        <v>2487</v>
      </c>
      <c r="F1546" t="s">
        <v>2488</v>
      </c>
      <c r="G1546">
        <v>0</v>
      </c>
      <c r="H1546" t="s">
        <v>2489</v>
      </c>
      <c r="I1546" s="2">
        <v>15000</v>
      </c>
    </row>
    <row r="1547" spans="1:9" x14ac:dyDescent="0.3">
      <c r="A1547" s="5">
        <v>9380</v>
      </c>
      <c r="B1547" s="5" t="s">
        <v>2486</v>
      </c>
      <c r="C1547" s="5">
        <v>1</v>
      </c>
      <c r="D1547" s="5" t="s">
        <v>10</v>
      </c>
      <c r="E1547" t="s">
        <v>2487</v>
      </c>
      <c r="F1547" t="s">
        <v>2488</v>
      </c>
      <c r="G1547">
        <v>0</v>
      </c>
      <c r="H1547" t="s">
        <v>2490</v>
      </c>
      <c r="I1547" s="2">
        <v>13000</v>
      </c>
    </row>
    <row r="1548" spans="1:9" x14ac:dyDescent="0.3">
      <c r="A1548" s="5">
        <v>9380</v>
      </c>
      <c r="B1548" s="5" t="s">
        <v>2486</v>
      </c>
      <c r="C1548" s="5">
        <v>1</v>
      </c>
      <c r="D1548" s="5" t="s">
        <v>10</v>
      </c>
      <c r="E1548" t="s">
        <v>2487</v>
      </c>
      <c r="F1548" t="s">
        <v>2488</v>
      </c>
      <c r="G1548">
        <v>0</v>
      </c>
      <c r="H1548" t="s">
        <v>2491</v>
      </c>
      <c r="I1548" s="2">
        <v>6000</v>
      </c>
    </row>
    <row r="1549" spans="1:9" x14ac:dyDescent="0.3">
      <c r="A1549" s="5">
        <v>9379</v>
      </c>
      <c r="B1549" s="5" t="s">
        <v>2492</v>
      </c>
      <c r="C1549" s="5">
        <v>1</v>
      </c>
      <c r="D1549" s="5" t="s">
        <v>10</v>
      </c>
      <c r="E1549" t="s">
        <v>2493</v>
      </c>
      <c r="F1549" t="s">
        <v>2494</v>
      </c>
      <c r="G1549">
        <v>0</v>
      </c>
      <c r="H1549" t="s">
        <v>2495</v>
      </c>
      <c r="I1549" s="2">
        <v>7000</v>
      </c>
    </row>
    <row r="1550" spans="1:9" x14ac:dyDescent="0.3">
      <c r="A1550" s="5">
        <v>9379</v>
      </c>
      <c r="B1550" s="5" t="s">
        <v>2492</v>
      </c>
      <c r="C1550" s="5">
        <v>1</v>
      </c>
      <c r="D1550" s="5" t="s">
        <v>10</v>
      </c>
      <c r="E1550" t="s">
        <v>2493</v>
      </c>
      <c r="F1550" t="s">
        <v>2494</v>
      </c>
      <c r="G1550">
        <v>0</v>
      </c>
      <c r="H1550" t="s">
        <v>2496</v>
      </c>
      <c r="I1550" s="2">
        <v>8000</v>
      </c>
    </row>
    <row r="1551" spans="1:9" x14ac:dyDescent="0.3">
      <c r="A1551" s="5">
        <v>9379</v>
      </c>
      <c r="B1551" s="5" t="s">
        <v>2492</v>
      </c>
      <c r="C1551" s="5">
        <v>1</v>
      </c>
      <c r="D1551" s="5" t="s">
        <v>10</v>
      </c>
      <c r="E1551" t="s">
        <v>2493</v>
      </c>
      <c r="F1551" t="s">
        <v>2494</v>
      </c>
      <c r="G1551">
        <v>0</v>
      </c>
      <c r="H1551" t="s">
        <v>2497</v>
      </c>
      <c r="I1551" s="2">
        <v>7000</v>
      </c>
    </row>
    <row r="1552" spans="1:9" x14ac:dyDescent="0.3">
      <c r="A1552" s="5">
        <v>9378</v>
      </c>
      <c r="B1552" s="5" t="s">
        <v>2498</v>
      </c>
      <c r="C1552" s="5">
        <v>1</v>
      </c>
      <c r="D1552" s="5" t="s">
        <v>10</v>
      </c>
      <c r="E1552" t="s">
        <v>2499</v>
      </c>
      <c r="F1552" t="s">
        <v>2500</v>
      </c>
      <c r="G1552">
        <v>0</v>
      </c>
      <c r="H1552" t="s">
        <v>2501</v>
      </c>
      <c r="I1552" s="2">
        <v>7000</v>
      </c>
    </row>
    <row r="1553" spans="1:9" x14ac:dyDescent="0.3">
      <c r="A1553" s="5">
        <v>9378</v>
      </c>
      <c r="B1553" s="5" t="s">
        <v>2498</v>
      </c>
      <c r="C1553" s="5">
        <v>1</v>
      </c>
      <c r="D1553" s="5" t="s">
        <v>10</v>
      </c>
      <c r="E1553" t="s">
        <v>2499</v>
      </c>
      <c r="F1553" t="s">
        <v>2500</v>
      </c>
      <c r="G1553">
        <v>0</v>
      </c>
      <c r="H1553" t="s">
        <v>2502</v>
      </c>
      <c r="I1553" s="2">
        <v>7000</v>
      </c>
    </row>
    <row r="1554" spans="1:9" x14ac:dyDescent="0.3">
      <c r="A1554" s="5">
        <v>9378</v>
      </c>
      <c r="B1554" s="5" t="s">
        <v>2498</v>
      </c>
      <c r="C1554" s="5">
        <v>1</v>
      </c>
      <c r="D1554" s="5" t="s">
        <v>10</v>
      </c>
      <c r="E1554" t="s">
        <v>2499</v>
      </c>
      <c r="F1554" t="s">
        <v>2500</v>
      </c>
      <c r="G1554">
        <v>0</v>
      </c>
      <c r="H1554" t="s">
        <v>2503</v>
      </c>
      <c r="I1554" s="2">
        <v>8000</v>
      </c>
    </row>
    <row r="1555" spans="1:9" x14ac:dyDescent="0.3">
      <c r="A1555" s="5">
        <v>9377</v>
      </c>
      <c r="B1555" s="5" t="s">
        <v>2504</v>
      </c>
      <c r="C1555" s="5">
        <v>1</v>
      </c>
      <c r="D1555" s="5" t="s">
        <v>10</v>
      </c>
      <c r="E1555" t="s">
        <v>2505</v>
      </c>
      <c r="F1555" t="s">
        <v>2506</v>
      </c>
      <c r="G1555">
        <v>0</v>
      </c>
      <c r="H1555" t="s">
        <v>2507</v>
      </c>
      <c r="I1555" s="2">
        <v>4000</v>
      </c>
    </row>
    <row r="1556" spans="1:9" x14ac:dyDescent="0.3">
      <c r="A1556" s="5">
        <v>9377</v>
      </c>
      <c r="B1556" s="5" t="s">
        <v>2504</v>
      </c>
      <c r="C1556" s="5">
        <v>1</v>
      </c>
      <c r="D1556" s="5" t="s">
        <v>10</v>
      </c>
      <c r="E1556" t="s">
        <v>2505</v>
      </c>
      <c r="F1556" t="s">
        <v>2506</v>
      </c>
      <c r="G1556">
        <v>0</v>
      </c>
      <c r="H1556" t="s">
        <v>2508</v>
      </c>
      <c r="I1556" s="2">
        <v>5000</v>
      </c>
    </row>
    <row r="1557" spans="1:9" x14ac:dyDescent="0.3">
      <c r="A1557" s="5">
        <v>9377</v>
      </c>
      <c r="B1557" s="5" t="s">
        <v>2504</v>
      </c>
      <c r="C1557" s="5">
        <v>1</v>
      </c>
      <c r="D1557" s="5" t="s">
        <v>10</v>
      </c>
      <c r="E1557" t="s">
        <v>2505</v>
      </c>
      <c r="F1557" t="s">
        <v>2506</v>
      </c>
      <c r="G1557">
        <v>0</v>
      </c>
      <c r="H1557" t="s">
        <v>2509</v>
      </c>
      <c r="I1557" s="2">
        <v>4000</v>
      </c>
    </row>
    <row r="1558" spans="1:9" x14ac:dyDescent="0.3">
      <c r="A1558" s="5">
        <v>9376</v>
      </c>
      <c r="B1558" s="5" t="s">
        <v>2510</v>
      </c>
      <c r="C1558" s="5">
        <v>1</v>
      </c>
      <c r="D1558" s="5" t="s">
        <v>10</v>
      </c>
      <c r="E1558" t="s">
        <v>2511</v>
      </c>
      <c r="F1558" t="s">
        <v>2512</v>
      </c>
      <c r="G1558">
        <v>0</v>
      </c>
      <c r="H1558" t="s">
        <v>2513</v>
      </c>
      <c r="I1558" s="2">
        <v>7000</v>
      </c>
    </row>
    <row r="1559" spans="1:9" x14ac:dyDescent="0.3">
      <c r="A1559" s="5">
        <v>9376</v>
      </c>
      <c r="B1559" s="5" t="s">
        <v>2510</v>
      </c>
      <c r="C1559" s="5">
        <v>1</v>
      </c>
      <c r="D1559" s="5" t="s">
        <v>10</v>
      </c>
      <c r="E1559" t="s">
        <v>2511</v>
      </c>
      <c r="F1559" t="s">
        <v>2512</v>
      </c>
      <c r="G1559">
        <v>0</v>
      </c>
      <c r="H1559" t="s">
        <v>765</v>
      </c>
      <c r="I1559" s="2">
        <v>8000</v>
      </c>
    </row>
    <row r="1560" spans="1:9" x14ac:dyDescent="0.3">
      <c r="A1560" s="5">
        <v>9375</v>
      </c>
      <c r="B1560" s="5" t="s">
        <v>2514</v>
      </c>
      <c r="C1560" s="5">
        <v>5</v>
      </c>
      <c r="D1560" s="5" t="s">
        <v>63</v>
      </c>
      <c r="E1560" t="s">
        <v>2515</v>
      </c>
      <c r="G1560">
        <v>0</v>
      </c>
      <c r="H1560" t="s">
        <v>67</v>
      </c>
      <c r="I1560" s="2">
        <v>10000</v>
      </c>
    </row>
    <row r="1561" spans="1:9" x14ac:dyDescent="0.3">
      <c r="A1561" s="5">
        <v>9375</v>
      </c>
      <c r="B1561" s="5" t="s">
        <v>2514</v>
      </c>
      <c r="C1561" s="5">
        <v>5</v>
      </c>
      <c r="D1561" s="5" t="s">
        <v>63</v>
      </c>
      <c r="E1561" t="s">
        <v>2515</v>
      </c>
      <c r="G1561">
        <v>0</v>
      </c>
      <c r="H1561" t="s">
        <v>66</v>
      </c>
      <c r="I1561" s="2">
        <v>20000</v>
      </c>
    </row>
    <row r="1562" spans="1:9" x14ac:dyDescent="0.3">
      <c r="A1562" s="5">
        <v>9375</v>
      </c>
      <c r="B1562" s="5" t="s">
        <v>2514</v>
      </c>
      <c r="C1562" s="5">
        <v>5</v>
      </c>
      <c r="D1562" s="5" t="s">
        <v>63</v>
      </c>
      <c r="E1562" t="s">
        <v>2515</v>
      </c>
      <c r="G1562">
        <v>0</v>
      </c>
      <c r="H1562" t="s">
        <v>550</v>
      </c>
      <c r="I1562" s="2">
        <v>25000</v>
      </c>
    </row>
    <row r="1563" spans="1:9" x14ac:dyDescent="0.3">
      <c r="A1563" s="5">
        <v>9374</v>
      </c>
      <c r="B1563" s="5" t="s">
        <v>2516</v>
      </c>
      <c r="C1563" s="5">
        <v>1</v>
      </c>
      <c r="D1563" s="5" t="s">
        <v>10</v>
      </c>
      <c r="E1563" t="s">
        <v>2517</v>
      </c>
      <c r="F1563" t="s">
        <v>2518</v>
      </c>
      <c r="G1563">
        <v>0</v>
      </c>
      <c r="H1563" t="s">
        <v>1047</v>
      </c>
      <c r="I1563" s="2">
        <v>10000</v>
      </c>
    </row>
    <row r="1564" spans="1:9" x14ac:dyDescent="0.3">
      <c r="A1564" s="5">
        <v>9373</v>
      </c>
      <c r="B1564" s="5" t="s">
        <v>2519</v>
      </c>
      <c r="C1564" s="5">
        <v>1</v>
      </c>
      <c r="D1564" s="5" t="s">
        <v>10</v>
      </c>
      <c r="E1564" t="s">
        <v>2520</v>
      </c>
      <c r="F1564" t="s">
        <v>2521</v>
      </c>
      <c r="G1564">
        <v>0</v>
      </c>
      <c r="H1564" t="s">
        <v>134</v>
      </c>
      <c r="I1564" s="2">
        <v>9000</v>
      </c>
    </row>
    <row r="1565" spans="1:9" x14ac:dyDescent="0.3">
      <c r="A1565" s="5">
        <v>9373</v>
      </c>
      <c r="B1565" s="5" t="s">
        <v>2519</v>
      </c>
      <c r="C1565" s="5">
        <v>1</v>
      </c>
      <c r="D1565" s="5" t="s">
        <v>10</v>
      </c>
      <c r="E1565" t="s">
        <v>2520</v>
      </c>
      <c r="F1565" t="s">
        <v>2521</v>
      </c>
      <c r="G1565">
        <v>0</v>
      </c>
      <c r="H1565" t="s">
        <v>153</v>
      </c>
      <c r="I1565" s="2">
        <v>7000</v>
      </c>
    </row>
    <row r="1566" spans="1:9" x14ac:dyDescent="0.3">
      <c r="A1566" s="5">
        <v>9372</v>
      </c>
      <c r="B1566" s="5" t="s">
        <v>2522</v>
      </c>
      <c r="C1566" s="5">
        <v>1</v>
      </c>
      <c r="D1566" s="5" t="s">
        <v>10</v>
      </c>
      <c r="E1566" t="s">
        <v>2523</v>
      </c>
      <c r="F1566" t="s">
        <v>2524</v>
      </c>
      <c r="G1566">
        <v>0</v>
      </c>
      <c r="H1566" t="s">
        <v>134</v>
      </c>
      <c r="I1566" s="2">
        <v>6000</v>
      </c>
    </row>
    <row r="1567" spans="1:9" x14ac:dyDescent="0.3">
      <c r="A1567" s="5">
        <v>9372</v>
      </c>
      <c r="B1567" s="5" t="s">
        <v>2522</v>
      </c>
      <c r="C1567" s="5">
        <v>1</v>
      </c>
      <c r="D1567" s="5" t="s">
        <v>10</v>
      </c>
      <c r="E1567" t="s">
        <v>2523</v>
      </c>
      <c r="F1567" t="s">
        <v>2524</v>
      </c>
      <c r="G1567">
        <v>0</v>
      </c>
      <c r="H1567" t="s">
        <v>894</v>
      </c>
      <c r="I1567" s="2">
        <v>7000</v>
      </c>
    </row>
    <row r="1568" spans="1:9" x14ac:dyDescent="0.3">
      <c r="A1568" s="5">
        <v>9371</v>
      </c>
      <c r="B1568" s="5" t="s">
        <v>2525</v>
      </c>
      <c r="C1568" s="5">
        <v>1</v>
      </c>
      <c r="D1568" s="5" t="s">
        <v>10</v>
      </c>
      <c r="E1568" t="s">
        <v>2526</v>
      </c>
      <c r="F1568" t="s">
        <v>2527</v>
      </c>
      <c r="G1568">
        <v>0</v>
      </c>
      <c r="H1568" t="s">
        <v>2528</v>
      </c>
      <c r="I1568" s="2">
        <v>12000</v>
      </c>
    </row>
    <row r="1569" spans="1:9" x14ac:dyDescent="0.3">
      <c r="A1569" s="5">
        <v>9371</v>
      </c>
      <c r="B1569" s="5" t="s">
        <v>2525</v>
      </c>
      <c r="C1569" s="5">
        <v>1</v>
      </c>
      <c r="D1569" s="5" t="s">
        <v>10</v>
      </c>
      <c r="E1569" t="s">
        <v>2526</v>
      </c>
      <c r="F1569" t="s">
        <v>2527</v>
      </c>
      <c r="G1569">
        <v>0</v>
      </c>
      <c r="H1569" t="s">
        <v>2529</v>
      </c>
      <c r="I1569" s="2">
        <v>7000</v>
      </c>
    </row>
    <row r="1570" spans="1:9" x14ac:dyDescent="0.3">
      <c r="A1570" s="5">
        <v>9371</v>
      </c>
      <c r="B1570" s="5" t="s">
        <v>2525</v>
      </c>
      <c r="C1570" s="5">
        <v>1</v>
      </c>
      <c r="D1570" s="5" t="s">
        <v>10</v>
      </c>
      <c r="E1570" t="s">
        <v>2526</v>
      </c>
      <c r="F1570" t="s">
        <v>2527</v>
      </c>
      <c r="G1570">
        <v>0</v>
      </c>
      <c r="H1570" t="s">
        <v>1001</v>
      </c>
      <c r="I1570" s="2">
        <v>13000</v>
      </c>
    </row>
    <row r="1571" spans="1:9" x14ac:dyDescent="0.3">
      <c r="A1571" s="5">
        <v>9370</v>
      </c>
      <c r="B1571" s="5" t="s">
        <v>2530</v>
      </c>
      <c r="C1571" s="5">
        <v>1</v>
      </c>
      <c r="D1571" s="5" t="s">
        <v>10</v>
      </c>
      <c r="E1571" t="s">
        <v>2531</v>
      </c>
      <c r="F1571" t="s">
        <v>2532</v>
      </c>
      <c r="G1571">
        <v>0</v>
      </c>
      <c r="H1571" t="s">
        <v>2533</v>
      </c>
      <c r="I1571" s="2">
        <v>10000</v>
      </c>
    </row>
    <row r="1572" spans="1:9" x14ac:dyDescent="0.3">
      <c r="A1572" s="5">
        <v>9370</v>
      </c>
      <c r="B1572" s="5" t="s">
        <v>2530</v>
      </c>
      <c r="C1572" s="5">
        <v>1</v>
      </c>
      <c r="D1572" s="5" t="s">
        <v>10</v>
      </c>
      <c r="E1572" t="s">
        <v>2531</v>
      </c>
      <c r="F1572" t="s">
        <v>2532</v>
      </c>
      <c r="G1572">
        <v>0</v>
      </c>
      <c r="H1572" t="s">
        <v>958</v>
      </c>
      <c r="I1572" s="2">
        <v>6000</v>
      </c>
    </row>
    <row r="1573" spans="1:9" x14ac:dyDescent="0.3">
      <c r="A1573" s="5">
        <v>9369</v>
      </c>
      <c r="B1573" s="5" t="s">
        <v>2534</v>
      </c>
      <c r="C1573" s="5">
        <v>1</v>
      </c>
      <c r="D1573" s="5" t="s">
        <v>10</v>
      </c>
      <c r="E1573" t="s">
        <v>2535</v>
      </c>
      <c r="F1573" t="s">
        <v>2536</v>
      </c>
      <c r="G1573">
        <v>0</v>
      </c>
      <c r="H1573" t="s">
        <v>2537</v>
      </c>
      <c r="I1573" s="2">
        <v>9000</v>
      </c>
    </row>
    <row r="1574" spans="1:9" x14ac:dyDescent="0.3">
      <c r="A1574" s="5">
        <v>9369</v>
      </c>
      <c r="B1574" s="5" t="s">
        <v>2534</v>
      </c>
      <c r="C1574" s="5">
        <v>1</v>
      </c>
      <c r="D1574" s="5" t="s">
        <v>10</v>
      </c>
      <c r="E1574" t="s">
        <v>2535</v>
      </c>
      <c r="F1574" t="s">
        <v>2536</v>
      </c>
      <c r="G1574">
        <v>0</v>
      </c>
      <c r="H1574" t="s">
        <v>2538</v>
      </c>
      <c r="I1574" s="2">
        <v>9000</v>
      </c>
    </row>
    <row r="1575" spans="1:9" x14ac:dyDescent="0.3">
      <c r="A1575" s="5">
        <v>9368</v>
      </c>
      <c r="B1575" s="5" t="s">
        <v>2539</v>
      </c>
      <c r="C1575" s="5">
        <v>2</v>
      </c>
      <c r="D1575" s="5" t="s">
        <v>261</v>
      </c>
      <c r="E1575" t="s">
        <v>2540</v>
      </c>
      <c r="F1575" t="s">
        <v>2541</v>
      </c>
      <c r="G1575">
        <v>0</v>
      </c>
      <c r="H1575" t="s">
        <v>264</v>
      </c>
      <c r="I1575" s="2">
        <v>7000</v>
      </c>
    </row>
    <row r="1576" spans="1:9" x14ac:dyDescent="0.3">
      <c r="A1576" s="5">
        <v>9368</v>
      </c>
      <c r="B1576" s="5" t="s">
        <v>2539</v>
      </c>
      <c r="C1576" s="5">
        <v>2</v>
      </c>
      <c r="D1576" s="5" t="s">
        <v>261</v>
      </c>
      <c r="E1576" t="s">
        <v>2540</v>
      </c>
      <c r="F1576" t="s">
        <v>2541</v>
      </c>
      <c r="G1576">
        <v>0</v>
      </c>
      <c r="H1576" t="s">
        <v>265</v>
      </c>
      <c r="I1576" s="2">
        <v>8000</v>
      </c>
    </row>
    <row r="1577" spans="1:9" x14ac:dyDescent="0.3">
      <c r="A1577" s="5">
        <v>9367</v>
      </c>
      <c r="B1577" s="5" t="s">
        <v>2542</v>
      </c>
      <c r="C1577" s="5">
        <v>5</v>
      </c>
      <c r="D1577" s="5" t="s">
        <v>63</v>
      </c>
      <c r="E1577" t="s">
        <v>2543</v>
      </c>
      <c r="F1577" t="s">
        <v>2544</v>
      </c>
      <c r="G1577">
        <v>0</v>
      </c>
      <c r="H1577" t="s">
        <v>66</v>
      </c>
      <c r="I1577" s="2">
        <v>10000</v>
      </c>
    </row>
    <row r="1578" spans="1:9" x14ac:dyDescent="0.3">
      <c r="A1578" s="5">
        <v>9367</v>
      </c>
      <c r="B1578" s="5" t="s">
        <v>2542</v>
      </c>
      <c r="C1578" s="5">
        <v>5</v>
      </c>
      <c r="D1578" s="5" t="s">
        <v>63</v>
      </c>
      <c r="E1578" t="s">
        <v>2543</v>
      </c>
      <c r="F1578" t="s">
        <v>2544</v>
      </c>
      <c r="G1578">
        <v>0</v>
      </c>
      <c r="H1578" t="s">
        <v>563</v>
      </c>
      <c r="I1578" s="2">
        <v>10000</v>
      </c>
    </row>
    <row r="1579" spans="1:9" x14ac:dyDescent="0.3">
      <c r="A1579" s="5">
        <v>9366</v>
      </c>
      <c r="B1579" s="5" t="s">
        <v>2545</v>
      </c>
      <c r="C1579" s="5">
        <v>5</v>
      </c>
      <c r="D1579" s="5" t="s">
        <v>63</v>
      </c>
      <c r="E1579" t="s">
        <v>2546</v>
      </c>
      <c r="F1579" t="s">
        <v>2547</v>
      </c>
      <c r="G1579">
        <v>0</v>
      </c>
      <c r="H1579" t="s">
        <v>66</v>
      </c>
      <c r="I1579" s="2">
        <v>15400</v>
      </c>
    </row>
    <row r="1580" spans="1:9" x14ac:dyDescent="0.3">
      <c r="A1580" s="5">
        <v>9366</v>
      </c>
      <c r="B1580" s="5" t="s">
        <v>2545</v>
      </c>
      <c r="C1580" s="5">
        <v>5</v>
      </c>
      <c r="D1580" s="5" t="s">
        <v>63</v>
      </c>
      <c r="E1580" t="s">
        <v>2546</v>
      </c>
      <c r="F1580" t="s">
        <v>2547</v>
      </c>
      <c r="G1580">
        <v>0</v>
      </c>
      <c r="H1580" t="s">
        <v>563</v>
      </c>
      <c r="I1580" s="2">
        <v>11000</v>
      </c>
    </row>
    <row r="1581" spans="1:9" x14ac:dyDescent="0.3">
      <c r="A1581" s="5">
        <v>9365</v>
      </c>
      <c r="B1581" s="5" t="s">
        <v>2548</v>
      </c>
      <c r="C1581" s="5">
        <v>7</v>
      </c>
      <c r="D1581" s="5" t="s">
        <v>360</v>
      </c>
      <c r="E1581" t="s">
        <v>1667</v>
      </c>
      <c r="F1581" t="s">
        <v>2549</v>
      </c>
      <c r="G1581">
        <v>0</v>
      </c>
      <c r="H1581" t="s">
        <v>2550</v>
      </c>
      <c r="I1581" s="2">
        <v>8000</v>
      </c>
    </row>
    <row r="1582" spans="1:9" x14ac:dyDescent="0.3">
      <c r="A1582" s="5">
        <v>9365</v>
      </c>
      <c r="B1582" s="5" t="s">
        <v>2548</v>
      </c>
      <c r="C1582" s="5">
        <v>7</v>
      </c>
      <c r="D1582" s="5" t="s">
        <v>360</v>
      </c>
      <c r="E1582" t="s">
        <v>1667</v>
      </c>
      <c r="F1582" t="s">
        <v>2549</v>
      </c>
      <c r="G1582">
        <v>0</v>
      </c>
      <c r="H1582" t="s">
        <v>2551</v>
      </c>
      <c r="I1582" s="2">
        <v>2000</v>
      </c>
    </row>
    <row r="1583" spans="1:9" x14ac:dyDescent="0.3">
      <c r="A1583" s="5">
        <v>9364</v>
      </c>
      <c r="B1583" s="5" t="s">
        <v>2552</v>
      </c>
      <c r="C1583" s="5">
        <v>5</v>
      </c>
      <c r="D1583" s="5" t="s">
        <v>63</v>
      </c>
      <c r="E1583" t="s">
        <v>2553</v>
      </c>
      <c r="F1583" t="s">
        <v>2554</v>
      </c>
      <c r="G1583">
        <v>0</v>
      </c>
      <c r="H1583" t="s">
        <v>88</v>
      </c>
      <c r="I1583" s="2">
        <v>30000</v>
      </c>
    </row>
    <row r="1584" spans="1:9" x14ac:dyDescent="0.3">
      <c r="A1584" s="5">
        <v>9364</v>
      </c>
      <c r="B1584" s="5" t="s">
        <v>2552</v>
      </c>
      <c r="C1584" s="5">
        <v>5</v>
      </c>
      <c r="D1584" s="5" t="s">
        <v>63</v>
      </c>
      <c r="E1584" t="s">
        <v>2553</v>
      </c>
      <c r="F1584" t="s">
        <v>2554</v>
      </c>
      <c r="G1584">
        <v>0</v>
      </c>
      <c r="H1584" t="s">
        <v>67</v>
      </c>
      <c r="I1584" s="2">
        <v>10000</v>
      </c>
    </row>
    <row r="1585" spans="1:9" x14ac:dyDescent="0.3">
      <c r="A1585" s="5">
        <v>9363</v>
      </c>
      <c r="B1585" s="5" t="s">
        <v>2555</v>
      </c>
      <c r="C1585" s="5">
        <v>1</v>
      </c>
      <c r="D1585" s="5" t="s">
        <v>10</v>
      </c>
      <c r="E1585" t="s">
        <v>2556</v>
      </c>
      <c r="F1585" t="s">
        <v>2557</v>
      </c>
      <c r="G1585">
        <v>0</v>
      </c>
      <c r="H1585" t="s">
        <v>2558</v>
      </c>
      <c r="I1585" s="2">
        <v>6000</v>
      </c>
    </row>
    <row r="1586" spans="1:9" x14ac:dyDescent="0.3">
      <c r="A1586" s="5">
        <v>9363</v>
      </c>
      <c r="B1586" s="5" t="s">
        <v>2555</v>
      </c>
      <c r="C1586" s="5">
        <v>1</v>
      </c>
      <c r="D1586" s="5" t="s">
        <v>10</v>
      </c>
      <c r="E1586" t="s">
        <v>2556</v>
      </c>
      <c r="F1586" t="s">
        <v>2557</v>
      </c>
      <c r="G1586">
        <v>0</v>
      </c>
      <c r="H1586" t="s">
        <v>374</v>
      </c>
      <c r="I1586" s="2">
        <v>2000</v>
      </c>
    </row>
    <row r="1587" spans="1:9" x14ac:dyDescent="0.3">
      <c r="A1587" s="5">
        <v>9362</v>
      </c>
      <c r="B1587" s="5" t="s">
        <v>2559</v>
      </c>
      <c r="C1587" s="5">
        <v>5</v>
      </c>
      <c r="D1587" s="5" t="s">
        <v>63</v>
      </c>
      <c r="E1587" t="s">
        <v>2560</v>
      </c>
      <c r="G1587">
        <v>0</v>
      </c>
      <c r="H1587" t="s">
        <v>2561</v>
      </c>
      <c r="I1587" s="2">
        <v>50000</v>
      </c>
    </row>
    <row r="1588" spans="1:9" x14ac:dyDescent="0.3">
      <c r="A1588" s="5">
        <v>9361</v>
      </c>
      <c r="B1588" s="5" t="s">
        <v>2562</v>
      </c>
      <c r="C1588" s="5">
        <v>1</v>
      </c>
      <c r="D1588" s="5" t="s">
        <v>10</v>
      </c>
      <c r="E1588" t="s">
        <v>2563</v>
      </c>
      <c r="F1588" t="s">
        <v>2564</v>
      </c>
      <c r="G1588">
        <v>0</v>
      </c>
      <c r="H1588" t="s">
        <v>217</v>
      </c>
      <c r="I1588" s="2">
        <v>12000</v>
      </c>
    </row>
    <row r="1589" spans="1:9" x14ac:dyDescent="0.3">
      <c r="A1589" s="5">
        <v>9360</v>
      </c>
      <c r="B1589" s="5" t="s">
        <v>2565</v>
      </c>
      <c r="C1589" s="5">
        <v>1</v>
      </c>
      <c r="D1589" s="5" t="s">
        <v>10</v>
      </c>
      <c r="E1589" t="s">
        <v>2566</v>
      </c>
      <c r="F1589" t="s">
        <v>2567</v>
      </c>
      <c r="G1589">
        <v>0</v>
      </c>
      <c r="H1589" t="s">
        <v>134</v>
      </c>
      <c r="I1589" s="2">
        <v>8000</v>
      </c>
    </row>
    <row r="1590" spans="1:9" x14ac:dyDescent="0.3">
      <c r="A1590" s="5">
        <v>9360</v>
      </c>
      <c r="B1590" s="5" t="s">
        <v>2565</v>
      </c>
      <c r="C1590" s="5">
        <v>1</v>
      </c>
      <c r="D1590" s="5" t="s">
        <v>10</v>
      </c>
      <c r="E1590" t="s">
        <v>2566</v>
      </c>
      <c r="F1590" t="s">
        <v>2567</v>
      </c>
      <c r="G1590">
        <v>0</v>
      </c>
      <c r="H1590" t="s">
        <v>1503</v>
      </c>
      <c r="I1590" s="2">
        <v>12000</v>
      </c>
    </row>
    <row r="1591" spans="1:9" x14ac:dyDescent="0.3">
      <c r="A1591" s="5">
        <v>9360</v>
      </c>
      <c r="B1591" s="5" t="s">
        <v>2565</v>
      </c>
      <c r="C1591" s="5">
        <v>1</v>
      </c>
      <c r="D1591" s="5" t="s">
        <v>10</v>
      </c>
      <c r="E1591" t="s">
        <v>2566</v>
      </c>
      <c r="F1591" t="s">
        <v>2567</v>
      </c>
      <c r="G1591">
        <v>0</v>
      </c>
      <c r="H1591" t="s">
        <v>2568</v>
      </c>
      <c r="I1591" s="2">
        <v>12000</v>
      </c>
    </row>
    <row r="1592" spans="1:9" x14ac:dyDescent="0.3">
      <c r="A1592" s="5">
        <v>9359</v>
      </c>
      <c r="B1592" s="5" t="s">
        <v>2569</v>
      </c>
      <c r="C1592" s="5">
        <v>4</v>
      </c>
      <c r="D1592" s="5" t="s">
        <v>39</v>
      </c>
      <c r="E1592" t="s">
        <v>2570</v>
      </c>
      <c r="F1592" t="s">
        <v>2571</v>
      </c>
      <c r="G1592">
        <v>0</v>
      </c>
      <c r="H1592" t="s">
        <v>2572</v>
      </c>
      <c r="I1592" s="2">
        <v>8900</v>
      </c>
    </row>
    <row r="1593" spans="1:9" x14ac:dyDescent="0.3">
      <c r="A1593" s="5">
        <v>9359</v>
      </c>
      <c r="B1593" s="5" t="s">
        <v>2569</v>
      </c>
      <c r="C1593" s="5">
        <v>4</v>
      </c>
      <c r="D1593" s="5" t="s">
        <v>39</v>
      </c>
      <c r="E1593" t="s">
        <v>2570</v>
      </c>
      <c r="F1593" t="s">
        <v>2571</v>
      </c>
      <c r="G1593">
        <v>0</v>
      </c>
      <c r="H1593" t="s">
        <v>1156</v>
      </c>
      <c r="I1593" s="2">
        <v>8900</v>
      </c>
    </row>
    <row r="1594" spans="1:9" x14ac:dyDescent="0.3">
      <c r="A1594" s="5">
        <v>9359</v>
      </c>
      <c r="B1594" s="5" t="s">
        <v>2569</v>
      </c>
      <c r="C1594" s="5">
        <v>4</v>
      </c>
      <c r="D1594" s="5" t="s">
        <v>39</v>
      </c>
      <c r="E1594" t="s">
        <v>2570</v>
      </c>
      <c r="F1594" t="s">
        <v>2571</v>
      </c>
      <c r="G1594">
        <v>0</v>
      </c>
      <c r="H1594" t="s">
        <v>1155</v>
      </c>
      <c r="I1594" s="2">
        <v>8900</v>
      </c>
    </row>
    <row r="1595" spans="1:9" x14ac:dyDescent="0.3">
      <c r="A1595" s="5">
        <v>9358</v>
      </c>
      <c r="B1595" s="5" t="s">
        <v>2573</v>
      </c>
      <c r="C1595" s="5">
        <v>4</v>
      </c>
      <c r="D1595" s="5" t="s">
        <v>39</v>
      </c>
      <c r="E1595" t="s">
        <v>2574</v>
      </c>
      <c r="F1595" t="s">
        <v>2575</v>
      </c>
      <c r="G1595">
        <v>0</v>
      </c>
      <c r="H1595" t="s">
        <v>37</v>
      </c>
      <c r="I1595" s="2">
        <v>5000</v>
      </c>
    </row>
    <row r="1596" spans="1:9" x14ac:dyDescent="0.3">
      <c r="A1596" s="5">
        <v>9358</v>
      </c>
      <c r="B1596" s="5" t="s">
        <v>2573</v>
      </c>
      <c r="C1596" s="5">
        <v>4</v>
      </c>
      <c r="D1596" s="5" t="s">
        <v>39</v>
      </c>
      <c r="E1596" t="s">
        <v>2574</v>
      </c>
      <c r="F1596" t="s">
        <v>2575</v>
      </c>
      <c r="G1596">
        <v>0</v>
      </c>
      <c r="H1596" t="s">
        <v>21</v>
      </c>
      <c r="I1596" s="2">
        <v>5000</v>
      </c>
    </row>
    <row r="1597" spans="1:9" x14ac:dyDescent="0.3">
      <c r="A1597" s="5">
        <v>9358</v>
      </c>
      <c r="B1597" s="5" t="s">
        <v>2573</v>
      </c>
      <c r="C1597" s="5">
        <v>4</v>
      </c>
      <c r="D1597" s="5" t="s">
        <v>39</v>
      </c>
      <c r="E1597" t="s">
        <v>2574</v>
      </c>
      <c r="F1597" t="s">
        <v>2575</v>
      </c>
      <c r="G1597">
        <v>0</v>
      </c>
      <c r="H1597" t="s">
        <v>170</v>
      </c>
      <c r="I1597" s="2">
        <v>2000</v>
      </c>
    </row>
    <row r="1598" spans="1:9" x14ac:dyDescent="0.3">
      <c r="A1598" s="5">
        <v>9357</v>
      </c>
      <c r="B1598" s="5" t="s">
        <v>2576</v>
      </c>
      <c r="C1598" s="5">
        <v>1</v>
      </c>
      <c r="D1598" s="5" t="s">
        <v>10</v>
      </c>
      <c r="E1598" t="s">
        <v>2577</v>
      </c>
      <c r="F1598" t="s">
        <v>2578</v>
      </c>
      <c r="G1598">
        <v>0</v>
      </c>
      <c r="H1598" t="s">
        <v>133</v>
      </c>
      <c r="I1598" s="2">
        <v>6000</v>
      </c>
    </row>
    <row r="1599" spans="1:9" x14ac:dyDescent="0.3">
      <c r="A1599" s="5">
        <v>9357</v>
      </c>
      <c r="B1599" s="5" t="s">
        <v>2576</v>
      </c>
      <c r="C1599" s="5">
        <v>1</v>
      </c>
      <c r="D1599" s="5" t="s">
        <v>10</v>
      </c>
      <c r="E1599" t="s">
        <v>2577</v>
      </c>
      <c r="F1599" t="s">
        <v>2578</v>
      </c>
      <c r="G1599">
        <v>0</v>
      </c>
      <c r="H1599" t="s">
        <v>139</v>
      </c>
      <c r="I1599" s="2">
        <v>6000</v>
      </c>
    </row>
    <row r="1600" spans="1:9" x14ac:dyDescent="0.3">
      <c r="A1600" s="5">
        <v>9357</v>
      </c>
      <c r="B1600" s="5" t="s">
        <v>2576</v>
      </c>
      <c r="C1600" s="5">
        <v>1</v>
      </c>
      <c r="D1600" s="5" t="s">
        <v>10</v>
      </c>
      <c r="E1600" t="s">
        <v>2577</v>
      </c>
      <c r="F1600" t="s">
        <v>2578</v>
      </c>
      <c r="G1600">
        <v>0</v>
      </c>
      <c r="H1600" t="s">
        <v>149</v>
      </c>
      <c r="I1600" s="2">
        <v>6000</v>
      </c>
    </row>
    <row r="1601" spans="1:9" x14ac:dyDescent="0.3">
      <c r="A1601" s="5">
        <v>9356</v>
      </c>
      <c r="B1601" s="5" t="s">
        <v>2579</v>
      </c>
      <c r="C1601" s="5">
        <v>1</v>
      </c>
      <c r="D1601" s="5" t="s">
        <v>10</v>
      </c>
      <c r="E1601" t="s">
        <v>2580</v>
      </c>
      <c r="F1601" t="s">
        <v>2581</v>
      </c>
      <c r="G1601">
        <v>0</v>
      </c>
      <c r="H1601" t="s">
        <v>2582</v>
      </c>
      <c r="I1601" s="2">
        <v>9900</v>
      </c>
    </row>
    <row r="1602" spans="1:9" x14ac:dyDescent="0.3">
      <c r="A1602" s="5">
        <v>9356</v>
      </c>
      <c r="B1602" s="5" t="s">
        <v>2579</v>
      </c>
      <c r="C1602" s="5">
        <v>1</v>
      </c>
      <c r="D1602" s="5" t="s">
        <v>10</v>
      </c>
      <c r="E1602" t="s">
        <v>2580</v>
      </c>
      <c r="F1602" t="s">
        <v>2581</v>
      </c>
      <c r="G1602">
        <v>0</v>
      </c>
      <c r="H1602" t="s">
        <v>2583</v>
      </c>
      <c r="I1602" s="2">
        <v>10000</v>
      </c>
    </row>
    <row r="1603" spans="1:9" x14ac:dyDescent="0.3">
      <c r="A1603" s="5">
        <v>9356</v>
      </c>
      <c r="B1603" s="5" t="s">
        <v>2579</v>
      </c>
      <c r="C1603" s="5">
        <v>1</v>
      </c>
      <c r="D1603" s="5" t="s">
        <v>10</v>
      </c>
      <c r="E1603" t="s">
        <v>2580</v>
      </c>
      <c r="F1603" t="s">
        <v>2581</v>
      </c>
      <c r="G1603">
        <v>0</v>
      </c>
      <c r="H1603" t="s">
        <v>2584</v>
      </c>
      <c r="I1603" s="2">
        <v>12000</v>
      </c>
    </row>
    <row r="1604" spans="1:9" x14ac:dyDescent="0.3">
      <c r="A1604" s="5">
        <v>9355</v>
      </c>
      <c r="B1604" s="5" t="s">
        <v>992</v>
      </c>
      <c r="C1604" s="5">
        <v>1</v>
      </c>
      <c r="D1604" s="5" t="s">
        <v>10</v>
      </c>
      <c r="E1604" t="s">
        <v>2585</v>
      </c>
      <c r="F1604" t="s">
        <v>2586</v>
      </c>
      <c r="G1604">
        <v>0</v>
      </c>
      <c r="H1604" t="s">
        <v>2587</v>
      </c>
      <c r="I1604" s="2">
        <v>5000</v>
      </c>
    </row>
    <row r="1605" spans="1:9" x14ac:dyDescent="0.3">
      <c r="A1605" s="5">
        <v>9355</v>
      </c>
      <c r="B1605" s="5" t="s">
        <v>992</v>
      </c>
      <c r="C1605" s="5">
        <v>1</v>
      </c>
      <c r="D1605" s="5" t="s">
        <v>10</v>
      </c>
      <c r="E1605" t="s">
        <v>2585</v>
      </c>
      <c r="F1605" t="s">
        <v>2586</v>
      </c>
      <c r="G1605">
        <v>0</v>
      </c>
      <c r="H1605" t="s">
        <v>2588</v>
      </c>
      <c r="I1605" s="2">
        <v>7000</v>
      </c>
    </row>
    <row r="1606" spans="1:9" x14ac:dyDescent="0.3">
      <c r="A1606" s="5">
        <v>9355</v>
      </c>
      <c r="B1606" s="5" t="s">
        <v>992</v>
      </c>
      <c r="C1606" s="5">
        <v>1</v>
      </c>
      <c r="D1606" s="5" t="s">
        <v>10</v>
      </c>
      <c r="E1606" t="s">
        <v>2585</v>
      </c>
      <c r="F1606" t="s">
        <v>2586</v>
      </c>
      <c r="G1606">
        <v>0</v>
      </c>
      <c r="H1606" t="s">
        <v>134</v>
      </c>
      <c r="I1606" s="2">
        <v>7000</v>
      </c>
    </row>
    <row r="1607" spans="1:9" x14ac:dyDescent="0.3">
      <c r="A1607" s="5">
        <v>9354</v>
      </c>
      <c r="B1607" s="5" t="s">
        <v>2589</v>
      </c>
      <c r="C1607" s="5">
        <v>1</v>
      </c>
      <c r="D1607" s="5" t="s">
        <v>10</v>
      </c>
      <c r="E1607" t="s">
        <v>2590</v>
      </c>
      <c r="F1607" t="s">
        <v>2591</v>
      </c>
      <c r="G1607">
        <v>0</v>
      </c>
      <c r="H1607" t="s">
        <v>2592</v>
      </c>
      <c r="I1607" s="2">
        <v>8000</v>
      </c>
    </row>
    <row r="1608" spans="1:9" x14ac:dyDescent="0.3">
      <c r="A1608" s="5">
        <v>9354</v>
      </c>
      <c r="B1608" s="5" t="s">
        <v>2589</v>
      </c>
      <c r="C1608" s="5">
        <v>1</v>
      </c>
      <c r="D1608" s="5" t="s">
        <v>10</v>
      </c>
      <c r="E1608" t="s">
        <v>2590</v>
      </c>
      <c r="F1608" t="s">
        <v>2591</v>
      </c>
      <c r="G1608">
        <v>0</v>
      </c>
      <c r="H1608" t="s">
        <v>2593</v>
      </c>
      <c r="I1608" s="2">
        <v>8000</v>
      </c>
    </row>
    <row r="1609" spans="1:9" x14ac:dyDescent="0.3">
      <c r="A1609" s="5">
        <v>9354</v>
      </c>
      <c r="B1609" s="5" t="s">
        <v>2589</v>
      </c>
      <c r="C1609" s="5">
        <v>1</v>
      </c>
      <c r="D1609" s="5" t="s">
        <v>10</v>
      </c>
      <c r="E1609" t="s">
        <v>2590</v>
      </c>
      <c r="F1609" t="s">
        <v>2591</v>
      </c>
      <c r="G1609">
        <v>0</v>
      </c>
      <c r="H1609" t="s">
        <v>970</v>
      </c>
      <c r="I1609" s="2">
        <v>7000</v>
      </c>
    </row>
    <row r="1610" spans="1:9" x14ac:dyDescent="0.3">
      <c r="A1610" s="5">
        <v>9353</v>
      </c>
      <c r="B1610" s="5" t="s">
        <v>2594</v>
      </c>
      <c r="C1610" s="5">
        <v>5</v>
      </c>
      <c r="D1610" s="5" t="s">
        <v>63</v>
      </c>
      <c r="E1610" t="s">
        <v>2595</v>
      </c>
      <c r="F1610" t="s">
        <v>2596</v>
      </c>
      <c r="G1610">
        <v>0</v>
      </c>
      <c r="H1610" t="s">
        <v>673</v>
      </c>
      <c r="I1610" s="2">
        <v>10000</v>
      </c>
    </row>
    <row r="1611" spans="1:9" x14ac:dyDescent="0.3">
      <c r="A1611" s="5">
        <v>9353</v>
      </c>
      <c r="B1611" s="5" t="s">
        <v>2594</v>
      </c>
      <c r="C1611" s="5">
        <v>5</v>
      </c>
      <c r="D1611" s="5" t="s">
        <v>63</v>
      </c>
      <c r="E1611" t="s">
        <v>2595</v>
      </c>
      <c r="F1611" t="s">
        <v>2596</v>
      </c>
      <c r="G1611">
        <v>0</v>
      </c>
      <c r="H1611" t="s">
        <v>2597</v>
      </c>
      <c r="I1611" s="2">
        <v>20000</v>
      </c>
    </row>
    <row r="1612" spans="1:9" x14ac:dyDescent="0.3">
      <c r="A1612" s="5">
        <v>9353</v>
      </c>
      <c r="B1612" s="5" t="s">
        <v>2594</v>
      </c>
      <c r="C1612" s="5">
        <v>5</v>
      </c>
      <c r="D1612" s="5" t="s">
        <v>63</v>
      </c>
      <c r="E1612" t="s">
        <v>2595</v>
      </c>
      <c r="F1612" t="s">
        <v>2596</v>
      </c>
      <c r="G1612">
        <v>0</v>
      </c>
      <c r="H1612" t="s">
        <v>2598</v>
      </c>
      <c r="I1612" s="2">
        <v>35000</v>
      </c>
    </row>
    <row r="1613" spans="1:9" x14ac:dyDescent="0.3">
      <c r="A1613" s="5">
        <v>9352</v>
      </c>
      <c r="B1613" s="5" t="s">
        <v>2599</v>
      </c>
      <c r="C1613" s="5">
        <v>2</v>
      </c>
      <c r="D1613" s="5" t="s">
        <v>261</v>
      </c>
      <c r="E1613" t="s">
        <v>2600</v>
      </c>
      <c r="F1613" t="s">
        <v>2601</v>
      </c>
      <c r="G1613">
        <v>0</v>
      </c>
      <c r="H1613" t="s">
        <v>264</v>
      </c>
      <c r="I1613" s="2">
        <v>6000</v>
      </c>
    </row>
    <row r="1614" spans="1:9" x14ac:dyDescent="0.3">
      <c r="A1614" s="5">
        <v>9352</v>
      </c>
      <c r="B1614" s="5" t="s">
        <v>2599</v>
      </c>
      <c r="C1614" s="5">
        <v>2</v>
      </c>
      <c r="D1614" s="5" t="s">
        <v>261</v>
      </c>
      <c r="E1614" t="s">
        <v>2600</v>
      </c>
      <c r="F1614" t="s">
        <v>2601</v>
      </c>
      <c r="G1614">
        <v>0</v>
      </c>
      <c r="H1614" t="s">
        <v>383</v>
      </c>
      <c r="I1614" s="2">
        <v>7000</v>
      </c>
    </row>
    <row r="1615" spans="1:9" x14ac:dyDescent="0.3">
      <c r="A1615" s="5">
        <v>9352</v>
      </c>
      <c r="B1615" s="5" t="s">
        <v>2599</v>
      </c>
      <c r="C1615" s="5">
        <v>2</v>
      </c>
      <c r="D1615" s="5" t="s">
        <v>261</v>
      </c>
      <c r="E1615" t="s">
        <v>2600</v>
      </c>
      <c r="F1615" t="s">
        <v>2601</v>
      </c>
      <c r="G1615">
        <v>0</v>
      </c>
      <c r="H1615" t="s">
        <v>2602</v>
      </c>
      <c r="I1615" s="2">
        <v>7000</v>
      </c>
    </row>
    <row r="1616" spans="1:9" x14ac:dyDescent="0.3">
      <c r="A1616" s="5">
        <v>9351</v>
      </c>
      <c r="B1616" s="5" t="s">
        <v>2603</v>
      </c>
      <c r="C1616" s="5">
        <v>4</v>
      </c>
      <c r="D1616" s="5" t="s">
        <v>39</v>
      </c>
      <c r="E1616" t="s">
        <v>2604</v>
      </c>
      <c r="F1616" t="s">
        <v>2605</v>
      </c>
      <c r="G1616">
        <v>0</v>
      </c>
      <c r="H1616" t="s">
        <v>2606</v>
      </c>
      <c r="I1616" s="2">
        <v>6000</v>
      </c>
    </row>
    <row r="1617" spans="1:9" x14ac:dyDescent="0.3">
      <c r="A1617" s="5">
        <v>9351</v>
      </c>
      <c r="B1617" s="5" t="s">
        <v>2603</v>
      </c>
      <c r="C1617" s="5">
        <v>4</v>
      </c>
      <c r="D1617" s="5" t="s">
        <v>39</v>
      </c>
      <c r="E1617" t="s">
        <v>2604</v>
      </c>
      <c r="F1617" t="s">
        <v>2605</v>
      </c>
      <c r="G1617">
        <v>0</v>
      </c>
      <c r="H1617" t="s">
        <v>2607</v>
      </c>
      <c r="I1617" s="2">
        <v>6000</v>
      </c>
    </row>
    <row r="1618" spans="1:9" x14ac:dyDescent="0.3">
      <c r="A1618" s="5">
        <v>9351</v>
      </c>
      <c r="B1618" s="5" t="s">
        <v>2603</v>
      </c>
      <c r="C1618" s="5">
        <v>4</v>
      </c>
      <c r="D1618" s="5" t="s">
        <v>39</v>
      </c>
      <c r="E1618" t="s">
        <v>2604</v>
      </c>
      <c r="F1618" t="s">
        <v>2605</v>
      </c>
      <c r="G1618">
        <v>0</v>
      </c>
      <c r="H1618" t="s">
        <v>2608</v>
      </c>
      <c r="I1618" s="2">
        <v>6000</v>
      </c>
    </row>
    <row r="1619" spans="1:9" x14ac:dyDescent="0.3">
      <c r="A1619" s="5">
        <v>9350</v>
      </c>
      <c r="B1619" s="5" t="s">
        <v>2609</v>
      </c>
      <c r="C1619" s="5">
        <v>4</v>
      </c>
      <c r="D1619" s="5" t="s">
        <v>39</v>
      </c>
      <c r="E1619" t="s">
        <v>2610</v>
      </c>
      <c r="F1619" t="s">
        <v>2611</v>
      </c>
      <c r="G1619">
        <v>0</v>
      </c>
      <c r="H1619" t="s">
        <v>2612</v>
      </c>
      <c r="I1619" s="2">
        <v>6000</v>
      </c>
    </row>
    <row r="1620" spans="1:9" x14ac:dyDescent="0.3">
      <c r="A1620" s="5">
        <v>9350</v>
      </c>
      <c r="B1620" s="5" t="s">
        <v>2609</v>
      </c>
      <c r="C1620" s="5">
        <v>4</v>
      </c>
      <c r="D1620" s="5" t="s">
        <v>39</v>
      </c>
      <c r="E1620" t="s">
        <v>2610</v>
      </c>
      <c r="F1620" t="s">
        <v>2611</v>
      </c>
      <c r="G1620">
        <v>0</v>
      </c>
      <c r="H1620" t="s">
        <v>241</v>
      </c>
      <c r="I1620" s="2">
        <v>6000</v>
      </c>
    </row>
    <row r="1621" spans="1:9" x14ac:dyDescent="0.3">
      <c r="A1621" s="5">
        <v>9350</v>
      </c>
      <c r="B1621" s="5" t="s">
        <v>2609</v>
      </c>
      <c r="C1621" s="5">
        <v>4</v>
      </c>
      <c r="D1621" s="5" t="s">
        <v>39</v>
      </c>
      <c r="E1621" t="s">
        <v>2610</v>
      </c>
      <c r="F1621" t="s">
        <v>2611</v>
      </c>
      <c r="G1621">
        <v>0</v>
      </c>
      <c r="H1621" t="s">
        <v>2613</v>
      </c>
      <c r="I1621" s="2">
        <v>5000</v>
      </c>
    </row>
    <row r="1622" spans="1:9" x14ac:dyDescent="0.3">
      <c r="A1622" s="5">
        <v>9349</v>
      </c>
      <c r="B1622" s="5" t="s">
        <v>2614</v>
      </c>
      <c r="C1622" s="5">
        <v>1</v>
      </c>
      <c r="D1622" s="5" t="s">
        <v>10</v>
      </c>
      <c r="E1622" t="s">
        <v>2615</v>
      </c>
      <c r="F1622" t="s">
        <v>2616</v>
      </c>
      <c r="G1622">
        <v>0</v>
      </c>
      <c r="H1622" t="s">
        <v>2617</v>
      </c>
      <c r="I1622" s="2">
        <v>8000</v>
      </c>
    </row>
    <row r="1623" spans="1:9" x14ac:dyDescent="0.3">
      <c r="A1623" s="5">
        <v>9349</v>
      </c>
      <c r="B1623" s="5" t="s">
        <v>2614</v>
      </c>
      <c r="C1623" s="5">
        <v>1</v>
      </c>
      <c r="D1623" s="5" t="s">
        <v>10</v>
      </c>
      <c r="E1623" t="s">
        <v>2615</v>
      </c>
      <c r="F1623" t="s">
        <v>2616</v>
      </c>
      <c r="G1623">
        <v>0</v>
      </c>
      <c r="H1623" t="s">
        <v>2618</v>
      </c>
      <c r="I1623" s="2">
        <v>8000</v>
      </c>
    </row>
    <row r="1624" spans="1:9" x14ac:dyDescent="0.3">
      <c r="A1624" s="5">
        <v>9349</v>
      </c>
      <c r="B1624" s="5" t="s">
        <v>2614</v>
      </c>
      <c r="C1624" s="5">
        <v>1</v>
      </c>
      <c r="D1624" s="5" t="s">
        <v>10</v>
      </c>
      <c r="E1624" t="s">
        <v>2615</v>
      </c>
      <c r="F1624" t="s">
        <v>2616</v>
      </c>
      <c r="G1624">
        <v>0</v>
      </c>
      <c r="H1624" t="s">
        <v>145</v>
      </c>
      <c r="I1624" s="2">
        <v>7000</v>
      </c>
    </row>
    <row r="1625" spans="1:9" x14ac:dyDescent="0.3">
      <c r="A1625" s="5">
        <v>9348</v>
      </c>
      <c r="B1625" s="5" t="s">
        <v>2619</v>
      </c>
      <c r="C1625" s="5">
        <v>1</v>
      </c>
      <c r="D1625" s="5" t="s">
        <v>10</v>
      </c>
      <c r="E1625" t="s">
        <v>2620</v>
      </c>
      <c r="F1625" t="s">
        <v>2621</v>
      </c>
      <c r="G1625">
        <v>0</v>
      </c>
      <c r="H1625" t="s">
        <v>71</v>
      </c>
      <c r="I1625" s="2">
        <v>7000</v>
      </c>
    </row>
    <row r="1626" spans="1:9" x14ac:dyDescent="0.3">
      <c r="A1626" s="5">
        <v>9347</v>
      </c>
      <c r="B1626" s="5" t="s">
        <v>2622</v>
      </c>
      <c r="C1626" s="5">
        <v>1</v>
      </c>
      <c r="D1626" s="5" t="s">
        <v>10</v>
      </c>
      <c r="E1626" t="s">
        <v>2623</v>
      </c>
      <c r="F1626" t="s">
        <v>2624</v>
      </c>
      <c r="G1626">
        <v>0</v>
      </c>
      <c r="H1626" t="s">
        <v>2625</v>
      </c>
      <c r="I1626" s="2">
        <v>6000</v>
      </c>
    </row>
    <row r="1627" spans="1:9" x14ac:dyDescent="0.3">
      <c r="A1627" s="5">
        <v>9347</v>
      </c>
      <c r="B1627" s="5" t="s">
        <v>2622</v>
      </c>
      <c r="C1627" s="5">
        <v>1</v>
      </c>
      <c r="D1627" s="5" t="s">
        <v>10</v>
      </c>
      <c r="E1627" t="s">
        <v>2623</v>
      </c>
      <c r="F1627" t="s">
        <v>2624</v>
      </c>
      <c r="G1627">
        <v>0</v>
      </c>
      <c r="H1627" t="s">
        <v>2626</v>
      </c>
      <c r="I1627" s="2">
        <v>4000</v>
      </c>
    </row>
    <row r="1628" spans="1:9" x14ac:dyDescent="0.3">
      <c r="A1628" s="5">
        <v>9347</v>
      </c>
      <c r="B1628" s="5" t="s">
        <v>2622</v>
      </c>
      <c r="C1628" s="5">
        <v>1</v>
      </c>
      <c r="D1628" s="5" t="s">
        <v>10</v>
      </c>
      <c r="E1628" t="s">
        <v>2623</v>
      </c>
      <c r="F1628" t="s">
        <v>2624</v>
      </c>
      <c r="G1628">
        <v>0</v>
      </c>
      <c r="H1628" t="s">
        <v>2627</v>
      </c>
      <c r="I1628" s="2">
        <v>5000</v>
      </c>
    </row>
    <row r="1629" spans="1:9" x14ac:dyDescent="0.3">
      <c r="A1629" s="5">
        <v>9346</v>
      </c>
      <c r="B1629" s="5" t="s">
        <v>1096</v>
      </c>
      <c r="C1629" s="5">
        <v>1</v>
      </c>
      <c r="D1629" s="5" t="s">
        <v>10</v>
      </c>
      <c r="E1629" t="s">
        <v>2628</v>
      </c>
      <c r="F1629" t="s">
        <v>1098</v>
      </c>
      <c r="G1629">
        <v>0</v>
      </c>
      <c r="H1629" t="s">
        <v>352</v>
      </c>
      <c r="I1629" s="2">
        <v>13000</v>
      </c>
    </row>
    <row r="1630" spans="1:9" x14ac:dyDescent="0.3">
      <c r="A1630" s="5">
        <v>9346</v>
      </c>
      <c r="B1630" s="5" t="s">
        <v>1096</v>
      </c>
      <c r="C1630" s="5">
        <v>1</v>
      </c>
      <c r="D1630" s="5" t="s">
        <v>10</v>
      </c>
      <c r="E1630" t="s">
        <v>2628</v>
      </c>
      <c r="F1630" t="s">
        <v>1098</v>
      </c>
      <c r="G1630">
        <v>0</v>
      </c>
      <c r="H1630" t="s">
        <v>1099</v>
      </c>
      <c r="I1630" s="2">
        <v>13000</v>
      </c>
    </row>
    <row r="1631" spans="1:9" x14ac:dyDescent="0.3">
      <c r="A1631" s="5">
        <v>9346</v>
      </c>
      <c r="B1631" s="5" t="s">
        <v>1096</v>
      </c>
      <c r="C1631" s="5">
        <v>1</v>
      </c>
      <c r="D1631" s="5" t="s">
        <v>10</v>
      </c>
      <c r="E1631" t="s">
        <v>2628</v>
      </c>
      <c r="F1631" t="s">
        <v>1098</v>
      </c>
      <c r="G1631">
        <v>0</v>
      </c>
      <c r="H1631" t="s">
        <v>1100</v>
      </c>
      <c r="I1631" s="2">
        <v>18000</v>
      </c>
    </row>
    <row r="1632" spans="1:9" x14ac:dyDescent="0.3">
      <c r="A1632" s="5">
        <v>9345</v>
      </c>
      <c r="B1632" s="5" t="s">
        <v>2629</v>
      </c>
      <c r="C1632" s="5">
        <v>5</v>
      </c>
      <c r="D1632" s="5" t="s">
        <v>63</v>
      </c>
      <c r="E1632" t="s">
        <v>2630</v>
      </c>
      <c r="F1632" t="s">
        <v>2631</v>
      </c>
      <c r="G1632">
        <v>0</v>
      </c>
      <c r="H1632" t="s">
        <v>66</v>
      </c>
      <c r="I1632" s="2">
        <v>35000</v>
      </c>
    </row>
    <row r="1633" spans="1:9" x14ac:dyDescent="0.3">
      <c r="A1633" s="5">
        <v>9345</v>
      </c>
      <c r="B1633" s="5" t="s">
        <v>2629</v>
      </c>
      <c r="C1633" s="5">
        <v>5</v>
      </c>
      <c r="D1633" s="5" t="s">
        <v>63</v>
      </c>
      <c r="E1633" t="s">
        <v>2630</v>
      </c>
      <c r="F1633" t="s">
        <v>2631</v>
      </c>
      <c r="G1633">
        <v>0</v>
      </c>
      <c r="H1633" t="s">
        <v>88</v>
      </c>
      <c r="I1633" s="2">
        <v>25000</v>
      </c>
    </row>
    <row r="1634" spans="1:9" x14ac:dyDescent="0.3">
      <c r="A1634" s="5">
        <v>9345</v>
      </c>
      <c r="B1634" s="5" t="s">
        <v>2629</v>
      </c>
      <c r="C1634" s="5">
        <v>5</v>
      </c>
      <c r="D1634" s="5" t="s">
        <v>63</v>
      </c>
      <c r="E1634" t="s">
        <v>2630</v>
      </c>
      <c r="F1634" t="s">
        <v>2631</v>
      </c>
      <c r="G1634">
        <v>0</v>
      </c>
      <c r="H1634" t="s">
        <v>67</v>
      </c>
      <c r="I1634" s="2">
        <v>12000</v>
      </c>
    </row>
    <row r="1635" spans="1:9" x14ac:dyDescent="0.3">
      <c r="A1635" s="5">
        <v>9344</v>
      </c>
      <c r="B1635" s="5" t="s">
        <v>2632</v>
      </c>
      <c r="C1635" s="5">
        <v>1</v>
      </c>
      <c r="D1635" s="5" t="s">
        <v>10</v>
      </c>
      <c r="E1635" t="s">
        <v>2633</v>
      </c>
      <c r="F1635" t="s">
        <v>2634</v>
      </c>
      <c r="G1635">
        <v>0</v>
      </c>
      <c r="H1635" t="s">
        <v>2635</v>
      </c>
      <c r="I1635" s="2">
        <v>3000</v>
      </c>
    </row>
    <row r="1636" spans="1:9" x14ac:dyDescent="0.3">
      <c r="A1636" s="5">
        <v>9344</v>
      </c>
      <c r="B1636" s="5" t="s">
        <v>2632</v>
      </c>
      <c r="C1636" s="5">
        <v>1</v>
      </c>
      <c r="D1636" s="5" t="s">
        <v>10</v>
      </c>
      <c r="E1636" t="s">
        <v>2633</v>
      </c>
      <c r="F1636" t="s">
        <v>2634</v>
      </c>
      <c r="G1636">
        <v>0</v>
      </c>
      <c r="H1636" t="s">
        <v>593</v>
      </c>
      <c r="I1636" s="2">
        <v>2000</v>
      </c>
    </row>
    <row r="1637" spans="1:9" x14ac:dyDescent="0.3">
      <c r="A1637" s="5">
        <v>9344</v>
      </c>
      <c r="B1637" s="5" t="s">
        <v>2632</v>
      </c>
      <c r="C1637" s="5">
        <v>1</v>
      </c>
      <c r="D1637" s="5" t="s">
        <v>10</v>
      </c>
      <c r="E1637" t="s">
        <v>2633</v>
      </c>
      <c r="F1637" t="s">
        <v>2634</v>
      </c>
      <c r="G1637">
        <v>0</v>
      </c>
      <c r="H1637" t="s">
        <v>2636</v>
      </c>
      <c r="I1637" s="2">
        <v>2000</v>
      </c>
    </row>
    <row r="1638" spans="1:9" x14ac:dyDescent="0.3">
      <c r="A1638" s="5">
        <v>9344</v>
      </c>
      <c r="B1638" s="5" t="s">
        <v>2632</v>
      </c>
      <c r="C1638" s="5">
        <v>1</v>
      </c>
      <c r="D1638" s="5" t="s">
        <v>10</v>
      </c>
      <c r="E1638" t="s">
        <v>2633</v>
      </c>
      <c r="F1638" t="s">
        <v>2634</v>
      </c>
      <c r="G1638">
        <v>0</v>
      </c>
      <c r="H1638" t="s">
        <v>592</v>
      </c>
      <c r="I1638" s="2">
        <v>3500</v>
      </c>
    </row>
    <row r="1639" spans="1:9" x14ac:dyDescent="0.3">
      <c r="A1639" s="5">
        <v>9343</v>
      </c>
      <c r="B1639" s="5" t="s">
        <v>2637</v>
      </c>
      <c r="C1639" s="5">
        <v>5</v>
      </c>
      <c r="D1639" s="5" t="s">
        <v>63</v>
      </c>
      <c r="E1639" t="s">
        <v>2638</v>
      </c>
      <c r="F1639" t="s">
        <v>816</v>
      </c>
      <c r="G1639">
        <v>0</v>
      </c>
      <c r="H1639" t="s">
        <v>67</v>
      </c>
      <c r="I1639" s="2">
        <v>10000</v>
      </c>
    </row>
    <row r="1640" spans="1:9" x14ac:dyDescent="0.3">
      <c r="A1640" s="5">
        <v>9343</v>
      </c>
      <c r="B1640" s="5" t="s">
        <v>2637</v>
      </c>
      <c r="C1640" s="5">
        <v>5</v>
      </c>
      <c r="D1640" s="5" t="s">
        <v>63</v>
      </c>
      <c r="E1640" t="s">
        <v>2638</v>
      </c>
      <c r="F1640" t="s">
        <v>816</v>
      </c>
      <c r="G1640">
        <v>0</v>
      </c>
      <c r="H1640" t="s">
        <v>1720</v>
      </c>
      <c r="I1640" s="2">
        <v>2000</v>
      </c>
    </row>
    <row r="1641" spans="1:9" x14ac:dyDescent="0.3">
      <c r="A1641" s="5">
        <v>9342</v>
      </c>
      <c r="B1641" s="5" t="s">
        <v>2639</v>
      </c>
      <c r="C1641" s="5">
        <v>5</v>
      </c>
      <c r="D1641" s="5" t="s">
        <v>63</v>
      </c>
      <c r="E1641" t="s">
        <v>2640</v>
      </c>
      <c r="F1641" t="s">
        <v>2641</v>
      </c>
      <c r="G1641">
        <v>0</v>
      </c>
      <c r="H1641" t="s">
        <v>67</v>
      </c>
      <c r="I1641" s="2">
        <v>10000</v>
      </c>
    </row>
    <row r="1642" spans="1:9" x14ac:dyDescent="0.3">
      <c r="A1642" s="5">
        <v>9342</v>
      </c>
      <c r="B1642" s="5" t="s">
        <v>2639</v>
      </c>
      <c r="C1642" s="5">
        <v>5</v>
      </c>
      <c r="D1642" s="5" t="s">
        <v>63</v>
      </c>
      <c r="E1642" t="s">
        <v>2640</v>
      </c>
      <c r="F1642" t="s">
        <v>2641</v>
      </c>
      <c r="G1642">
        <v>0</v>
      </c>
      <c r="H1642" t="s">
        <v>1720</v>
      </c>
      <c r="I1642" s="2">
        <v>2000</v>
      </c>
    </row>
    <row r="1643" spans="1:9" x14ac:dyDescent="0.3">
      <c r="A1643" s="5">
        <v>9341</v>
      </c>
      <c r="B1643" s="5" t="s">
        <v>2642</v>
      </c>
      <c r="C1643" s="5">
        <v>5</v>
      </c>
      <c r="D1643" s="5" t="s">
        <v>63</v>
      </c>
      <c r="E1643" t="s">
        <v>2643</v>
      </c>
      <c r="F1643" t="s">
        <v>454</v>
      </c>
      <c r="G1643">
        <v>0</v>
      </c>
      <c r="H1643" t="s">
        <v>67</v>
      </c>
      <c r="I1643" s="2">
        <v>10000</v>
      </c>
    </row>
    <row r="1644" spans="1:9" x14ac:dyDescent="0.3">
      <c r="A1644" s="5">
        <v>9341</v>
      </c>
      <c r="B1644" s="5" t="s">
        <v>2642</v>
      </c>
      <c r="C1644" s="5">
        <v>5</v>
      </c>
      <c r="D1644" s="5" t="s">
        <v>63</v>
      </c>
      <c r="E1644" t="s">
        <v>2643</v>
      </c>
      <c r="F1644" t="s">
        <v>454</v>
      </c>
      <c r="G1644">
        <v>0</v>
      </c>
      <c r="H1644" t="s">
        <v>563</v>
      </c>
      <c r="I1644" s="2">
        <v>12000</v>
      </c>
    </row>
    <row r="1645" spans="1:9" x14ac:dyDescent="0.3">
      <c r="A1645" s="5">
        <v>9340</v>
      </c>
      <c r="B1645" s="5" t="s">
        <v>2644</v>
      </c>
      <c r="C1645" s="5">
        <v>7</v>
      </c>
      <c r="D1645" s="5" t="s">
        <v>360</v>
      </c>
      <c r="E1645" t="s">
        <v>2645</v>
      </c>
      <c r="F1645" t="s">
        <v>2646</v>
      </c>
      <c r="G1645">
        <v>0</v>
      </c>
      <c r="H1645" t="s">
        <v>2647</v>
      </c>
      <c r="I1645" s="2">
        <v>7000</v>
      </c>
    </row>
    <row r="1646" spans="1:9" x14ac:dyDescent="0.3">
      <c r="A1646" s="5">
        <v>9340</v>
      </c>
      <c r="B1646" s="5" t="s">
        <v>2644</v>
      </c>
      <c r="C1646" s="5">
        <v>7</v>
      </c>
      <c r="D1646" s="5" t="s">
        <v>360</v>
      </c>
      <c r="E1646" t="s">
        <v>2645</v>
      </c>
      <c r="F1646" t="s">
        <v>2646</v>
      </c>
      <c r="G1646">
        <v>0</v>
      </c>
      <c r="H1646" t="s">
        <v>716</v>
      </c>
      <c r="I1646" s="2">
        <v>4000</v>
      </c>
    </row>
    <row r="1647" spans="1:9" x14ac:dyDescent="0.3">
      <c r="A1647" s="5">
        <v>9339</v>
      </c>
      <c r="B1647" s="5" t="s">
        <v>2648</v>
      </c>
      <c r="C1647" s="5">
        <v>5</v>
      </c>
      <c r="D1647" s="5" t="s">
        <v>63</v>
      </c>
      <c r="E1647" t="s">
        <v>2649</v>
      </c>
      <c r="F1647" t="s">
        <v>2650</v>
      </c>
      <c r="G1647">
        <v>0</v>
      </c>
      <c r="H1647" t="s">
        <v>88</v>
      </c>
      <c r="I1647" s="2">
        <v>20000</v>
      </c>
    </row>
    <row r="1648" spans="1:9" x14ac:dyDescent="0.3">
      <c r="A1648" s="5">
        <v>9339</v>
      </c>
      <c r="B1648" s="5" t="s">
        <v>2648</v>
      </c>
      <c r="C1648" s="5">
        <v>5</v>
      </c>
      <c r="D1648" s="5" t="s">
        <v>63</v>
      </c>
      <c r="E1648" t="s">
        <v>2649</v>
      </c>
      <c r="F1648" t="s">
        <v>2650</v>
      </c>
      <c r="G1648">
        <v>0</v>
      </c>
      <c r="H1648" t="s">
        <v>67</v>
      </c>
      <c r="I1648" s="2">
        <v>7000</v>
      </c>
    </row>
    <row r="1649" spans="1:9" x14ac:dyDescent="0.3">
      <c r="A1649" s="5">
        <v>9338</v>
      </c>
      <c r="B1649" s="5" t="s">
        <v>2651</v>
      </c>
      <c r="C1649" s="5">
        <v>5</v>
      </c>
      <c r="D1649" s="5" t="s">
        <v>63</v>
      </c>
      <c r="E1649" t="s">
        <v>2652</v>
      </c>
      <c r="F1649" t="s">
        <v>2653</v>
      </c>
      <c r="G1649">
        <v>0</v>
      </c>
      <c r="H1649" t="s">
        <v>67</v>
      </c>
      <c r="I1649" s="2">
        <v>8000</v>
      </c>
    </row>
    <row r="1650" spans="1:9" x14ac:dyDescent="0.3">
      <c r="A1650" s="5">
        <v>9338</v>
      </c>
      <c r="B1650" s="5" t="s">
        <v>2651</v>
      </c>
      <c r="C1650" s="5">
        <v>5</v>
      </c>
      <c r="D1650" s="5" t="s">
        <v>63</v>
      </c>
      <c r="E1650" t="s">
        <v>2652</v>
      </c>
      <c r="F1650" t="s">
        <v>2653</v>
      </c>
      <c r="G1650">
        <v>0</v>
      </c>
      <c r="H1650" t="s">
        <v>88</v>
      </c>
      <c r="I1650" s="2">
        <v>20000</v>
      </c>
    </row>
    <row r="1651" spans="1:9" x14ac:dyDescent="0.3">
      <c r="A1651" s="5">
        <v>9337</v>
      </c>
      <c r="B1651" s="5" t="s">
        <v>2654</v>
      </c>
      <c r="C1651" s="5">
        <v>5</v>
      </c>
      <c r="D1651" s="5" t="s">
        <v>63</v>
      </c>
      <c r="E1651" t="s">
        <v>2655</v>
      </c>
      <c r="F1651" t="s">
        <v>2656</v>
      </c>
      <c r="G1651">
        <v>0</v>
      </c>
      <c r="H1651" t="s">
        <v>88</v>
      </c>
      <c r="I1651" s="2">
        <v>40000</v>
      </c>
    </row>
    <row r="1652" spans="1:9" x14ac:dyDescent="0.3">
      <c r="A1652" s="5">
        <v>9337</v>
      </c>
      <c r="B1652" s="5" t="s">
        <v>2654</v>
      </c>
      <c r="C1652" s="5">
        <v>5</v>
      </c>
      <c r="D1652" s="5" t="s">
        <v>63</v>
      </c>
      <c r="E1652" t="s">
        <v>2655</v>
      </c>
      <c r="F1652" t="s">
        <v>2656</v>
      </c>
      <c r="G1652">
        <v>0</v>
      </c>
      <c r="H1652" t="s">
        <v>67</v>
      </c>
      <c r="I1652" s="2">
        <v>12000</v>
      </c>
    </row>
    <row r="1653" spans="1:9" x14ac:dyDescent="0.3">
      <c r="A1653" s="5">
        <v>9336</v>
      </c>
      <c r="B1653" s="5" t="s">
        <v>2657</v>
      </c>
      <c r="C1653" s="5">
        <v>7</v>
      </c>
      <c r="D1653" s="5" t="s">
        <v>360</v>
      </c>
      <c r="E1653" t="s">
        <v>2658</v>
      </c>
      <c r="F1653" t="s">
        <v>2659</v>
      </c>
      <c r="G1653">
        <v>0</v>
      </c>
      <c r="H1653" t="s">
        <v>716</v>
      </c>
      <c r="I1653" s="2">
        <v>3000</v>
      </c>
    </row>
    <row r="1654" spans="1:9" x14ac:dyDescent="0.3">
      <c r="A1654" s="5">
        <v>9336</v>
      </c>
      <c r="B1654" s="5" t="s">
        <v>2657</v>
      </c>
      <c r="C1654" s="5">
        <v>7</v>
      </c>
      <c r="D1654" s="5" t="s">
        <v>360</v>
      </c>
      <c r="E1654" t="s">
        <v>2658</v>
      </c>
      <c r="F1654" t="s">
        <v>2659</v>
      </c>
      <c r="G1654">
        <v>0</v>
      </c>
      <c r="H1654" t="s">
        <v>2647</v>
      </c>
      <c r="I1654" s="2">
        <v>6000</v>
      </c>
    </row>
    <row r="1655" spans="1:9" x14ac:dyDescent="0.3">
      <c r="A1655" s="5">
        <v>9335</v>
      </c>
      <c r="B1655" s="5" t="s">
        <v>2660</v>
      </c>
      <c r="C1655" s="5">
        <v>7</v>
      </c>
      <c r="D1655" s="5" t="s">
        <v>360</v>
      </c>
      <c r="E1655" t="s">
        <v>2661</v>
      </c>
      <c r="F1655" t="s">
        <v>2662</v>
      </c>
      <c r="G1655">
        <v>0</v>
      </c>
      <c r="H1655" t="s">
        <v>716</v>
      </c>
      <c r="I1655" s="2">
        <v>4000</v>
      </c>
    </row>
    <row r="1656" spans="1:9" x14ac:dyDescent="0.3">
      <c r="A1656" s="5">
        <v>9335</v>
      </c>
      <c r="B1656" s="5" t="s">
        <v>2660</v>
      </c>
      <c r="C1656" s="5">
        <v>7</v>
      </c>
      <c r="D1656" s="5" t="s">
        <v>360</v>
      </c>
      <c r="E1656" t="s">
        <v>2661</v>
      </c>
      <c r="F1656" t="s">
        <v>2662</v>
      </c>
      <c r="G1656">
        <v>0</v>
      </c>
      <c r="H1656" t="s">
        <v>2647</v>
      </c>
      <c r="I1656" s="2">
        <v>7000</v>
      </c>
    </row>
    <row r="1657" spans="1:9" x14ac:dyDescent="0.3">
      <c r="A1657" s="5">
        <v>9334</v>
      </c>
      <c r="B1657" s="5" t="s">
        <v>2663</v>
      </c>
      <c r="C1657" s="5">
        <v>7</v>
      </c>
      <c r="D1657" s="5" t="s">
        <v>360</v>
      </c>
      <c r="E1657" t="s">
        <v>2664</v>
      </c>
      <c r="F1657" t="s">
        <v>2665</v>
      </c>
      <c r="G1657">
        <v>0</v>
      </c>
      <c r="H1657" t="s">
        <v>716</v>
      </c>
      <c r="I1657" s="2">
        <v>3000</v>
      </c>
    </row>
    <row r="1658" spans="1:9" x14ac:dyDescent="0.3">
      <c r="A1658" s="5">
        <v>9334</v>
      </c>
      <c r="B1658" s="5" t="s">
        <v>2663</v>
      </c>
      <c r="C1658" s="5">
        <v>7</v>
      </c>
      <c r="D1658" s="5" t="s">
        <v>360</v>
      </c>
      <c r="E1658" t="s">
        <v>2664</v>
      </c>
      <c r="F1658" t="s">
        <v>2665</v>
      </c>
      <c r="G1658">
        <v>0</v>
      </c>
      <c r="H1658" t="s">
        <v>2647</v>
      </c>
      <c r="I1658" s="2">
        <v>7000</v>
      </c>
    </row>
    <row r="1659" spans="1:9" x14ac:dyDescent="0.3">
      <c r="A1659" s="5">
        <v>9333</v>
      </c>
      <c r="B1659" s="5" t="s">
        <v>2666</v>
      </c>
      <c r="C1659" s="5">
        <v>7</v>
      </c>
      <c r="D1659" s="5" t="s">
        <v>360</v>
      </c>
      <c r="E1659" t="s">
        <v>2667</v>
      </c>
      <c r="F1659" t="s">
        <v>2668</v>
      </c>
      <c r="G1659">
        <v>0</v>
      </c>
      <c r="H1659" t="s">
        <v>716</v>
      </c>
      <c r="I1659" s="2">
        <v>5000</v>
      </c>
    </row>
    <row r="1660" spans="1:9" x14ac:dyDescent="0.3">
      <c r="A1660" s="5">
        <v>9333</v>
      </c>
      <c r="B1660" s="5" t="s">
        <v>2666</v>
      </c>
      <c r="C1660" s="5">
        <v>7</v>
      </c>
      <c r="D1660" s="5" t="s">
        <v>360</v>
      </c>
      <c r="E1660" t="s">
        <v>2667</v>
      </c>
      <c r="F1660" t="s">
        <v>2668</v>
      </c>
      <c r="G1660">
        <v>0</v>
      </c>
      <c r="H1660" t="s">
        <v>2647</v>
      </c>
      <c r="I1660" s="2">
        <v>7000</v>
      </c>
    </row>
    <row r="1661" spans="1:9" x14ac:dyDescent="0.3">
      <c r="A1661" s="5">
        <v>9332</v>
      </c>
      <c r="B1661" s="5" t="s">
        <v>2669</v>
      </c>
      <c r="C1661" s="5">
        <v>5</v>
      </c>
      <c r="D1661" s="5" t="s">
        <v>63</v>
      </c>
      <c r="E1661" t="s">
        <v>2670</v>
      </c>
      <c r="F1661" t="s">
        <v>816</v>
      </c>
      <c r="G1661">
        <v>0</v>
      </c>
      <c r="H1661" t="s">
        <v>67</v>
      </c>
      <c r="I1661" s="2">
        <v>10000</v>
      </c>
    </row>
    <row r="1662" spans="1:9" x14ac:dyDescent="0.3">
      <c r="A1662" s="5">
        <v>9332</v>
      </c>
      <c r="B1662" s="5" t="s">
        <v>2669</v>
      </c>
      <c r="C1662" s="5">
        <v>5</v>
      </c>
      <c r="D1662" s="5" t="s">
        <v>63</v>
      </c>
      <c r="E1662" t="s">
        <v>2670</v>
      </c>
      <c r="F1662" t="s">
        <v>816</v>
      </c>
      <c r="G1662">
        <v>0</v>
      </c>
      <c r="H1662" t="s">
        <v>88</v>
      </c>
      <c r="I1662" s="2">
        <v>20000</v>
      </c>
    </row>
    <row r="1663" spans="1:9" x14ac:dyDescent="0.3">
      <c r="A1663" s="5">
        <v>9331</v>
      </c>
      <c r="B1663" s="5" t="s">
        <v>2671</v>
      </c>
      <c r="C1663" s="5">
        <v>7</v>
      </c>
      <c r="D1663" s="5" t="s">
        <v>360</v>
      </c>
      <c r="E1663" t="s">
        <v>2672</v>
      </c>
      <c r="F1663" t="s">
        <v>2673</v>
      </c>
      <c r="G1663">
        <v>0</v>
      </c>
      <c r="H1663" t="s">
        <v>716</v>
      </c>
      <c r="I1663" s="2">
        <v>3000</v>
      </c>
    </row>
    <row r="1664" spans="1:9" x14ac:dyDescent="0.3">
      <c r="A1664" s="5">
        <v>9331</v>
      </c>
      <c r="B1664" s="5" t="s">
        <v>2671</v>
      </c>
      <c r="C1664" s="5">
        <v>7</v>
      </c>
      <c r="D1664" s="5" t="s">
        <v>360</v>
      </c>
      <c r="E1664" t="s">
        <v>2672</v>
      </c>
      <c r="F1664" t="s">
        <v>2673</v>
      </c>
      <c r="G1664">
        <v>0</v>
      </c>
      <c r="H1664" t="s">
        <v>2647</v>
      </c>
      <c r="I1664" s="2">
        <v>5000</v>
      </c>
    </row>
    <row r="1665" spans="1:9" x14ac:dyDescent="0.3">
      <c r="A1665" s="5">
        <v>9330</v>
      </c>
      <c r="B1665" s="5" t="s">
        <v>2674</v>
      </c>
      <c r="C1665" s="5">
        <v>5</v>
      </c>
      <c r="D1665" s="5" t="s">
        <v>63</v>
      </c>
      <c r="E1665" t="s">
        <v>2675</v>
      </c>
      <c r="F1665" t="s">
        <v>2676</v>
      </c>
      <c r="G1665">
        <v>0</v>
      </c>
      <c r="H1665" t="s">
        <v>88</v>
      </c>
      <c r="I1665" s="2">
        <v>30000</v>
      </c>
    </row>
    <row r="1666" spans="1:9" x14ac:dyDescent="0.3">
      <c r="A1666" s="5">
        <v>9330</v>
      </c>
      <c r="B1666" s="5" t="s">
        <v>2674</v>
      </c>
      <c r="C1666" s="5">
        <v>5</v>
      </c>
      <c r="D1666" s="5" t="s">
        <v>63</v>
      </c>
      <c r="E1666" t="s">
        <v>2675</v>
      </c>
      <c r="F1666" t="s">
        <v>2676</v>
      </c>
      <c r="G1666">
        <v>0</v>
      </c>
      <c r="H1666" t="s">
        <v>67</v>
      </c>
      <c r="I1666" s="2">
        <v>10000</v>
      </c>
    </row>
    <row r="1667" spans="1:9" x14ac:dyDescent="0.3">
      <c r="A1667" s="5">
        <v>9329</v>
      </c>
      <c r="B1667" s="5" t="s">
        <v>2677</v>
      </c>
      <c r="C1667" s="5">
        <v>5</v>
      </c>
      <c r="D1667" s="5" t="s">
        <v>63</v>
      </c>
      <c r="E1667" t="s">
        <v>2678</v>
      </c>
      <c r="F1667" t="s">
        <v>2679</v>
      </c>
      <c r="G1667">
        <v>0</v>
      </c>
      <c r="H1667" t="s">
        <v>88</v>
      </c>
      <c r="I1667" s="2">
        <v>25000</v>
      </c>
    </row>
    <row r="1668" spans="1:9" x14ac:dyDescent="0.3">
      <c r="A1668" s="5">
        <v>9329</v>
      </c>
      <c r="B1668" s="5" t="s">
        <v>2677</v>
      </c>
      <c r="C1668" s="5">
        <v>5</v>
      </c>
      <c r="D1668" s="5" t="s">
        <v>63</v>
      </c>
      <c r="E1668" t="s">
        <v>2678</v>
      </c>
      <c r="F1668" t="s">
        <v>2679</v>
      </c>
      <c r="G1668">
        <v>0</v>
      </c>
      <c r="H1668" t="s">
        <v>67</v>
      </c>
      <c r="I1668" s="2">
        <v>10000</v>
      </c>
    </row>
    <row r="1669" spans="1:9" x14ac:dyDescent="0.3">
      <c r="A1669" s="5">
        <v>9328</v>
      </c>
      <c r="B1669" s="5" t="s">
        <v>2680</v>
      </c>
      <c r="C1669" s="5">
        <v>5</v>
      </c>
      <c r="D1669" s="5" t="s">
        <v>63</v>
      </c>
      <c r="E1669" t="s">
        <v>2681</v>
      </c>
      <c r="F1669" t="s">
        <v>2682</v>
      </c>
      <c r="G1669">
        <v>0</v>
      </c>
      <c r="H1669" t="s">
        <v>88</v>
      </c>
      <c r="I1669" s="2">
        <v>30000</v>
      </c>
    </row>
    <row r="1670" spans="1:9" x14ac:dyDescent="0.3">
      <c r="A1670" s="5">
        <v>9328</v>
      </c>
      <c r="B1670" s="5" t="s">
        <v>2680</v>
      </c>
      <c r="C1670" s="5">
        <v>5</v>
      </c>
      <c r="D1670" s="5" t="s">
        <v>63</v>
      </c>
      <c r="E1670" t="s">
        <v>2681</v>
      </c>
      <c r="F1670" t="s">
        <v>2682</v>
      </c>
      <c r="G1670">
        <v>0</v>
      </c>
      <c r="H1670" t="s">
        <v>2683</v>
      </c>
      <c r="I1670" s="2">
        <v>9000</v>
      </c>
    </row>
    <row r="1671" spans="1:9" x14ac:dyDescent="0.3">
      <c r="A1671" s="5">
        <v>9327</v>
      </c>
      <c r="B1671" s="5" t="s">
        <v>2684</v>
      </c>
      <c r="C1671" s="5">
        <v>5</v>
      </c>
      <c r="D1671" s="5" t="s">
        <v>63</v>
      </c>
      <c r="E1671" t="s">
        <v>2685</v>
      </c>
      <c r="F1671" t="s">
        <v>2686</v>
      </c>
      <c r="G1671">
        <v>0</v>
      </c>
      <c r="H1671" t="s">
        <v>67</v>
      </c>
      <c r="I1671" s="2">
        <v>10000</v>
      </c>
    </row>
    <row r="1672" spans="1:9" x14ac:dyDescent="0.3">
      <c r="A1672" s="5">
        <v>9327</v>
      </c>
      <c r="B1672" s="5" t="s">
        <v>2684</v>
      </c>
      <c r="C1672" s="5">
        <v>5</v>
      </c>
      <c r="D1672" s="5" t="s">
        <v>63</v>
      </c>
      <c r="E1672" t="s">
        <v>2685</v>
      </c>
      <c r="F1672" t="s">
        <v>2686</v>
      </c>
      <c r="G1672">
        <v>0</v>
      </c>
      <c r="H1672" t="s">
        <v>88</v>
      </c>
      <c r="I1672" s="2">
        <v>30000</v>
      </c>
    </row>
    <row r="1673" spans="1:9" x14ac:dyDescent="0.3">
      <c r="A1673" s="5">
        <v>9326</v>
      </c>
      <c r="B1673" s="5" t="s">
        <v>2687</v>
      </c>
      <c r="C1673" s="5">
        <v>5</v>
      </c>
      <c r="D1673" s="5" t="s">
        <v>63</v>
      </c>
      <c r="E1673" t="s">
        <v>2688</v>
      </c>
      <c r="F1673" t="s">
        <v>2689</v>
      </c>
      <c r="G1673">
        <v>0</v>
      </c>
      <c r="H1673" t="s">
        <v>88</v>
      </c>
      <c r="I1673" s="2">
        <v>30000</v>
      </c>
    </row>
    <row r="1674" spans="1:9" x14ac:dyDescent="0.3">
      <c r="A1674" s="5">
        <v>9326</v>
      </c>
      <c r="B1674" s="5" t="s">
        <v>2687</v>
      </c>
      <c r="C1674" s="5">
        <v>5</v>
      </c>
      <c r="D1674" s="5" t="s">
        <v>63</v>
      </c>
      <c r="E1674" t="s">
        <v>2688</v>
      </c>
      <c r="F1674" t="s">
        <v>2689</v>
      </c>
      <c r="G1674">
        <v>0</v>
      </c>
      <c r="H1674" t="s">
        <v>67</v>
      </c>
      <c r="I1674" s="2">
        <v>10000</v>
      </c>
    </row>
    <row r="1675" spans="1:9" x14ac:dyDescent="0.3">
      <c r="A1675" s="5">
        <v>9325</v>
      </c>
      <c r="B1675" s="5" t="s">
        <v>2690</v>
      </c>
      <c r="C1675" s="5">
        <v>1</v>
      </c>
      <c r="D1675" s="5" t="s">
        <v>10</v>
      </c>
      <c r="E1675" t="s">
        <v>2691</v>
      </c>
      <c r="F1675" t="s">
        <v>2692</v>
      </c>
      <c r="G1675">
        <v>0</v>
      </c>
      <c r="H1675" t="s">
        <v>126</v>
      </c>
      <c r="I1675" s="2">
        <v>4000</v>
      </c>
    </row>
    <row r="1676" spans="1:9" x14ac:dyDescent="0.3">
      <c r="A1676" s="5">
        <v>9325</v>
      </c>
      <c r="B1676" s="5" t="s">
        <v>2690</v>
      </c>
      <c r="C1676" s="5">
        <v>1</v>
      </c>
      <c r="D1676" s="5" t="s">
        <v>10</v>
      </c>
      <c r="E1676" t="s">
        <v>2691</v>
      </c>
      <c r="F1676" t="s">
        <v>2692</v>
      </c>
      <c r="G1676">
        <v>0</v>
      </c>
      <c r="H1676" t="s">
        <v>37</v>
      </c>
      <c r="I1676" s="2">
        <v>4000</v>
      </c>
    </row>
    <row r="1677" spans="1:9" x14ac:dyDescent="0.3">
      <c r="A1677" s="5">
        <v>9324</v>
      </c>
      <c r="B1677" s="5" t="s">
        <v>2693</v>
      </c>
      <c r="C1677" s="5">
        <v>1</v>
      </c>
      <c r="D1677" s="5" t="s">
        <v>10</v>
      </c>
      <c r="E1677" t="s">
        <v>2694</v>
      </c>
      <c r="F1677" t="s">
        <v>2695</v>
      </c>
      <c r="G1677">
        <v>0</v>
      </c>
      <c r="H1677" t="s">
        <v>1206</v>
      </c>
      <c r="I1677" s="2">
        <v>8000</v>
      </c>
    </row>
    <row r="1678" spans="1:9" x14ac:dyDescent="0.3">
      <c r="A1678" s="5">
        <v>9324</v>
      </c>
      <c r="B1678" s="5" t="s">
        <v>2693</v>
      </c>
      <c r="C1678" s="5">
        <v>1</v>
      </c>
      <c r="D1678" s="5" t="s">
        <v>10</v>
      </c>
      <c r="E1678" t="s">
        <v>2694</v>
      </c>
      <c r="F1678" t="s">
        <v>2695</v>
      </c>
      <c r="G1678">
        <v>0</v>
      </c>
      <c r="H1678" t="s">
        <v>126</v>
      </c>
      <c r="I1678" s="2">
        <v>8000</v>
      </c>
    </row>
    <row r="1679" spans="1:9" x14ac:dyDescent="0.3">
      <c r="A1679" s="5">
        <v>9323</v>
      </c>
      <c r="B1679" s="5" t="s">
        <v>1802</v>
      </c>
      <c r="C1679" s="5">
        <v>1</v>
      </c>
      <c r="D1679" s="5" t="s">
        <v>10</v>
      </c>
      <c r="E1679" t="s">
        <v>2696</v>
      </c>
      <c r="F1679" t="s">
        <v>2697</v>
      </c>
      <c r="G1679">
        <v>0</v>
      </c>
      <c r="H1679" t="s">
        <v>2698</v>
      </c>
      <c r="I1679" s="2">
        <v>10000</v>
      </c>
    </row>
    <row r="1680" spans="1:9" x14ac:dyDescent="0.3">
      <c r="A1680" s="5">
        <v>9323</v>
      </c>
      <c r="B1680" s="5" t="s">
        <v>1802</v>
      </c>
      <c r="C1680" s="5">
        <v>1</v>
      </c>
      <c r="D1680" s="5" t="s">
        <v>10</v>
      </c>
      <c r="E1680" t="s">
        <v>2696</v>
      </c>
      <c r="F1680" t="s">
        <v>2697</v>
      </c>
      <c r="G1680">
        <v>0</v>
      </c>
      <c r="H1680" t="s">
        <v>765</v>
      </c>
      <c r="I1680" s="2">
        <v>8000</v>
      </c>
    </row>
    <row r="1681" spans="1:9" x14ac:dyDescent="0.3">
      <c r="A1681" s="5">
        <v>9322</v>
      </c>
      <c r="B1681" s="5" t="s">
        <v>2699</v>
      </c>
      <c r="C1681" s="5">
        <v>1</v>
      </c>
      <c r="D1681" s="5" t="s">
        <v>10</v>
      </c>
      <c r="E1681" t="s">
        <v>2700</v>
      </c>
      <c r="F1681" t="s">
        <v>2701</v>
      </c>
      <c r="G1681">
        <v>0</v>
      </c>
      <c r="H1681" t="s">
        <v>280</v>
      </c>
      <c r="I1681" s="2">
        <v>8000</v>
      </c>
    </row>
    <row r="1682" spans="1:9" x14ac:dyDescent="0.3">
      <c r="A1682" s="5">
        <v>9322</v>
      </c>
      <c r="B1682" s="5" t="s">
        <v>2699</v>
      </c>
      <c r="C1682" s="5">
        <v>1</v>
      </c>
      <c r="D1682" s="5" t="s">
        <v>10</v>
      </c>
      <c r="E1682" t="s">
        <v>2700</v>
      </c>
      <c r="F1682" t="s">
        <v>2701</v>
      </c>
      <c r="G1682">
        <v>0</v>
      </c>
      <c r="H1682" t="s">
        <v>133</v>
      </c>
      <c r="I1682" s="2">
        <v>7000</v>
      </c>
    </row>
    <row r="1683" spans="1:9" x14ac:dyDescent="0.3">
      <c r="A1683" s="5">
        <v>9321</v>
      </c>
      <c r="B1683" s="5" t="s">
        <v>2702</v>
      </c>
      <c r="C1683" s="5">
        <v>1</v>
      </c>
      <c r="D1683" s="5" t="s">
        <v>10</v>
      </c>
      <c r="E1683" t="s">
        <v>2703</v>
      </c>
      <c r="F1683" t="s">
        <v>2704</v>
      </c>
      <c r="G1683">
        <v>0</v>
      </c>
      <c r="H1683" t="s">
        <v>2705</v>
      </c>
      <c r="I1683" s="2">
        <v>7000</v>
      </c>
    </row>
    <row r="1684" spans="1:9" x14ac:dyDescent="0.3">
      <c r="A1684" s="5">
        <v>9321</v>
      </c>
      <c r="B1684" s="5" t="s">
        <v>2702</v>
      </c>
      <c r="C1684" s="5">
        <v>1</v>
      </c>
      <c r="D1684" s="5" t="s">
        <v>10</v>
      </c>
      <c r="E1684" t="s">
        <v>2703</v>
      </c>
      <c r="F1684" t="s">
        <v>2704</v>
      </c>
      <c r="G1684">
        <v>0</v>
      </c>
      <c r="H1684" t="s">
        <v>134</v>
      </c>
      <c r="I1684" s="2">
        <v>7000</v>
      </c>
    </row>
    <row r="1685" spans="1:9" x14ac:dyDescent="0.3">
      <c r="A1685" s="5">
        <v>9320</v>
      </c>
      <c r="B1685" s="5" t="s">
        <v>2706</v>
      </c>
      <c r="C1685" s="5">
        <v>1</v>
      </c>
      <c r="D1685" s="5" t="s">
        <v>10</v>
      </c>
      <c r="E1685" t="s">
        <v>2707</v>
      </c>
      <c r="F1685" t="s">
        <v>2708</v>
      </c>
      <c r="G1685">
        <v>0</v>
      </c>
      <c r="H1685" t="s">
        <v>134</v>
      </c>
      <c r="I1685" s="2">
        <v>8000</v>
      </c>
    </row>
    <row r="1686" spans="1:9" x14ac:dyDescent="0.3">
      <c r="A1686" s="5">
        <v>9319</v>
      </c>
      <c r="B1686" s="5" t="s">
        <v>2709</v>
      </c>
      <c r="C1686" s="5">
        <v>3</v>
      </c>
      <c r="D1686" s="5" t="s">
        <v>44</v>
      </c>
      <c r="E1686" t="s">
        <v>2710</v>
      </c>
      <c r="F1686" t="s">
        <v>2711</v>
      </c>
      <c r="G1686">
        <v>0</v>
      </c>
      <c r="H1686" t="s">
        <v>2712</v>
      </c>
      <c r="I1686" s="2">
        <v>9000</v>
      </c>
    </row>
    <row r="1687" spans="1:9" x14ac:dyDescent="0.3">
      <c r="A1687" s="5">
        <v>9319</v>
      </c>
      <c r="B1687" s="5" t="s">
        <v>2709</v>
      </c>
      <c r="C1687" s="5">
        <v>3</v>
      </c>
      <c r="D1687" s="5" t="s">
        <v>44</v>
      </c>
      <c r="E1687" t="s">
        <v>2710</v>
      </c>
      <c r="F1687" t="s">
        <v>2711</v>
      </c>
      <c r="G1687">
        <v>0</v>
      </c>
      <c r="H1687" t="s">
        <v>794</v>
      </c>
      <c r="I1687" s="2">
        <v>8500</v>
      </c>
    </row>
    <row r="1688" spans="1:9" x14ac:dyDescent="0.3">
      <c r="A1688" s="5">
        <v>9318</v>
      </c>
      <c r="B1688" s="5" t="s">
        <v>2713</v>
      </c>
      <c r="C1688" s="5">
        <v>1</v>
      </c>
      <c r="D1688" s="5" t="s">
        <v>10</v>
      </c>
      <c r="E1688" t="s">
        <v>2714</v>
      </c>
      <c r="F1688" t="s">
        <v>2715</v>
      </c>
      <c r="G1688">
        <v>0</v>
      </c>
      <c r="H1688" t="s">
        <v>958</v>
      </c>
      <c r="I1688" s="2">
        <v>8000</v>
      </c>
    </row>
    <row r="1689" spans="1:9" x14ac:dyDescent="0.3">
      <c r="A1689" s="5">
        <v>9318</v>
      </c>
      <c r="B1689" s="5" t="s">
        <v>2713</v>
      </c>
      <c r="C1689" s="5">
        <v>1</v>
      </c>
      <c r="D1689" s="5" t="s">
        <v>10</v>
      </c>
      <c r="E1689" t="s">
        <v>2714</v>
      </c>
      <c r="F1689" t="s">
        <v>2715</v>
      </c>
      <c r="G1689">
        <v>0</v>
      </c>
      <c r="H1689" t="s">
        <v>134</v>
      </c>
      <c r="I1689" s="2">
        <v>8000</v>
      </c>
    </row>
    <row r="1690" spans="1:9" x14ac:dyDescent="0.3">
      <c r="A1690" s="5">
        <v>9317</v>
      </c>
      <c r="B1690" s="5" t="s">
        <v>2716</v>
      </c>
      <c r="C1690" s="5">
        <v>1</v>
      </c>
      <c r="D1690" s="5" t="s">
        <v>10</v>
      </c>
      <c r="E1690" t="s">
        <v>2717</v>
      </c>
      <c r="F1690" t="s">
        <v>2718</v>
      </c>
      <c r="G1690">
        <v>0</v>
      </c>
      <c r="H1690" t="s">
        <v>2719</v>
      </c>
      <c r="I1690" s="2">
        <v>8000</v>
      </c>
    </row>
    <row r="1691" spans="1:9" x14ac:dyDescent="0.3">
      <c r="A1691" s="5">
        <v>9316</v>
      </c>
      <c r="B1691" s="5" t="s">
        <v>2720</v>
      </c>
      <c r="C1691" s="5">
        <v>1</v>
      </c>
      <c r="D1691" s="5" t="s">
        <v>10</v>
      </c>
      <c r="E1691" t="s">
        <v>2721</v>
      </c>
      <c r="F1691" t="s">
        <v>2722</v>
      </c>
      <c r="G1691">
        <v>0</v>
      </c>
      <c r="H1691" t="s">
        <v>188</v>
      </c>
      <c r="I1691" s="2">
        <v>8000</v>
      </c>
    </row>
    <row r="1692" spans="1:9" x14ac:dyDescent="0.3">
      <c r="A1692" s="5">
        <v>9315</v>
      </c>
      <c r="B1692" s="5" t="s">
        <v>2723</v>
      </c>
      <c r="C1692" s="5">
        <v>1</v>
      </c>
      <c r="D1692" s="5" t="s">
        <v>10</v>
      </c>
      <c r="E1692" t="s">
        <v>2724</v>
      </c>
      <c r="F1692" t="s">
        <v>2725</v>
      </c>
      <c r="G1692">
        <v>0</v>
      </c>
      <c r="H1692" t="s">
        <v>21</v>
      </c>
      <c r="I1692" s="2">
        <v>3000</v>
      </c>
    </row>
    <row r="1693" spans="1:9" x14ac:dyDescent="0.3">
      <c r="A1693" s="5">
        <v>9314</v>
      </c>
      <c r="B1693" s="5" t="s">
        <v>2726</v>
      </c>
      <c r="C1693" s="5">
        <v>1</v>
      </c>
      <c r="D1693" s="5" t="s">
        <v>10</v>
      </c>
      <c r="E1693" t="s">
        <v>2727</v>
      </c>
      <c r="F1693" t="s">
        <v>2728</v>
      </c>
      <c r="G1693">
        <v>0</v>
      </c>
      <c r="H1693" t="s">
        <v>2729</v>
      </c>
      <c r="I1693" s="2">
        <v>6000</v>
      </c>
    </row>
    <row r="1694" spans="1:9" x14ac:dyDescent="0.3">
      <c r="A1694" s="5">
        <v>9313</v>
      </c>
      <c r="B1694" s="5" t="s">
        <v>2730</v>
      </c>
      <c r="C1694" s="5">
        <v>1</v>
      </c>
      <c r="D1694" s="5" t="s">
        <v>10</v>
      </c>
      <c r="E1694" t="s">
        <v>2731</v>
      </c>
      <c r="F1694" t="s">
        <v>2732</v>
      </c>
      <c r="G1694">
        <v>0</v>
      </c>
      <c r="H1694" t="s">
        <v>189</v>
      </c>
      <c r="I1694" s="2">
        <v>10000</v>
      </c>
    </row>
    <row r="1695" spans="1:9" x14ac:dyDescent="0.3">
      <c r="A1695" s="5">
        <v>9313</v>
      </c>
      <c r="B1695" s="5" t="s">
        <v>2730</v>
      </c>
      <c r="C1695" s="5">
        <v>1</v>
      </c>
      <c r="D1695" s="5" t="s">
        <v>10</v>
      </c>
      <c r="E1695" t="s">
        <v>2731</v>
      </c>
      <c r="F1695" t="s">
        <v>2732</v>
      </c>
      <c r="G1695">
        <v>0</v>
      </c>
      <c r="H1695" t="s">
        <v>2733</v>
      </c>
      <c r="I1695" s="2">
        <v>16000</v>
      </c>
    </row>
    <row r="1696" spans="1:9" x14ac:dyDescent="0.3">
      <c r="A1696" s="5">
        <v>9312</v>
      </c>
      <c r="B1696" s="5" t="s">
        <v>2734</v>
      </c>
      <c r="C1696" s="5">
        <v>1</v>
      </c>
      <c r="D1696" s="5" t="s">
        <v>10</v>
      </c>
      <c r="E1696" t="s">
        <v>2735</v>
      </c>
      <c r="F1696" t="s">
        <v>2736</v>
      </c>
      <c r="G1696">
        <v>0</v>
      </c>
      <c r="H1696" t="s">
        <v>2737</v>
      </c>
      <c r="I1696" s="2">
        <v>8000</v>
      </c>
    </row>
    <row r="1697" spans="1:9" x14ac:dyDescent="0.3">
      <c r="A1697" s="5">
        <v>9312</v>
      </c>
      <c r="B1697" s="5" t="s">
        <v>2734</v>
      </c>
      <c r="C1697" s="5">
        <v>1</v>
      </c>
      <c r="D1697" s="5" t="s">
        <v>10</v>
      </c>
      <c r="E1697" t="s">
        <v>2735</v>
      </c>
      <c r="F1697" t="s">
        <v>2736</v>
      </c>
      <c r="G1697">
        <v>0</v>
      </c>
      <c r="H1697" t="s">
        <v>126</v>
      </c>
      <c r="I1697" s="2">
        <v>8000</v>
      </c>
    </row>
    <row r="1698" spans="1:9" x14ac:dyDescent="0.3">
      <c r="A1698" s="5">
        <v>9311</v>
      </c>
      <c r="B1698" s="5" t="s">
        <v>2738</v>
      </c>
      <c r="C1698" s="5">
        <v>4</v>
      </c>
      <c r="D1698" s="5" t="s">
        <v>39</v>
      </c>
      <c r="E1698" t="s">
        <v>2739</v>
      </c>
      <c r="F1698" t="s">
        <v>2740</v>
      </c>
      <c r="G1698">
        <v>0</v>
      </c>
      <c r="H1698" t="s">
        <v>320</v>
      </c>
      <c r="I1698" s="2">
        <v>8500</v>
      </c>
    </row>
    <row r="1699" spans="1:9" x14ac:dyDescent="0.3">
      <c r="A1699" s="5">
        <v>9311</v>
      </c>
      <c r="B1699" s="5" t="s">
        <v>2738</v>
      </c>
      <c r="C1699" s="5">
        <v>4</v>
      </c>
      <c r="D1699" s="5" t="s">
        <v>39</v>
      </c>
      <c r="E1699" t="s">
        <v>2739</v>
      </c>
      <c r="F1699" t="s">
        <v>2740</v>
      </c>
      <c r="G1699">
        <v>0</v>
      </c>
      <c r="H1699" t="s">
        <v>2741</v>
      </c>
      <c r="I1699" s="2">
        <v>10900</v>
      </c>
    </row>
    <row r="1700" spans="1:9" x14ac:dyDescent="0.3">
      <c r="A1700" s="5">
        <v>9310</v>
      </c>
      <c r="B1700" s="5" t="s">
        <v>2603</v>
      </c>
      <c r="C1700" s="5">
        <v>1</v>
      </c>
      <c r="D1700" s="5" t="s">
        <v>10</v>
      </c>
      <c r="E1700" t="s">
        <v>2742</v>
      </c>
      <c r="F1700" t="s">
        <v>2743</v>
      </c>
      <c r="G1700">
        <v>0</v>
      </c>
      <c r="H1700" t="s">
        <v>374</v>
      </c>
      <c r="I1700" s="2">
        <v>2500</v>
      </c>
    </row>
    <row r="1701" spans="1:9" x14ac:dyDescent="0.3">
      <c r="A1701" s="5">
        <v>9310</v>
      </c>
      <c r="B1701" s="5" t="s">
        <v>2603</v>
      </c>
      <c r="C1701" s="5">
        <v>1</v>
      </c>
      <c r="D1701" s="5" t="s">
        <v>10</v>
      </c>
      <c r="E1701" t="s">
        <v>2742</v>
      </c>
      <c r="F1701" t="s">
        <v>2743</v>
      </c>
      <c r="G1701">
        <v>0</v>
      </c>
      <c r="H1701" t="s">
        <v>259</v>
      </c>
      <c r="I1701" s="2">
        <v>5500</v>
      </c>
    </row>
    <row r="1702" spans="1:9" x14ac:dyDescent="0.3">
      <c r="A1702" s="5">
        <v>9309</v>
      </c>
      <c r="B1702" s="5" t="s">
        <v>2744</v>
      </c>
      <c r="C1702" s="5">
        <v>1</v>
      </c>
      <c r="D1702" s="5" t="s">
        <v>10</v>
      </c>
      <c r="E1702" t="s">
        <v>2745</v>
      </c>
      <c r="F1702" t="s">
        <v>2746</v>
      </c>
      <c r="G1702">
        <v>0</v>
      </c>
      <c r="H1702" t="s">
        <v>1028</v>
      </c>
      <c r="I1702" s="2">
        <v>40000</v>
      </c>
    </row>
    <row r="1703" spans="1:9" x14ac:dyDescent="0.3">
      <c r="A1703" s="5">
        <v>9308</v>
      </c>
      <c r="B1703" s="5" t="s">
        <v>2747</v>
      </c>
      <c r="C1703" s="5">
        <v>1</v>
      </c>
      <c r="D1703" s="5" t="s">
        <v>10</v>
      </c>
      <c r="E1703" t="s">
        <v>2748</v>
      </c>
      <c r="F1703" t="s">
        <v>2749</v>
      </c>
      <c r="G1703">
        <v>0</v>
      </c>
      <c r="H1703" t="s">
        <v>2750</v>
      </c>
      <c r="I1703" s="2">
        <v>40000</v>
      </c>
    </row>
    <row r="1704" spans="1:9" x14ac:dyDescent="0.3">
      <c r="A1704" s="5">
        <v>9308</v>
      </c>
      <c r="B1704" s="5" t="s">
        <v>2747</v>
      </c>
      <c r="C1704" s="5">
        <v>1</v>
      </c>
      <c r="D1704" s="5" t="s">
        <v>10</v>
      </c>
      <c r="E1704" t="s">
        <v>2748</v>
      </c>
      <c r="F1704" t="s">
        <v>2749</v>
      </c>
      <c r="G1704">
        <v>0</v>
      </c>
      <c r="H1704" t="s">
        <v>2751</v>
      </c>
      <c r="I1704" s="2">
        <v>40000</v>
      </c>
    </row>
    <row r="1705" spans="1:9" x14ac:dyDescent="0.3">
      <c r="A1705" s="5">
        <v>9307</v>
      </c>
      <c r="B1705" s="5" t="s">
        <v>2752</v>
      </c>
      <c r="C1705" s="5">
        <v>1</v>
      </c>
      <c r="D1705" s="5" t="s">
        <v>10</v>
      </c>
      <c r="E1705" t="s">
        <v>2753</v>
      </c>
      <c r="F1705" t="s">
        <v>2754</v>
      </c>
      <c r="G1705">
        <v>0</v>
      </c>
      <c r="H1705" t="s">
        <v>2755</v>
      </c>
      <c r="I1705" s="2">
        <v>10000</v>
      </c>
    </row>
    <row r="1706" spans="1:9" x14ac:dyDescent="0.3">
      <c r="A1706" s="5">
        <v>9307</v>
      </c>
      <c r="B1706" s="5" t="s">
        <v>2752</v>
      </c>
      <c r="C1706" s="5">
        <v>1</v>
      </c>
      <c r="D1706" s="5" t="s">
        <v>10</v>
      </c>
      <c r="E1706" t="s">
        <v>2753</v>
      </c>
      <c r="F1706" t="s">
        <v>2754</v>
      </c>
      <c r="G1706">
        <v>0</v>
      </c>
      <c r="H1706" t="s">
        <v>2756</v>
      </c>
      <c r="I1706" s="2">
        <v>9000</v>
      </c>
    </row>
    <row r="1707" spans="1:9" x14ac:dyDescent="0.3">
      <c r="A1707" s="5">
        <v>9306</v>
      </c>
      <c r="B1707" s="5" t="s">
        <v>2757</v>
      </c>
      <c r="C1707" s="5">
        <v>1</v>
      </c>
      <c r="D1707" s="5" t="s">
        <v>10</v>
      </c>
      <c r="E1707" t="s">
        <v>2758</v>
      </c>
      <c r="F1707" t="s">
        <v>2759</v>
      </c>
      <c r="G1707">
        <v>0</v>
      </c>
      <c r="H1707" t="s">
        <v>189</v>
      </c>
      <c r="I1707" s="2">
        <v>11000</v>
      </c>
    </row>
    <row r="1708" spans="1:9" x14ac:dyDescent="0.3">
      <c r="A1708" s="5">
        <v>9305</v>
      </c>
      <c r="B1708" s="5" t="s">
        <v>829</v>
      </c>
      <c r="C1708" s="5">
        <v>1</v>
      </c>
      <c r="D1708" s="5" t="s">
        <v>10</v>
      </c>
      <c r="E1708" t="s">
        <v>2760</v>
      </c>
      <c r="F1708" t="s">
        <v>2761</v>
      </c>
      <c r="G1708">
        <v>0</v>
      </c>
      <c r="H1708" t="s">
        <v>1761</v>
      </c>
      <c r="I1708" s="2">
        <v>11000</v>
      </c>
    </row>
    <row r="1709" spans="1:9" x14ac:dyDescent="0.3">
      <c r="A1709" s="5">
        <v>9305</v>
      </c>
      <c r="B1709" s="5" t="s">
        <v>829</v>
      </c>
      <c r="C1709" s="5">
        <v>1</v>
      </c>
      <c r="D1709" s="5" t="s">
        <v>10</v>
      </c>
      <c r="E1709" t="s">
        <v>2760</v>
      </c>
      <c r="F1709" t="s">
        <v>2761</v>
      </c>
      <c r="G1709">
        <v>0</v>
      </c>
      <c r="H1709" t="s">
        <v>2762</v>
      </c>
      <c r="I1709" s="2">
        <v>6500</v>
      </c>
    </row>
    <row r="1710" spans="1:9" x14ac:dyDescent="0.3">
      <c r="A1710" s="5">
        <v>9305</v>
      </c>
      <c r="B1710" s="5" t="s">
        <v>829</v>
      </c>
      <c r="C1710" s="5">
        <v>1</v>
      </c>
      <c r="D1710" s="5" t="s">
        <v>10</v>
      </c>
      <c r="E1710" t="s">
        <v>2760</v>
      </c>
      <c r="F1710" t="s">
        <v>2761</v>
      </c>
      <c r="G1710">
        <v>0</v>
      </c>
      <c r="H1710" t="s">
        <v>233</v>
      </c>
      <c r="I1710" s="2">
        <v>6000</v>
      </c>
    </row>
    <row r="1711" spans="1:9" x14ac:dyDescent="0.3">
      <c r="A1711" s="5">
        <v>9305</v>
      </c>
      <c r="B1711" s="5" t="s">
        <v>829</v>
      </c>
      <c r="C1711" s="5">
        <v>1</v>
      </c>
      <c r="D1711" s="5" t="s">
        <v>10</v>
      </c>
      <c r="E1711" t="s">
        <v>2760</v>
      </c>
      <c r="F1711" t="s">
        <v>2761</v>
      </c>
      <c r="G1711">
        <v>0</v>
      </c>
      <c r="H1711" t="s">
        <v>143</v>
      </c>
      <c r="I1711" s="2">
        <v>5000</v>
      </c>
    </row>
    <row r="1712" spans="1:9" x14ac:dyDescent="0.3">
      <c r="A1712" s="5">
        <v>9304</v>
      </c>
      <c r="B1712" s="5" t="s">
        <v>2763</v>
      </c>
      <c r="C1712" s="5">
        <v>1</v>
      </c>
      <c r="D1712" s="5" t="s">
        <v>10</v>
      </c>
      <c r="E1712" t="s">
        <v>2764</v>
      </c>
      <c r="F1712" t="s">
        <v>2765</v>
      </c>
      <c r="G1712">
        <v>0</v>
      </c>
      <c r="H1712" t="s">
        <v>149</v>
      </c>
      <c r="I1712" s="2">
        <v>7000</v>
      </c>
    </row>
    <row r="1713" spans="1:9" x14ac:dyDescent="0.3">
      <c r="A1713" s="5">
        <v>9304</v>
      </c>
      <c r="B1713" s="5" t="s">
        <v>2763</v>
      </c>
      <c r="C1713" s="5">
        <v>1</v>
      </c>
      <c r="D1713" s="5" t="s">
        <v>10</v>
      </c>
      <c r="E1713" t="s">
        <v>2764</v>
      </c>
      <c r="F1713" t="s">
        <v>2765</v>
      </c>
      <c r="G1713">
        <v>0</v>
      </c>
      <c r="H1713" t="s">
        <v>259</v>
      </c>
      <c r="I1713" s="2">
        <v>5000</v>
      </c>
    </row>
    <row r="1714" spans="1:9" x14ac:dyDescent="0.3">
      <c r="A1714" s="5">
        <v>9303</v>
      </c>
      <c r="B1714" s="5" t="s">
        <v>2766</v>
      </c>
      <c r="C1714" s="5">
        <v>1</v>
      </c>
      <c r="D1714" s="5" t="s">
        <v>10</v>
      </c>
      <c r="E1714" t="s">
        <v>2767</v>
      </c>
      <c r="F1714" t="s">
        <v>2768</v>
      </c>
      <c r="G1714">
        <v>0</v>
      </c>
      <c r="H1714" t="s">
        <v>2769</v>
      </c>
      <c r="I1714" s="2">
        <v>14000</v>
      </c>
    </row>
    <row r="1715" spans="1:9" x14ac:dyDescent="0.3">
      <c r="A1715" s="5">
        <v>9303</v>
      </c>
      <c r="B1715" s="5" t="s">
        <v>2766</v>
      </c>
      <c r="C1715" s="5">
        <v>1</v>
      </c>
      <c r="D1715" s="5" t="s">
        <v>10</v>
      </c>
      <c r="E1715" t="s">
        <v>2767</v>
      </c>
      <c r="F1715" t="s">
        <v>2768</v>
      </c>
      <c r="G1715">
        <v>0</v>
      </c>
      <c r="H1715" t="s">
        <v>2770</v>
      </c>
      <c r="I1715" s="2">
        <v>13000</v>
      </c>
    </row>
    <row r="1716" spans="1:9" x14ac:dyDescent="0.3">
      <c r="A1716" s="5">
        <v>9302</v>
      </c>
      <c r="B1716" s="5" t="s">
        <v>2771</v>
      </c>
      <c r="C1716" s="5">
        <v>1</v>
      </c>
      <c r="D1716" s="5" t="s">
        <v>10</v>
      </c>
      <c r="E1716" t="s">
        <v>2772</v>
      </c>
      <c r="F1716" t="s">
        <v>2773</v>
      </c>
      <c r="G1716">
        <v>0</v>
      </c>
      <c r="H1716" t="s">
        <v>2774</v>
      </c>
      <c r="I1716" s="2">
        <v>9000</v>
      </c>
    </row>
    <row r="1717" spans="1:9" x14ac:dyDescent="0.3">
      <c r="A1717" s="5">
        <v>9302</v>
      </c>
      <c r="B1717" s="5" t="s">
        <v>2771</v>
      </c>
      <c r="C1717" s="5">
        <v>1</v>
      </c>
      <c r="D1717" s="5" t="s">
        <v>10</v>
      </c>
      <c r="E1717" t="s">
        <v>2772</v>
      </c>
      <c r="F1717" t="s">
        <v>2773</v>
      </c>
      <c r="G1717">
        <v>0</v>
      </c>
      <c r="H1717" t="s">
        <v>1042</v>
      </c>
      <c r="I1717" s="2">
        <v>6000</v>
      </c>
    </row>
    <row r="1718" spans="1:9" x14ac:dyDescent="0.3">
      <c r="A1718" s="5">
        <v>9302</v>
      </c>
      <c r="B1718" s="5" t="s">
        <v>2771</v>
      </c>
      <c r="C1718" s="5">
        <v>1</v>
      </c>
      <c r="D1718" s="5" t="s">
        <v>10</v>
      </c>
      <c r="E1718" t="s">
        <v>2772</v>
      </c>
      <c r="F1718" t="s">
        <v>2773</v>
      </c>
      <c r="G1718">
        <v>0</v>
      </c>
      <c r="H1718" t="s">
        <v>2775</v>
      </c>
      <c r="I1718" s="2">
        <v>8000</v>
      </c>
    </row>
    <row r="1719" spans="1:9" x14ac:dyDescent="0.3">
      <c r="A1719" s="5">
        <v>9302</v>
      </c>
      <c r="B1719" s="5" t="s">
        <v>2771</v>
      </c>
      <c r="C1719" s="5">
        <v>1</v>
      </c>
      <c r="D1719" s="5" t="s">
        <v>10</v>
      </c>
      <c r="E1719" t="s">
        <v>2772</v>
      </c>
      <c r="F1719" t="s">
        <v>2773</v>
      </c>
      <c r="G1719">
        <v>0</v>
      </c>
      <c r="H1719" t="s">
        <v>169</v>
      </c>
      <c r="I1719" s="2">
        <v>5000</v>
      </c>
    </row>
    <row r="1720" spans="1:9" x14ac:dyDescent="0.3">
      <c r="A1720" s="5">
        <v>9301</v>
      </c>
      <c r="B1720" s="5" t="s">
        <v>2776</v>
      </c>
      <c r="C1720" s="5">
        <v>1</v>
      </c>
      <c r="D1720" s="5" t="s">
        <v>10</v>
      </c>
      <c r="E1720" t="s">
        <v>2777</v>
      </c>
      <c r="F1720" t="s">
        <v>2778</v>
      </c>
      <c r="G1720">
        <v>0</v>
      </c>
      <c r="H1720" t="s">
        <v>259</v>
      </c>
      <c r="I1720" s="2">
        <v>6000</v>
      </c>
    </row>
    <row r="1721" spans="1:9" x14ac:dyDescent="0.3">
      <c r="A1721" s="5">
        <v>9301</v>
      </c>
      <c r="B1721" s="5" t="s">
        <v>2776</v>
      </c>
      <c r="C1721" s="5">
        <v>1</v>
      </c>
      <c r="D1721" s="5" t="s">
        <v>10</v>
      </c>
      <c r="E1721" t="s">
        <v>2777</v>
      </c>
      <c r="F1721" t="s">
        <v>2778</v>
      </c>
      <c r="G1721">
        <v>0</v>
      </c>
      <c r="H1721" t="s">
        <v>133</v>
      </c>
      <c r="I1721" s="2">
        <v>6000</v>
      </c>
    </row>
    <row r="1722" spans="1:9" x14ac:dyDescent="0.3">
      <c r="A1722" s="5">
        <v>9300</v>
      </c>
      <c r="B1722" s="5" t="s">
        <v>2779</v>
      </c>
      <c r="C1722" s="5">
        <v>1</v>
      </c>
      <c r="D1722" s="5" t="s">
        <v>10</v>
      </c>
      <c r="E1722" t="s">
        <v>2780</v>
      </c>
      <c r="F1722" t="s">
        <v>2781</v>
      </c>
      <c r="G1722">
        <v>0</v>
      </c>
      <c r="H1722" t="s">
        <v>153</v>
      </c>
      <c r="I1722" s="2">
        <v>7000</v>
      </c>
    </row>
    <row r="1723" spans="1:9" x14ac:dyDescent="0.3">
      <c r="A1723" s="5">
        <v>9299</v>
      </c>
      <c r="B1723" s="5" t="s">
        <v>2782</v>
      </c>
      <c r="C1723" s="5">
        <v>1</v>
      </c>
      <c r="D1723" s="5" t="s">
        <v>10</v>
      </c>
      <c r="E1723" t="s">
        <v>2783</v>
      </c>
      <c r="F1723" t="s">
        <v>2784</v>
      </c>
      <c r="G1723">
        <v>0</v>
      </c>
      <c r="H1723" t="s">
        <v>2785</v>
      </c>
      <c r="I1723" s="2">
        <v>7000</v>
      </c>
    </row>
    <row r="1724" spans="1:9" x14ac:dyDescent="0.3">
      <c r="A1724" s="5">
        <v>9299</v>
      </c>
      <c r="B1724" s="5" t="s">
        <v>2782</v>
      </c>
      <c r="C1724" s="5">
        <v>1</v>
      </c>
      <c r="D1724" s="5" t="s">
        <v>10</v>
      </c>
      <c r="E1724" t="s">
        <v>2783</v>
      </c>
      <c r="F1724" t="s">
        <v>2784</v>
      </c>
      <c r="G1724">
        <v>0</v>
      </c>
      <c r="H1724" t="s">
        <v>2786</v>
      </c>
      <c r="I1724" s="2">
        <v>6000</v>
      </c>
    </row>
    <row r="1725" spans="1:9" x14ac:dyDescent="0.3">
      <c r="A1725" s="5">
        <v>9299</v>
      </c>
      <c r="B1725" s="5" t="s">
        <v>2782</v>
      </c>
      <c r="C1725" s="5">
        <v>1</v>
      </c>
      <c r="D1725" s="5" t="s">
        <v>10</v>
      </c>
      <c r="E1725" t="s">
        <v>2783</v>
      </c>
      <c r="F1725" t="s">
        <v>2784</v>
      </c>
      <c r="G1725">
        <v>0</v>
      </c>
      <c r="H1725" t="s">
        <v>2787</v>
      </c>
      <c r="I1725" s="2">
        <v>7000</v>
      </c>
    </row>
    <row r="1726" spans="1:9" x14ac:dyDescent="0.3">
      <c r="A1726" s="5">
        <v>9298</v>
      </c>
      <c r="B1726" s="5" t="s">
        <v>2788</v>
      </c>
      <c r="C1726" s="5">
        <v>2</v>
      </c>
      <c r="D1726" s="5" t="s">
        <v>261</v>
      </c>
      <c r="E1726" t="s">
        <v>2789</v>
      </c>
      <c r="F1726" t="s">
        <v>2790</v>
      </c>
      <c r="G1726">
        <v>0</v>
      </c>
      <c r="H1726" t="s">
        <v>265</v>
      </c>
      <c r="I1726" s="2">
        <v>6500</v>
      </c>
    </row>
    <row r="1727" spans="1:9" x14ac:dyDescent="0.3">
      <c r="A1727" s="5">
        <v>9298</v>
      </c>
      <c r="B1727" s="5" t="s">
        <v>2788</v>
      </c>
      <c r="C1727" s="5">
        <v>2</v>
      </c>
      <c r="D1727" s="5" t="s">
        <v>261</v>
      </c>
      <c r="E1727" t="s">
        <v>2789</v>
      </c>
      <c r="F1727" t="s">
        <v>2790</v>
      </c>
      <c r="G1727">
        <v>0</v>
      </c>
      <c r="H1727" t="s">
        <v>264</v>
      </c>
      <c r="I1727" s="2">
        <v>5000</v>
      </c>
    </row>
    <row r="1728" spans="1:9" x14ac:dyDescent="0.3">
      <c r="A1728" s="5">
        <v>9297</v>
      </c>
      <c r="B1728" s="5" t="s">
        <v>2791</v>
      </c>
      <c r="C1728" s="5">
        <v>1</v>
      </c>
      <c r="D1728" s="5" t="s">
        <v>10</v>
      </c>
      <c r="E1728" t="s">
        <v>2792</v>
      </c>
      <c r="F1728" t="s">
        <v>2793</v>
      </c>
      <c r="G1728">
        <v>0</v>
      </c>
      <c r="H1728" t="s">
        <v>259</v>
      </c>
      <c r="I1728" s="2">
        <v>7000</v>
      </c>
    </row>
    <row r="1729" spans="1:9" x14ac:dyDescent="0.3">
      <c r="A1729" s="5">
        <v>9296</v>
      </c>
      <c r="B1729" s="5" t="s">
        <v>2794</v>
      </c>
      <c r="C1729" s="5">
        <v>1</v>
      </c>
      <c r="D1729" s="5" t="s">
        <v>10</v>
      </c>
      <c r="E1729" t="s">
        <v>2795</v>
      </c>
      <c r="F1729" t="s">
        <v>2796</v>
      </c>
      <c r="G1729">
        <v>0</v>
      </c>
      <c r="H1729" t="s">
        <v>126</v>
      </c>
      <c r="I1729" s="2">
        <v>6000</v>
      </c>
    </row>
    <row r="1730" spans="1:9" x14ac:dyDescent="0.3">
      <c r="A1730" s="5">
        <v>9295</v>
      </c>
      <c r="B1730" s="5" t="s">
        <v>2797</v>
      </c>
      <c r="C1730" s="5">
        <v>1</v>
      </c>
      <c r="D1730" s="5" t="s">
        <v>10</v>
      </c>
      <c r="E1730" t="s">
        <v>2798</v>
      </c>
      <c r="F1730" t="s">
        <v>2799</v>
      </c>
      <c r="G1730">
        <v>0</v>
      </c>
      <c r="H1730" t="s">
        <v>35</v>
      </c>
      <c r="I1730" s="2">
        <v>7000</v>
      </c>
    </row>
    <row r="1731" spans="1:9" x14ac:dyDescent="0.3">
      <c r="A1731" s="5">
        <v>9295</v>
      </c>
      <c r="B1731" s="5" t="s">
        <v>2797</v>
      </c>
      <c r="C1731" s="5">
        <v>1</v>
      </c>
      <c r="D1731" s="5" t="s">
        <v>10</v>
      </c>
      <c r="E1731" t="s">
        <v>2798</v>
      </c>
      <c r="F1731" t="s">
        <v>2799</v>
      </c>
      <c r="G1731">
        <v>0</v>
      </c>
      <c r="H1731" t="s">
        <v>37</v>
      </c>
      <c r="I1731" s="2">
        <v>7000</v>
      </c>
    </row>
    <row r="1732" spans="1:9" x14ac:dyDescent="0.3">
      <c r="A1732" s="5">
        <v>9294</v>
      </c>
      <c r="B1732" s="5" t="s">
        <v>2800</v>
      </c>
      <c r="C1732" s="5">
        <v>1</v>
      </c>
      <c r="D1732" s="5" t="s">
        <v>10</v>
      </c>
      <c r="E1732" t="s">
        <v>2801</v>
      </c>
      <c r="F1732" t="s">
        <v>2802</v>
      </c>
      <c r="G1732">
        <v>0</v>
      </c>
      <c r="H1732" t="s">
        <v>1145</v>
      </c>
      <c r="I1732" s="2">
        <v>8000</v>
      </c>
    </row>
    <row r="1733" spans="1:9" x14ac:dyDescent="0.3">
      <c r="A1733" s="5">
        <v>9293</v>
      </c>
      <c r="B1733" s="5" t="s">
        <v>2803</v>
      </c>
      <c r="C1733" s="5">
        <v>1</v>
      </c>
      <c r="D1733" s="5" t="s">
        <v>10</v>
      </c>
      <c r="E1733" t="s">
        <v>2804</v>
      </c>
      <c r="F1733" t="s">
        <v>2805</v>
      </c>
      <c r="G1733">
        <v>0</v>
      </c>
      <c r="H1733" t="s">
        <v>2806</v>
      </c>
      <c r="I1733" s="2">
        <v>10000</v>
      </c>
    </row>
    <row r="1734" spans="1:9" x14ac:dyDescent="0.3">
      <c r="A1734" s="5">
        <v>9293</v>
      </c>
      <c r="B1734" s="5" t="s">
        <v>2803</v>
      </c>
      <c r="C1734" s="5">
        <v>1</v>
      </c>
      <c r="D1734" s="5" t="s">
        <v>10</v>
      </c>
      <c r="E1734" t="s">
        <v>2804</v>
      </c>
      <c r="F1734" t="s">
        <v>2805</v>
      </c>
      <c r="G1734">
        <v>0</v>
      </c>
      <c r="H1734" t="s">
        <v>2807</v>
      </c>
      <c r="I1734" s="2">
        <v>9000</v>
      </c>
    </row>
    <row r="1735" spans="1:9" x14ac:dyDescent="0.3">
      <c r="A1735" s="5">
        <v>9292</v>
      </c>
      <c r="B1735" s="5" t="s">
        <v>2808</v>
      </c>
      <c r="C1735" s="5">
        <v>1</v>
      </c>
      <c r="D1735" s="5" t="s">
        <v>10</v>
      </c>
      <c r="E1735" t="s">
        <v>2809</v>
      </c>
      <c r="F1735" t="s">
        <v>2810</v>
      </c>
      <c r="G1735">
        <v>0</v>
      </c>
      <c r="H1735" t="s">
        <v>409</v>
      </c>
      <c r="I1735" s="2">
        <v>7000</v>
      </c>
    </row>
    <row r="1736" spans="1:9" x14ac:dyDescent="0.3">
      <c r="A1736" s="5">
        <v>9291</v>
      </c>
      <c r="B1736" s="5" t="s">
        <v>2811</v>
      </c>
      <c r="C1736" s="5">
        <v>1</v>
      </c>
      <c r="D1736" s="5" t="s">
        <v>10</v>
      </c>
      <c r="E1736" t="s">
        <v>2812</v>
      </c>
      <c r="F1736" t="s">
        <v>2813</v>
      </c>
      <c r="G1736">
        <v>0</v>
      </c>
      <c r="H1736" t="s">
        <v>2814</v>
      </c>
      <c r="I1736" s="2">
        <v>6500</v>
      </c>
    </row>
    <row r="1737" spans="1:9" x14ac:dyDescent="0.3">
      <c r="A1737" s="5">
        <v>9290</v>
      </c>
      <c r="B1737" s="5" t="s">
        <v>2815</v>
      </c>
      <c r="C1737" s="5">
        <v>4</v>
      </c>
      <c r="D1737" s="5" t="s">
        <v>39</v>
      </c>
      <c r="E1737" t="s">
        <v>2816</v>
      </c>
      <c r="F1737" t="s">
        <v>2817</v>
      </c>
      <c r="G1737">
        <v>0</v>
      </c>
      <c r="H1737" t="s">
        <v>794</v>
      </c>
      <c r="I1737" s="2">
        <v>8000</v>
      </c>
    </row>
    <row r="1738" spans="1:9" x14ac:dyDescent="0.3">
      <c r="A1738" s="5">
        <v>9289</v>
      </c>
      <c r="B1738" s="5" t="s">
        <v>2818</v>
      </c>
      <c r="C1738" s="5">
        <v>1</v>
      </c>
      <c r="D1738" s="5" t="s">
        <v>10</v>
      </c>
      <c r="E1738" t="s">
        <v>2819</v>
      </c>
      <c r="F1738" t="s">
        <v>2820</v>
      </c>
      <c r="G1738">
        <v>0</v>
      </c>
      <c r="H1738" t="s">
        <v>126</v>
      </c>
      <c r="I1738" s="2">
        <v>8000</v>
      </c>
    </row>
    <row r="1739" spans="1:9" x14ac:dyDescent="0.3">
      <c r="A1739" s="5">
        <v>9289</v>
      </c>
      <c r="B1739" s="5" t="s">
        <v>2818</v>
      </c>
      <c r="C1739" s="5">
        <v>1</v>
      </c>
      <c r="D1739" s="5" t="s">
        <v>10</v>
      </c>
      <c r="E1739" t="s">
        <v>2819</v>
      </c>
      <c r="F1739" t="s">
        <v>2820</v>
      </c>
      <c r="G1739">
        <v>0</v>
      </c>
      <c r="H1739" t="s">
        <v>35</v>
      </c>
      <c r="I1739" s="2">
        <v>8000</v>
      </c>
    </row>
    <row r="1740" spans="1:9" x14ac:dyDescent="0.3">
      <c r="A1740" s="5">
        <v>9288</v>
      </c>
      <c r="B1740" s="5" t="s">
        <v>2821</v>
      </c>
      <c r="C1740" s="5">
        <v>1</v>
      </c>
      <c r="D1740" s="5" t="s">
        <v>10</v>
      </c>
      <c r="E1740" t="s">
        <v>2822</v>
      </c>
      <c r="F1740" t="s">
        <v>2823</v>
      </c>
      <c r="G1740">
        <v>0</v>
      </c>
      <c r="H1740" t="s">
        <v>2824</v>
      </c>
      <c r="I1740" s="2">
        <v>9000</v>
      </c>
    </row>
    <row r="1741" spans="1:9" x14ac:dyDescent="0.3">
      <c r="A1741" s="5">
        <v>9288</v>
      </c>
      <c r="B1741" s="5" t="s">
        <v>2821</v>
      </c>
      <c r="C1741" s="5">
        <v>1</v>
      </c>
      <c r="D1741" s="5" t="s">
        <v>10</v>
      </c>
      <c r="E1741" t="s">
        <v>2822</v>
      </c>
      <c r="F1741" t="s">
        <v>2823</v>
      </c>
      <c r="G1741">
        <v>0</v>
      </c>
      <c r="H1741" t="s">
        <v>2825</v>
      </c>
      <c r="I1741" s="2">
        <v>10000</v>
      </c>
    </row>
    <row r="1742" spans="1:9" x14ac:dyDescent="0.3">
      <c r="A1742" s="5">
        <v>9287</v>
      </c>
      <c r="B1742" s="5" t="s">
        <v>2826</v>
      </c>
      <c r="C1742" s="5">
        <v>1</v>
      </c>
      <c r="D1742" s="5" t="s">
        <v>10</v>
      </c>
      <c r="E1742" t="s">
        <v>2827</v>
      </c>
      <c r="F1742" t="s">
        <v>2828</v>
      </c>
      <c r="G1742">
        <v>0</v>
      </c>
      <c r="H1742" t="s">
        <v>2756</v>
      </c>
      <c r="I1742" s="2">
        <v>7900</v>
      </c>
    </row>
    <row r="1743" spans="1:9" x14ac:dyDescent="0.3">
      <c r="A1743" s="5">
        <v>9287</v>
      </c>
      <c r="B1743" s="5" t="s">
        <v>2826</v>
      </c>
      <c r="C1743" s="5">
        <v>1</v>
      </c>
      <c r="D1743" s="5" t="s">
        <v>10</v>
      </c>
      <c r="E1743" t="s">
        <v>2827</v>
      </c>
      <c r="F1743" t="s">
        <v>2828</v>
      </c>
      <c r="G1743">
        <v>0</v>
      </c>
      <c r="H1743" t="s">
        <v>2829</v>
      </c>
      <c r="I1743" s="2">
        <v>8000</v>
      </c>
    </row>
    <row r="1744" spans="1:9" x14ac:dyDescent="0.3">
      <c r="A1744" s="5">
        <v>9286</v>
      </c>
      <c r="B1744" s="5" t="s">
        <v>2830</v>
      </c>
      <c r="C1744" s="5">
        <v>1</v>
      </c>
      <c r="D1744" s="5" t="s">
        <v>10</v>
      </c>
      <c r="E1744" t="s">
        <v>2831</v>
      </c>
      <c r="F1744" t="s">
        <v>2832</v>
      </c>
      <c r="G1744">
        <v>0</v>
      </c>
      <c r="H1744" t="s">
        <v>1047</v>
      </c>
      <c r="I1744" s="2">
        <v>12000</v>
      </c>
    </row>
    <row r="1745" spans="1:9" x14ac:dyDescent="0.3">
      <c r="A1745" s="5">
        <v>9286</v>
      </c>
      <c r="B1745" s="5" t="s">
        <v>2830</v>
      </c>
      <c r="C1745" s="5">
        <v>1</v>
      </c>
      <c r="D1745" s="5" t="s">
        <v>10</v>
      </c>
      <c r="E1745" t="s">
        <v>2831</v>
      </c>
      <c r="F1745" t="s">
        <v>2832</v>
      </c>
      <c r="G1745">
        <v>0</v>
      </c>
      <c r="H1745" t="s">
        <v>126</v>
      </c>
      <c r="I1745" s="2">
        <v>6000</v>
      </c>
    </row>
    <row r="1746" spans="1:9" x14ac:dyDescent="0.3">
      <c r="A1746" s="5">
        <v>9285</v>
      </c>
      <c r="B1746" s="5" t="s">
        <v>2833</v>
      </c>
      <c r="C1746" s="5">
        <v>1</v>
      </c>
      <c r="D1746" s="5" t="s">
        <v>10</v>
      </c>
      <c r="E1746" t="s">
        <v>2834</v>
      </c>
      <c r="F1746" t="s">
        <v>2835</v>
      </c>
      <c r="G1746">
        <v>0</v>
      </c>
      <c r="H1746" t="s">
        <v>2836</v>
      </c>
      <c r="I1746" s="2">
        <v>7000</v>
      </c>
    </row>
    <row r="1747" spans="1:9" x14ac:dyDescent="0.3">
      <c r="A1747" s="5">
        <v>9285</v>
      </c>
      <c r="B1747" s="5" t="s">
        <v>2833</v>
      </c>
      <c r="C1747" s="5">
        <v>1</v>
      </c>
      <c r="D1747" s="5" t="s">
        <v>10</v>
      </c>
      <c r="E1747" t="s">
        <v>2834</v>
      </c>
      <c r="F1747" t="s">
        <v>2835</v>
      </c>
      <c r="G1747">
        <v>0</v>
      </c>
      <c r="H1747" t="s">
        <v>2837</v>
      </c>
      <c r="I1747" s="2">
        <v>6000</v>
      </c>
    </row>
    <row r="1748" spans="1:9" x14ac:dyDescent="0.3">
      <c r="A1748" s="5">
        <v>9284</v>
      </c>
      <c r="B1748" s="5" t="s">
        <v>2838</v>
      </c>
      <c r="C1748" s="5">
        <v>1</v>
      </c>
      <c r="D1748" s="5" t="s">
        <v>10</v>
      </c>
      <c r="E1748" t="s">
        <v>2839</v>
      </c>
      <c r="F1748" t="s">
        <v>2840</v>
      </c>
      <c r="G1748">
        <v>0</v>
      </c>
      <c r="H1748" t="s">
        <v>2841</v>
      </c>
      <c r="I1748" s="2">
        <v>14000</v>
      </c>
    </row>
    <row r="1749" spans="1:9" x14ac:dyDescent="0.3">
      <c r="A1749" s="5">
        <v>9284</v>
      </c>
      <c r="B1749" s="5" t="s">
        <v>2838</v>
      </c>
      <c r="C1749" s="5">
        <v>1</v>
      </c>
      <c r="D1749" s="5" t="s">
        <v>10</v>
      </c>
      <c r="E1749" t="s">
        <v>2839</v>
      </c>
      <c r="F1749" t="s">
        <v>2840</v>
      </c>
      <c r="G1749">
        <v>0</v>
      </c>
      <c r="H1749" t="s">
        <v>229</v>
      </c>
      <c r="I1749" s="2">
        <v>7000</v>
      </c>
    </row>
    <row r="1750" spans="1:9" x14ac:dyDescent="0.3">
      <c r="A1750" s="5">
        <v>9283</v>
      </c>
      <c r="B1750" s="5" t="s">
        <v>2842</v>
      </c>
      <c r="C1750" s="5">
        <v>5</v>
      </c>
      <c r="D1750" s="5" t="s">
        <v>63</v>
      </c>
      <c r="E1750" t="s">
        <v>2843</v>
      </c>
      <c r="F1750" t="s">
        <v>2844</v>
      </c>
      <c r="G1750">
        <v>0</v>
      </c>
      <c r="H1750" t="s">
        <v>67</v>
      </c>
      <c r="I1750" s="2">
        <v>7000</v>
      </c>
    </row>
    <row r="1751" spans="1:9" x14ac:dyDescent="0.3">
      <c r="A1751" s="5">
        <v>9283</v>
      </c>
      <c r="B1751" s="5" t="s">
        <v>2842</v>
      </c>
      <c r="C1751" s="5">
        <v>5</v>
      </c>
      <c r="D1751" s="5" t="s">
        <v>63</v>
      </c>
      <c r="E1751" t="s">
        <v>2843</v>
      </c>
      <c r="F1751" t="s">
        <v>2844</v>
      </c>
      <c r="G1751">
        <v>0</v>
      </c>
      <c r="H1751" t="s">
        <v>88</v>
      </c>
      <c r="I1751" s="2">
        <v>20000</v>
      </c>
    </row>
    <row r="1752" spans="1:9" x14ac:dyDescent="0.3">
      <c r="A1752" s="5">
        <v>9282</v>
      </c>
      <c r="B1752" s="5" t="s">
        <v>2845</v>
      </c>
      <c r="C1752" s="5">
        <v>1</v>
      </c>
      <c r="D1752" s="5" t="s">
        <v>10</v>
      </c>
      <c r="E1752" t="s">
        <v>2846</v>
      </c>
      <c r="F1752" t="s">
        <v>2847</v>
      </c>
      <c r="G1752">
        <v>0</v>
      </c>
      <c r="H1752" t="s">
        <v>259</v>
      </c>
      <c r="I1752" s="2">
        <v>6000</v>
      </c>
    </row>
    <row r="1753" spans="1:9" x14ac:dyDescent="0.3">
      <c r="A1753" s="5">
        <v>9281</v>
      </c>
      <c r="B1753" s="5" t="s">
        <v>2848</v>
      </c>
      <c r="C1753" s="5">
        <v>1</v>
      </c>
      <c r="D1753" s="5" t="s">
        <v>10</v>
      </c>
      <c r="E1753" t="s">
        <v>2849</v>
      </c>
      <c r="F1753" t="s">
        <v>2850</v>
      </c>
      <c r="G1753">
        <v>0</v>
      </c>
      <c r="H1753" t="s">
        <v>2851</v>
      </c>
      <c r="I1753" s="2">
        <v>10000</v>
      </c>
    </row>
    <row r="1754" spans="1:9" x14ac:dyDescent="0.3">
      <c r="A1754" s="5">
        <v>9281</v>
      </c>
      <c r="B1754" s="5" t="s">
        <v>2848</v>
      </c>
      <c r="C1754" s="5">
        <v>1</v>
      </c>
      <c r="D1754" s="5" t="s">
        <v>10</v>
      </c>
      <c r="E1754" t="s">
        <v>2849</v>
      </c>
      <c r="F1754" t="s">
        <v>2850</v>
      </c>
      <c r="G1754">
        <v>0</v>
      </c>
      <c r="H1754" t="s">
        <v>2852</v>
      </c>
      <c r="I1754" s="2">
        <v>7000</v>
      </c>
    </row>
    <row r="1755" spans="1:9" x14ac:dyDescent="0.3">
      <c r="A1755" s="5">
        <v>9281</v>
      </c>
      <c r="B1755" s="5" t="s">
        <v>2848</v>
      </c>
      <c r="C1755" s="5">
        <v>1</v>
      </c>
      <c r="D1755" s="5" t="s">
        <v>10</v>
      </c>
      <c r="E1755" t="s">
        <v>2849</v>
      </c>
      <c r="F1755" t="s">
        <v>2850</v>
      </c>
      <c r="G1755">
        <v>0</v>
      </c>
      <c r="H1755" t="s">
        <v>126</v>
      </c>
      <c r="I1755" s="2">
        <v>7000</v>
      </c>
    </row>
    <row r="1756" spans="1:9" x14ac:dyDescent="0.3">
      <c r="A1756" s="5">
        <v>9280</v>
      </c>
      <c r="B1756" s="5" t="s">
        <v>2853</v>
      </c>
      <c r="C1756" s="5">
        <v>1</v>
      </c>
      <c r="D1756" s="5" t="s">
        <v>10</v>
      </c>
      <c r="E1756" t="s">
        <v>2854</v>
      </c>
      <c r="F1756" t="s">
        <v>2855</v>
      </c>
      <c r="G1756">
        <v>0</v>
      </c>
      <c r="H1756" t="s">
        <v>2856</v>
      </c>
      <c r="I1756" s="2">
        <v>7000</v>
      </c>
    </row>
    <row r="1757" spans="1:9" x14ac:dyDescent="0.3">
      <c r="A1757" s="5">
        <v>9280</v>
      </c>
      <c r="B1757" s="5" t="s">
        <v>2853</v>
      </c>
      <c r="C1757" s="5">
        <v>1</v>
      </c>
      <c r="D1757" s="5" t="s">
        <v>10</v>
      </c>
      <c r="E1757" t="s">
        <v>2854</v>
      </c>
      <c r="F1757" t="s">
        <v>2855</v>
      </c>
      <c r="G1757">
        <v>0</v>
      </c>
      <c r="H1757" t="s">
        <v>2857</v>
      </c>
      <c r="I1757" s="2">
        <v>18000</v>
      </c>
    </row>
    <row r="1758" spans="1:9" x14ac:dyDescent="0.3">
      <c r="A1758" s="5">
        <v>9279</v>
      </c>
      <c r="B1758" s="5" t="s">
        <v>2858</v>
      </c>
      <c r="C1758" s="5">
        <v>1</v>
      </c>
      <c r="D1758" s="5" t="s">
        <v>10</v>
      </c>
      <c r="E1758" t="s">
        <v>2859</v>
      </c>
      <c r="F1758" t="s">
        <v>2860</v>
      </c>
      <c r="G1758">
        <v>0</v>
      </c>
      <c r="H1758" t="s">
        <v>126</v>
      </c>
      <c r="I1758" s="2">
        <v>7000</v>
      </c>
    </row>
    <row r="1759" spans="1:9" x14ac:dyDescent="0.3">
      <c r="A1759" s="5">
        <v>9279</v>
      </c>
      <c r="B1759" s="5" t="s">
        <v>2858</v>
      </c>
      <c r="C1759" s="5">
        <v>1</v>
      </c>
      <c r="D1759" s="5" t="s">
        <v>10</v>
      </c>
      <c r="E1759" t="s">
        <v>2859</v>
      </c>
      <c r="F1759" t="s">
        <v>2860</v>
      </c>
      <c r="G1759">
        <v>0</v>
      </c>
      <c r="H1759" t="s">
        <v>37</v>
      </c>
      <c r="I1759" s="2">
        <v>7000</v>
      </c>
    </row>
    <row r="1760" spans="1:9" x14ac:dyDescent="0.3">
      <c r="A1760" s="5">
        <v>9279</v>
      </c>
      <c r="B1760" s="5" t="s">
        <v>2858</v>
      </c>
      <c r="C1760" s="5">
        <v>1</v>
      </c>
      <c r="D1760" s="5" t="s">
        <v>10</v>
      </c>
      <c r="E1760" t="s">
        <v>2859</v>
      </c>
      <c r="F1760" t="s">
        <v>2860</v>
      </c>
      <c r="G1760">
        <v>0</v>
      </c>
      <c r="H1760" t="s">
        <v>139</v>
      </c>
      <c r="I1760" s="2">
        <v>7000</v>
      </c>
    </row>
    <row r="1761" spans="1:9" x14ac:dyDescent="0.3">
      <c r="A1761" s="5">
        <v>9278</v>
      </c>
      <c r="B1761" s="5" t="s">
        <v>2861</v>
      </c>
      <c r="C1761" s="5">
        <v>1</v>
      </c>
      <c r="D1761" s="5" t="s">
        <v>10</v>
      </c>
      <c r="E1761" t="s">
        <v>2862</v>
      </c>
      <c r="F1761" t="s">
        <v>816</v>
      </c>
      <c r="G1761">
        <v>0</v>
      </c>
      <c r="H1761" t="s">
        <v>126</v>
      </c>
      <c r="I1761" s="2">
        <v>6900</v>
      </c>
    </row>
    <row r="1762" spans="1:9" x14ac:dyDescent="0.3">
      <c r="A1762" s="5">
        <v>9278</v>
      </c>
      <c r="B1762" s="5" t="s">
        <v>2861</v>
      </c>
      <c r="C1762" s="5">
        <v>1</v>
      </c>
      <c r="D1762" s="5" t="s">
        <v>10</v>
      </c>
      <c r="E1762" t="s">
        <v>2862</v>
      </c>
      <c r="F1762" t="s">
        <v>816</v>
      </c>
      <c r="G1762">
        <v>0</v>
      </c>
      <c r="H1762" t="s">
        <v>133</v>
      </c>
      <c r="I1762" s="2">
        <v>4900</v>
      </c>
    </row>
    <row r="1763" spans="1:9" x14ac:dyDescent="0.3">
      <c r="A1763" s="5">
        <v>9278</v>
      </c>
      <c r="B1763" s="5" t="s">
        <v>2861</v>
      </c>
      <c r="C1763" s="5">
        <v>1</v>
      </c>
      <c r="D1763" s="5" t="s">
        <v>10</v>
      </c>
      <c r="E1763" t="s">
        <v>2862</v>
      </c>
      <c r="F1763" t="s">
        <v>816</v>
      </c>
      <c r="G1763">
        <v>0</v>
      </c>
      <c r="H1763" t="s">
        <v>35</v>
      </c>
      <c r="I1763" s="2">
        <v>5900</v>
      </c>
    </row>
    <row r="1764" spans="1:9" x14ac:dyDescent="0.3">
      <c r="A1764" s="5">
        <v>9278</v>
      </c>
      <c r="B1764" s="5" t="s">
        <v>2861</v>
      </c>
      <c r="C1764" s="5">
        <v>1</v>
      </c>
      <c r="D1764" s="5" t="s">
        <v>10</v>
      </c>
      <c r="E1764" t="s">
        <v>2862</v>
      </c>
      <c r="F1764" t="s">
        <v>816</v>
      </c>
      <c r="G1764">
        <v>0</v>
      </c>
      <c r="H1764" t="s">
        <v>37</v>
      </c>
      <c r="I1764" s="2">
        <v>5900</v>
      </c>
    </row>
    <row r="1765" spans="1:9" x14ac:dyDescent="0.3">
      <c r="A1765" s="5">
        <v>9277</v>
      </c>
      <c r="B1765" s="5" t="s">
        <v>2863</v>
      </c>
      <c r="C1765" s="5">
        <v>1</v>
      </c>
      <c r="D1765" s="5" t="s">
        <v>10</v>
      </c>
      <c r="E1765" t="s">
        <v>2864</v>
      </c>
      <c r="F1765" t="s">
        <v>2865</v>
      </c>
      <c r="G1765">
        <v>0</v>
      </c>
      <c r="H1765" t="s">
        <v>934</v>
      </c>
      <c r="I1765" s="2">
        <v>6000</v>
      </c>
    </row>
    <row r="1766" spans="1:9" x14ac:dyDescent="0.3">
      <c r="A1766" s="5">
        <v>9277</v>
      </c>
      <c r="B1766" s="5" t="s">
        <v>2863</v>
      </c>
      <c r="C1766" s="5">
        <v>1</v>
      </c>
      <c r="D1766" s="5" t="s">
        <v>10</v>
      </c>
      <c r="E1766" t="s">
        <v>2864</v>
      </c>
      <c r="F1766" t="s">
        <v>2865</v>
      </c>
      <c r="G1766">
        <v>0</v>
      </c>
      <c r="H1766" t="s">
        <v>169</v>
      </c>
      <c r="I1766" s="2">
        <v>4000</v>
      </c>
    </row>
    <row r="1767" spans="1:9" x14ac:dyDescent="0.3">
      <c r="A1767" s="5">
        <v>9277</v>
      </c>
      <c r="B1767" s="5" t="s">
        <v>2863</v>
      </c>
      <c r="C1767" s="5">
        <v>1</v>
      </c>
      <c r="D1767" s="5" t="s">
        <v>10</v>
      </c>
      <c r="E1767" t="s">
        <v>2864</v>
      </c>
      <c r="F1767" t="s">
        <v>2865</v>
      </c>
      <c r="G1767">
        <v>0</v>
      </c>
      <c r="H1767" t="s">
        <v>934</v>
      </c>
      <c r="I1767" s="2">
        <v>5000</v>
      </c>
    </row>
    <row r="1768" spans="1:9" x14ac:dyDescent="0.3">
      <c r="A1768" s="5">
        <v>9276</v>
      </c>
      <c r="B1768" s="5" t="s">
        <v>877</v>
      </c>
      <c r="C1768" s="5">
        <v>1</v>
      </c>
      <c r="D1768" s="5" t="s">
        <v>10</v>
      </c>
      <c r="E1768" t="s">
        <v>2866</v>
      </c>
      <c r="F1768" t="s">
        <v>2867</v>
      </c>
      <c r="G1768">
        <v>0</v>
      </c>
      <c r="H1768" t="s">
        <v>149</v>
      </c>
      <c r="I1768" s="2">
        <v>6000</v>
      </c>
    </row>
    <row r="1769" spans="1:9" x14ac:dyDescent="0.3">
      <c r="A1769" s="5">
        <v>9276</v>
      </c>
      <c r="B1769" s="5" t="s">
        <v>877</v>
      </c>
      <c r="C1769" s="5">
        <v>1</v>
      </c>
      <c r="D1769" s="5" t="s">
        <v>10</v>
      </c>
      <c r="E1769" t="s">
        <v>2866</v>
      </c>
      <c r="F1769" t="s">
        <v>2867</v>
      </c>
      <c r="G1769">
        <v>0</v>
      </c>
      <c r="H1769" t="s">
        <v>126</v>
      </c>
      <c r="I1769" s="2">
        <v>6000</v>
      </c>
    </row>
    <row r="1770" spans="1:9" x14ac:dyDescent="0.3">
      <c r="A1770" s="5">
        <v>9276</v>
      </c>
      <c r="B1770" s="5" t="s">
        <v>877</v>
      </c>
      <c r="C1770" s="5">
        <v>1</v>
      </c>
      <c r="D1770" s="5" t="s">
        <v>10</v>
      </c>
      <c r="E1770" t="s">
        <v>2866</v>
      </c>
      <c r="F1770" t="s">
        <v>2867</v>
      </c>
      <c r="G1770">
        <v>0</v>
      </c>
      <c r="H1770" t="s">
        <v>139</v>
      </c>
      <c r="I1770" s="2">
        <v>5000</v>
      </c>
    </row>
    <row r="1771" spans="1:9" x14ac:dyDescent="0.3">
      <c r="A1771" s="5">
        <v>9275</v>
      </c>
      <c r="B1771" s="5" t="s">
        <v>2868</v>
      </c>
      <c r="C1771" s="5">
        <v>4</v>
      </c>
      <c r="D1771" s="5" t="s">
        <v>39</v>
      </c>
      <c r="E1771" t="s">
        <v>2869</v>
      </c>
      <c r="F1771" t="s">
        <v>2870</v>
      </c>
      <c r="G1771">
        <v>0</v>
      </c>
      <c r="H1771" t="s">
        <v>342</v>
      </c>
      <c r="I1771" s="2">
        <v>2700</v>
      </c>
    </row>
    <row r="1772" spans="1:9" x14ac:dyDescent="0.3">
      <c r="A1772" s="5">
        <v>9275</v>
      </c>
      <c r="B1772" s="5" t="s">
        <v>2868</v>
      </c>
      <c r="C1772" s="5">
        <v>4</v>
      </c>
      <c r="D1772" s="5" t="s">
        <v>39</v>
      </c>
      <c r="E1772" t="s">
        <v>2869</v>
      </c>
      <c r="F1772" t="s">
        <v>2870</v>
      </c>
      <c r="G1772">
        <v>0</v>
      </c>
      <c r="H1772" t="s">
        <v>205</v>
      </c>
      <c r="I1772" s="2">
        <v>1900</v>
      </c>
    </row>
    <row r="1773" spans="1:9" x14ac:dyDescent="0.3">
      <c r="A1773" s="5">
        <v>9274</v>
      </c>
      <c r="B1773" s="5" t="s">
        <v>2871</v>
      </c>
      <c r="C1773" s="5">
        <v>1</v>
      </c>
      <c r="D1773" s="5" t="s">
        <v>10</v>
      </c>
      <c r="E1773" t="s">
        <v>2872</v>
      </c>
      <c r="F1773" t="s">
        <v>2873</v>
      </c>
      <c r="G1773">
        <v>0</v>
      </c>
      <c r="H1773" t="s">
        <v>2874</v>
      </c>
      <c r="I1773" s="2">
        <v>7900</v>
      </c>
    </row>
    <row r="1774" spans="1:9" x14ac:dyDescent="0.3">
      <c r="A1774" s="5">
        <v>9274</v>
      </c>
      <c r="B1774" s="5" t="s">
        <v>2871</v>
      </c>
      <c r="C1774" s="5">
        <v>1</v>
      </c>
      <c r="D1774" s="5" t="s">
        <v>10</v>
      </c>
      <c r="E1774" t="s">
        <v>2872</v>
      </c>
      <c r="F1774" t="s">
        <v>2873</v>
      </c>
      <c r="G1774">
        <v>0</v>
      </c>
      <c r="H1774" t="s">
        <v>217</v>
      </c>
      <c r="I1774" s="2">
        <v>8900</v>
      </c>
    </row>
    <row r="1775" spans="1:9" x14ac:dyDescent="0.3">
      <c r="A1775" s="5">
        <v>9273</v>
      </c>
      <c r="B1775" s="5" t="s">
        <v>2875</v>
      </c>
      <c r="C1775" s="5">
        <v>1</v>
      </c>
      <c r="D1775" s="5" t="s">
        <v>10</v>
      </c>
      <c r="E1775" t="s">
        <v>2876</v>
      </c>
      <c r="F1775" t="s">
        <v>2877</v>
      </c>
      <c r="G1775">
        <v>0</v>
      </c>
      <c r="H1775" t="s">
        <v>126</v>
      </c>
      <c r="I1775" s="2">
        <v>9000</v>
      </c>
    </row>
    <row r="1776" spans="1:9" x14ac:dyDescent="0.3">
      <c r="A1776" s="5">
        <v>9273</v>
      </c>
      <c r="B1776" s="5" t="s">
        <v>2875</v>
      </c>
      <c r="C1776" s="5">
        <v>1</v>
      </c>
      <c r="D1776" s="5" t="s">
        <v>10</v>
      </c>
      <c r="E1776" t="s">
        <v>2876</v>
      </c>
      <c r="F1776" t="s">
        <v>2877</v>
      </c>
      <c r="G1776">
        <v>0</v>
      </c>
      <c r="H1776" t="s">
        <v>13</v>
      </c>
      <c r="I1776" s="2">
        <v>14000</v>
      </c>
    </row>
    <row r="1777" spans="1:9" x14ac:dyDescent="0.3">
      <c r="A1777" s="5">
        <v>9272</v>
      </c>
      <c r="B1777" s="5" t="s">
        <v>2878</v>
      </c>
      <c r="C1777" s="5">
        <v>8</v>
      </c>
      <c r="D1777" s="5" t="s">
        <v>2879</v>
      </c>
      <c r="E1777" t="s">
        <v>2880</v>
      </c>
      <c r="F1777" t="s">
        <v>2881</v>
      </c>
      <c r="G1777">
        <v>0</v>
      </c>
      <c r="H1777" t="s">
        <v>2882</v>
      </c>
      <c r="I1777" s="2">
        <v>40000</v>
      </c>
    </row>
    <row r="1778" spans="1:9" x14ac:dyDescent="0.3">
      <c r="A1778" s="5">
        <v>9271</v>
      </c>
      <c r="B1778" s="5" t="s">
        <v>2883</v>
      </c>
      <c r="C1778" s="5">
        <v>13</v>
      </c>
      <c r="D1778" s="5" t="s">
        <v>27</v>
      </c>
      <c r="E1778" t="s">
        <v>2884</v>
      </c>
      <c r="F1778" t="s">
        <v>2885</v>
      </c>
      <c r="G1778">
        <v>0</v>
      </c>
      <c r="H1778" t="s">
        <v>2886</v>
      </c>
      <c r="I1778" s="2">
        <v>40000</v>
      </c>
    </row>
    <row r="1779" spans="1:9" x14ac:dyDescent="0.3">
      <c r="A1779" s="5">
        <v>9271</v>
      </c>
      <c r="B1779" s="5" t="s">
        <v>2883</v>
      </c>
      <c r="C1779" s="5">
        <v>13</v>
      </c>
      <c r="D1779" s="5" t="s">
        <v>27</v>
      </c>
      <c r="E1779" t="s">
        <v>2884</v>
      </c>
      <c r="F1779" t="s">
        <v>2885</v>
      </c>
      <c r="G1779">
        <v>0</v>
      </c>
      <c r="H1779" t="s">
        <v>2887</v>
      </c>
      <c r="I1779" s="2">
        <v>40000</v>
      </c>
    </row>
    <row r="1780" spans="1:9" x14ac:dyDescent="0.3">
      <c r="A1780" s="5">
        <v>9270</v>
      </c>
      <c r="B1780" s="5" t="s">
        <v>2888</v>
      </c>
      <c r="C1780" s="5">
        <v>4</v>
      </c>
      <c r="D1780" s="5" t="s">
        <v>39</v>
      </c>
      <c r="E1780" t="s">
        <v>2889</v>
      </c>
      <c r="F1780" t="s">
        <v>2890</v>
      </c>
      <c r="G1780">
        <v>0</v>
      </c>
      <c r="H1780" t="s">
        <v>205</v>
      </c>
      <c r="I1780" s="2">
        <v>2500</v>
      </c>
    </row>
    <row r="1781" spans="1:9" x14ac:dyDescent="0.3">
      <c r="A1781" s="5">
        <v>9270</v>
      </c>
      <c r="B1781" s="5" t="s">
        <v>2888</v>
      </c>
      <c r="C1781" s="5">
        <v>4</v>
      </c>
      <c r="D1781" s="5" t="s">
        <v>39</v>
      </c>
      <c r="E1781" t="s">
        <v>2889</v>
      </c>
      <c r="F1781" t="s">
        <v>2890</v>
      </c>
      <c r="G1781">
        <v>0</v>
      </c>
      <c r="H1781" t="s">
        <v>342</v>
      </c>
      <c r="I1781" s="2">
        <v>2500</v>
      </c>
    </row>
    <row r="1782" spans="1:9" x14ac:dyDescent="0.3">
      <c r="A1782" s="5">
        <v>9269</v>
      </c>
      <c r="B1782" s="5" t="s">
        <v>2891</v>
      </c>
      <c r="C1782" s="5">
        <v>5</v>
      </c>
      <c r="D1782" s="5" t="s">
        <v>63</v>
      </c>
      <c r="E1782" t="s">
        <v>2892</v>
      </c>
      <c r="F1782" t="s">
        <v>2893</v>
      </c>
      <c r="G1782">
        <v>0</v>
      </c>
      <c r="H1782" t="s">
        <v>67</v>
      </c>
      <c r="I1782" s="2">
        <v>10000</v>
      </c>
    </row>
    <row r="1783" spans="1:9" x14ac:dyDescent="0.3">
      <c r="A1783" s="5">
        <v>9269</v>
      </c>
      <c r="B1783" s="5" t="s">
        <v>2891</v>
      </c>
      <c r="C1783" s="5">
        <v>5</v>
      </c>
      <c r="D1783" s="5" t="s">
        <v>63</v>
      </c>
      <c r="E1783" t="s">
        <v>2892</v>
      </c>
      <c r="F1783" t="s">
        <v>2893</v>
      </c>
      <c r="G1783">
        <v>0</v>
      </c>
      <c r="H1783" t="s">
        <v>88</v>
      </c>
      <c r="I1783" s="2">
        <v>25000</v>
      </c>
    </row>
    <row r="1784" spans="1:9" x14ac:dyDescent="0.3">
      <c r="A1784" s="5">
        <v>9268</v>
      </c>
      <c r="B1784" s="5" t="s">
        <v>2894</v>
      </c>
      <c r="C1784" s="5">
        <v>1</v>
      </c>
      <c r="D1784" s="5" t="s">
        <v>10</v>
      </c>
      <c r="E1784" t="s">
        <v>2895</v>
      </c>
      <c r="F1784" t="s">
        <v>2896</v>
      </c>
      <c r="G1784">
        <v>0</v>
      </c>
      <c r="H1784" t="s">
        <v>337</v>
      </c>
      <c r="I1784" s="2">
        <v>4000</v>
      </c>
    </row>
    <row r="1785" spans="1:9" x14ac:dyDescent="0.3">
      <c r="A1785" s="5">
        <v>9268</v>
      </c>
      <c r="B1785" s="5" t="s">
        <v>2894</v>
      </c>
      <c r="C1785" s="5">
        <v>1</v>
      </c>
      <c r="D1785" s="5" t="s">
        <v>10</v>
      </c>
      <c r="E1785" t="s">
        <v>2895</v>
      </c>
      <c r="F1785" t="s">
        <v>2896</v>
      </c>
      <c r="G1785">
        <v>0</v>
      </c>
      <c r="H1785" t="s">
        <v>145</v>
      </c>
      <c r="I1785" s="2">
        <v>5000</v>
      </c>
    </row>
    <row r="1786" spans="1:9" x14ac:dyDescent="0.3">
      <c r="A1786" s="5">
        <v>9268</v>
      </c>
      <c r="B1786" s="5" t="s">
        <v>2894</v>
      </c>
      <c r="C1786" s="5">
        <v>1</v>
      </c>
      <c r="D1786" s="5" t="s">
        <v>10</v>
      </c>
      <c r="E1786" t="s">
        <v>2895</v>
      </c>
      <c r="F1786" t="s">
        <v>2896</v>
      </c>
      <c r="G1786">
        <v>0</v>
      </c>
      <c r="H1786" t="s">
        <v>2897</v>
      </c>
      <c r="I1786" s="2">
        <v>4500</v>
      </c>
    </row>
    <row r="1787" spans="1:9" x14ac:dyDescent="0.3">
      <c r="A1787" s="5">
        <v>9267</v>
      </c>
      <c r="B1787" s="5" t="s">
        <v>2898</v>
      </c>
      <c r="C1787" s="5">
        <v>2</v>
      </c>
      <c r="D1787" s="5" t="s">
        <v>261</v>
      </c>
      <c r="E1787" t="s">
        <v>2899</v>
      </c>
      <c r="F1787" t="s">
        <v>2900</v>
      </c>
      <c r="G1787">
        <v>0</v>
      </c>
      <c r="H1787" t="s">
        <v>265</v>
      </c>
      <c r="I1787" s="2">
        <v>6000</v>
      </c>
    </row>
    <row r="1788" spans="1:9" x14ac:dyDescent="0.3">
      <c r="A1788" s="5">
        <v>9267</v>
      </c>
      <c r="B1788" s="5" t="s">
        <v>2898</v>
      </c>
      <c r="C1788" s="5">
        <v>2</v>
      </c>
      <c r="D1788" s="5" t="s">
        <v>261</v>
      </c>
      <c r="E1788" t="s">
        <v>2899</v>
      </c>
      <c r="F1788" t="s">
        <v>2900</v>
      </c>
      <c r="G1788">
        <v>0</v>
      </c>
      <c r="H1788" t="s">
        <v>264</v>
      </c>
      <c r="I1788" s="2">
        <v>5000</v>
      </c>
    </row>
    <row r="1789" spans="1:9" x14ac:dyDescent="0.3">
      <c r="A1789" s="5">
        <v>9266</v>
      </c>
      <c r="B1789" s="5" t="s">
        <v>2901</v>
      </c>
      <c r="C1789" s="5">
        <v>4</v>
      </c>
      <c r="D1789" s="5" t="s">
        <v>39</v>
      </c>
      <c r="E1789" t="s">
        <v>2902</v>
      </c>
      <c r="F1789" t="s">
        <v>2903</v>
      </c>
      <c r="G1789">
        <v>0</v>
      </c>
      <c r="H1789" t="s">
        <v>205</v>
      </c>
      <c r="I1789" s="2">
        <v>3000</v>
      </c>
    </row>
    <row r="1790" spans="1:9" x14ac:dyDescent="0.3">
      <c r="A1790" s="5">
        <v>9266</v>
      </c>
      <c r="B1790" s="5" t="s">
        <v>2901</v>
      </c>
      <c r="C1790" s="5">
        <v>4</v>
      </c>
      <c r="D1790" s="5" t="s">
        <v>39</v>
      </c>
      <c r="E1790" t="s">
        <v>2902</v>
      </c>
      <c r="F1790" t="s">
        <v>2903</v>
      </c>
      <c r="G1790">
        <v>0</v>
      </c>
      <c r="H1790" t="s">
        <v>342</v>
      </c>
      <c r="I1790" s="2">
        <v>3500</v>
      </c>
    </row>
    <row r="1791" spans="1:9" x14ac:dyDescent="0.3">
      <c r="A1791" s="5">
        <v>9265</v>
      </c>
      <c r="B1791" s="5" t="s">
        <v>2904</v>
      </c>
      <c r="C1791" s="5">
        <v>4</v>
      </c>
      <c r="D1791" s="5" t="s">
        <v>39</v>
      </c>
      <c r="E1791" t="s">
        <v>2905</v>
      </c>
      <c r="F1791" t="s">
        <v>2906</v>
      </c>
      <c r="G1791">
        <v>0</v>
      </c>
      <c r="H1791" t="s">
        <v>205</v>
      </c>
      <c r="I1791" s="2">
        <v>2000</v>
      </c>
    </row>
    <row r="1792" spans="1:9" x14ac:dyDescent="0.3">
      <c r="A1792" s="5">
        <v>9265</v>
      </c>
      <c r="B1792" s="5" t="s">
        <v>2904</v>
      </c>
      <c r="C1792" s="5">
        <v>4</v>
      </c>
      <c r="D1792" s="5" t="s">
        <v>39</v>
      </c>
      <c r="E1792" t="s">
        <v>2905</v>
      </c>
      <c r="F1792" t="s">
        <v>2906</v>
      </c>
      <c r="G1792">
        <v>0</v>
      </c>
      <c r="H1792" t="s">
        <v>342</v>
      </c>
      <c r="I1792" s="2">
        <v>3500</v>
      </c>
    </row>
    <row r="1793" spans="1:9" x14ac:dyDescent="0.3">
      <c r="A1793" s="5">
        <v>9264</v>
      </c>
      <c r="B1793" s="5" t="s">
        <v>2907</v>
      </c>
      <c r="C1793" s="5">
        <v>1</v>
      </c>
      <c r="D1793" s="5" t="s">
        <v>10</v>
      </c>
      <c r="E1793" t="s">
        <v>2908</v>
      </c>
      <c r="F1793" t="s">
        <v>2909</v>
      </c>
      <c r="G1793">
        <v>0</v>
      </c>
      <c r="H1793" t="s">
        <v>2910</v>
      </c>
      <c r="I1793" s="2">
        <v>3500</v>
      </c>
    </row>
    <row r="1794" spans="1:9" x14ac:dyDescent="0.3">
      <c r="A1794" s="5">
        <v>9264</v>
      </c>
      <c r="B1794" s="5" t="s">
        <v>2907</v>
      </c>
      <c r="C1794" s="5">
        <v>1</v>
      </c>
      <c r="D1794" s="5" t="s">
        <v>10</v>
      </c>
      <c r="E1794" t="s">
        <v>2908</v>
      </c>
      <c r="F1794" t="s">
        <v>2909</v>
      </c>
      <c r="G1794">
        <v>0</v>
      </c>
      <c r="H1794" t="s">
        <v>374</v>
      </c>
      <c r="I1794" s="2">
        <v>3500</v>
      </c>
    </row>
    <row r="1795" spans="1:9" x14ac:dyDescent="0.3">
      <c r="A1795" s="5">
        <v>9264</v>
      </c>
      <c r="B1795" s="5" t="s">
        <v>2907</v>
      </c>
      <c r="C1795" s="5">
        <v>1</v>
      </c>
      <c r="D1795" s="5" t="s">
        <v>10</v>
      </c>
      <c r="E1795" t="s">
        <v>2908</v>
      </c>
      <c r="F1795" t="s">
        <v>2909</v>
      </c>
      <c r="G1795">
        <v>0</v>
      </c>
      <c r="H1795" t="s">
        <v>1042</v>
      </c>
      <c r="I1795" s="2">
        <v>6000</v>
      </c>
    </row>
    <row r="1796" spans="1:9" x14ac:dyDescent="0.3">
      <c r="A1796" s="5">
        <v>9263</v>
      </c>
      <c r="B1796" s="5" t="s">
        <v>2911</v>
      </c>
      <c r="C1796" s="5">
        <v>5</v>
      </c>
      <c r="D1796" s="5" t="s">
        <v>63</v>
      </c>
      <c r="E1796" t="s">
        <v>2912</v>
      </c>
      <c r="F1796" t="s">
        <v>2913</v>
      </c>
      <c r="G1796">
        <v>0</v>
      </c>
      <c r="H1796" t="s">
        <v>88</v>
      </c>
      <c r="I1796" s="2">
        <v>30000</v>
      </c>
    </row>
    <row r="1797" spans="1:9" x14ac:dyDescent="0.3">
      <c r="A1797" s="5">
        <v>9263</v>
      </c>
      <c r="B1797" s="5" t="s">
        <v>2911</v>
      </c>
      <c r="C1797" s="5">
        <v>5</v>
      </c>
      <c r="D1797" s="5" t="s">
        <v>63</v>
      </c>
      <c r="E1797" t="s">
        <v>2912</v>
      </c>
      <c r="F1797" t="s">
        <v>2913</v>
      </c>
      <c r="G1797">
        <v>0</v>
      </c>
      <c r="H1797" t="s">
        <v>67</v>
      </c>
      <c r="I1797" s="2">
        <v>10000</v>
      </c>
    </row>
    <row r="1798" spans="1:9" x14ac:dyDescent="0.3">
      <c r="A1798" s="5">
        <v>9261</v>
      </c>
      <c r="B1798" s="5" t="s">
        <v>2914</v>
      </c>
      <c r="C1798" s="5">
        <v>1</v>
      </c>
      <c r="D1798" s="5" t="s">
        <v>10</v>
      </c>
      <c r="E1798" t="s">
        <v>2915</v>
      </c>
      <c r="F1798" t="s">
        <v>2916</v>
      </c>
      <c r="G1798">
        <v>0</v>
      </c>
      <c r="H1798" t="s">
        <v>126</v>
      </c>
      <c r="I1798" s="2">
        <v>7000</v>
      </c>
    </row>
    <row r="1799" spans="1:9" x14ac:dyDescent="0.3">
      <c r="A1799" s="5">
        <v>9261</v>
      </c>
      <c r="B1799" s="5" t="s">
        <v>2914</v>
      </c>
      <c r="C1799" s="5">
        <v>1</v>
      </c>
      <c r="D1799" s="5" t="s">
        <v>10</v>
      </c>
      <c r="E1799" t="s">
        <v>2915</v>
      </c>
      <c r="F1799" t="s">
        <v>2916</v>
      </c>
      <c r="G1799">
        <v>0</v>
      </c>
      <c r="H1799" t="s">
        <v>139</v>
      </c>
      <c r="I1799" s="2">
        <v>7000</v>
      </c>
    </row>
    <row r="1800" spans="1:9" x14ac:dyDescent="0.3">
      <c r="A1800" s="5">
        <v>9260</v>
      </c>
      <c r="B1800" s="5" t="s">
        <v>2917</v>
      </c>
      <c r="C1800" s="5">
        <v>5</v>
      </c>
      <c r="D1800" s="5" t="s">
        <v>63</v>
      </c>
      <c r="E1800" t="s">
        <v>2918</v>
      </c>
      <c r="F1800" t="s">
        <v>2919</v>
      </c>
      <c r="G1800">
        <v>0</v>
      </c>
      <c r="H1800" t="s">
        <v>2920</v>
      </c>
      <c r="I1800" s="2">
        <v>20000</v>
      </c>
    </row>
    <row r="1801" spans="1:9" x14ac:dyDescent="0.3">
      <c r="A1801" s="5">
        <v>9260</v>
      </c>
      <c r="B1801" s="5" t="s">
        <v>2917</v>
      </c>
      <c r="C1801" s="5">
        <v>5</v>
      </c>
      <c r="D1801" s="5" t="s">
        <v>63</v>
      </c>
      <c r="E1801" t="s">
        <v>2918</v>
      </c>
      <c r="F1801" t="s">
        <v>2919</v>
      </c>
      <c r="G1801">
        <v>0</v>
      </c>
      <c r="H1801" t="s">
        <v>1105</v>
      </c>
      <c r="I1801" s="2">
        <v>7000</v>
      </c>
    </row>
    <row r="1802" spans="1:9" x14ac:dyDescent="0.3">
      <c r="A1802" s="5">
        <v>9259</v>
      </c>
      <c r="B1802" s="5" t="s">
        <v>2921</v>
      </c>
      <c r="C1802" s="5">
        <v>5</v>
      </c>
      <c r="D1802" s="5" t="s">
        <v>63</v>
      </c>
      <c r="E1802" t="s">
        <v>2922</v>
      </c>
      <c r="F1802" t="s">
        <v>2923</v>
      </c>
      <c r="G1802">
        <v>0</v>
      </c>
      <c r="H1802" t="s">
        <v>2920</v>
      </c>
      <c r="I1802" s="2">
        <v>30000</v>
      </c>
    </row>
    <row r="1803" spans="1:9" x14ac:dyDescent="0.3">
      <c r="A1803" s="5">
        <v>9259</v>
      </c>
      <c r="B1803" s="5" t="s">
        <v>2921</v>
      </c>
      <c r="C1803" s="5">
        <v>5</v>
      </c>
      <c r="D1803" s="5" t="s">
        <v>63</v>
      </c>
      <c r="E1803" t="s">
        <v>2922</v>
      </c>
      <c r="F1803" t="s">
        <v>2923</v>
      </c>
      <c r="G1803">
        <v>0</v>
      </c>
      <c r="H1803" t="s">
        <v>1105</v>
      </c>
      <c r="I1803" s="2">
        <v>7000</v>
      </c>
    </row>
    <row r="1804" spans="1:9" x14ac:dyDescent="0.3">
      <c r="A1804" s="5">
        <v>9258</v>
      </c>
      <c r="B1804" s="5" t="s">
        <v>2924</v>
      </c>
      <c r="C1804" s="5">
        <v>5</v>
      </c>
      <c r="D1804" s="5" t="s">
        <v>63</v>
      </c>
      <c r="E1804" t="s">
        <v>2925</v>
      </c>
      <c r="G1804">
        <v>0</v>
      </c>
      <c r="H1804" t="s">
        <v>563</v>
      </c>
      <c r="I1804" s="2">
        <v>5000</v>
      </c>
    </row>
    <row r="1805" spans="1:9" x14ac:dyDescent="0.3">
      <c r="A1805" s="5">
        <v>9258</v>
      </c>
      <c r="B1805" s="5" t="s">
        <v>2924</v>
      </c>
      <c r="C1805" s="5">
        <v>5</v>
      </c>
      <c r="D1805" s="5" t="s">
        <v>63</v>
      </c>
      <c r="E1805" t="s">
        <v>2925</v>
      </c>
      <c r="G1805">
        <v>0</v>
      </c>
      <c r="H1805" t="s">
        <v>2926</v>
      </c>
      <c r="I1805" s="2">
        <v>3000</v>
      </c>
    </row>
    <row r="1806" spans="1:9" x14ac:dyDescent="0.3">
      <c r="A1806" s="5">
        <v>9257</v>
      </c>
      <c r="B1806" s="5" t="s">
        <v>2927</v>
      </c>
      <c r="C1806" s="5">
        <v>5</v>
      </c>
      <c r="D1806" s="5" t="s">
        <v>63</v>
      </c>
      <c r="E1806" t="s">
        <v>2928</v>
      </c>
      <c r="G1806">
        <v>0</v>
      </c>
      <c r="H1806" t="s">
        <v>88</v>
      </c>
      <c r="I1806" s="2">
        <v>20000</v>
      </c>
    </row>
    <row r="1807" spans="1:9" x14ac:dyDescent="0.3">
      <c r="A1807" s="5">
        <v>9257</v>
      </c>
      <c r="B1807" s="5" t="s">
        <v>2927</v>
      </c>
      <c r="C1807" s="5">
        <v>5</v>
      </c>
      <c r="D1807" s="5" t="s">
        <v>63</v>
      </c>
      <c r="E1807" t="s">
        <v>2928</v>
      </c>
      <c r="G1807">
        <v>0</v>
      </c>
      <c r="H1807" t="s">
        <v>67</v>
      </c>
      <c r="I1807" s="2">
        <v>7000</v>
      </c>
    </row>
    <row r="1808" spans="1:9" x14ac:dyDescent="0.3">
      <c r="A1808" s="5">
        <v>9256</v>
      </c>
      <c r="B1808" s="5" t="s">
        <v>2929</v>
      </c>
      <c r="C1808" s="5">
        <v>1</v>
      </c>
      <c r="D1808" s="5" t="s">
        <v>10</v>
      </c>
      <c r="E1808" t="s">
        <v>2930</v>
      </c>
      <c r="F1808" t="s">
        <v>2931</v>
      </c>
      <c r="G1808">
        <v>0</v>
      </c>
      <c r="H1808" t="s">
        <v>859</v>
      </c>
      <c r="I1808" s="2">
        <v>8000</v>
      </c>
    </row>
    <row r="1809" spans="1:9" x14ac:dyDescent="0.3">
      <c r="A1809" s="5">
        <v>9256</v>
      </c>
      <c r="B1809" s="5" t="s">
        <v>2929</v>
      </c>
      <c r="C1809" s="5">
        <v>1</v>
      </c>
      <c r="D1809" s="5" t="s">
        <v>10</v>
      </c>
      <c r="E1809" t="s">
        <v>2930</v>
      </c>
      <c r="F1809" t="s">
        <v>2931</v>
      </c>
      <c r="G1809">
        <v>0</v>
      </c>
      <c r="H1809" t="s">
        <v>2932</v>
      </c>
      <c r="I1809" s="2">
        <v>8000</v>
      </c>
    </row>
    <row r="1810" spans="1:9" x14ac:dyDescent="0.3">
      <c r="A1810" s="5">
        <v>9256</v>
      </c>
      <c r="B1810" s="5" t="s">
        <v>2929</v>
      </c>
      <c r="C1810" s="5">
        <v>1</v>
      </c>
      <c r="D1810" s="5" t="s">
        <v>10</v>
      </c>
      <c r="E1810" t="s">
        <v>2930</v>
      </c>
      <c r="F1810" t="s">
        <v>2931</v>
      </c>
      <c r="G1810">
        <v>0</v>
      </c>
      <c r="H1810" t="s">
        <v>2933</v>
      </c>
      <c r="I1810" s="2">
        <v>9000</v>
      </c>
    </row>
    <row r="1811" spans="1:9" x14ac:dyDescent="0.3">
      <c r="A1811" s="5">
        <v>9255</v>
      </c>
      <c r="B1811" s="5" t="s">
        <v>2934</v>
      </c>
      <c r="C1811" s="5">
        <v>3</v>
      </c>
      <c r="D1811" s="5" t="s">
        <v>44</v>
      </c>
      <c r="E1811" t="s">
        <v>2935</v>
      </c>
      <c r="F1811" t="s">
        <v>2936</v>
      </c>
      <c r="G1811">
        <v>0</v>
      </c>
      <c r="H1811" t="s">
        <v>57</v>
      </c>
      <c r="I1811" s="2">
        <v>7000</v>
      </c>
    </row>
    <row r="1812" spans="1:9" x14ac:dyDescent="0.3">
      <c r="A1812" s="5">
        <v>9255</v>
      </c>
      <c r="B1812" s="5" t="s">
        <v>2934</v>
      </c>
      <c r="C1812" s="5">
        <v>3</v>
      </c>
      <c r="D1812" s="5" t="s">
        <v>44</v>
      </c>
      <c r="E1812" t="s">
        <v>2935</v>
      </c>
      <c r="F1812" t="s">
        <v>2936</v>
      </c>
      <c r="G1812">
        <v>0</v>
      </c>
      <c r="H1812" t="s">
        <v>2937</v>
      </c>
      <c r="I1812" s="2">
        <v>6000</v>
      </c>
    </row>
    <row r="1813" spans="1:9" x14ac:dyDescent="0.3">
      <c r="A1813" s="5">
        <v>9255</v>
      </c>
      <c r="B1813" s="5" t="s">
        <v>2934</v>
      </c>
      <c r="C1813" s="5">
        <v>3</v>
      </c>
      <c r="D1813" s="5" t="s">
        <v>44</v>
      </c>
      <c r="E1813" t="s">
        <v>2935</v>
      </c>
      <c r="F1813" t="s">
        <v>2936</v>
      </c>
      <c r="G1813">
        <v>0</v>
      </c>
      <c r="H1813" t="s">
        <v>2938</v>
      </c>
      <c r="I1813" s="2">
        <v>9000</v>
      </c>
    </row>
    <row r="1814" spans="1:9" x14ac:dyDescent="0.3">
      <c r="A1814" s="5">
        <v>9254</v>
      </c>
      <c r="B1814" s="5" t="s">
        <v>2939</v>
      </c>
      <c r="C1814" s="5">
        <v>1</v>
      </c>
      <c r="D1814" s="5" t="s">
        <v>10</v>
      </c>
      <c r="E1814" t="s">
        <v>2940</v>
      </c>
      <c r="F1814" t="s">
        <v>2941</v>
      </c>
      <c r="G1814">
        <v>0</v>
      </c>
      <c r="H1814" t="s">
        <v>84</v>
      </c>
      <c r="I1814" s="2">
        <v>7000</v>
      </c>
    </row>
    <row r="1815" spans="1:9" x14ac:dyDescent="0.3">
      <c r="A1815" s="5">
        <v>9254</v>
      </c>
      <c r="B1815" s="5" t="s">
        <v>2939</v>
      </c>
      <c r="C1815" s="5">
        <v>1</v>
      </c>
      <c r="D1815" s="5" t="s">
        <v>10</v>
      </c>
      <c r="E1815" t="s">
        <v>2940</v>
      </c>
      <c r="F1815" t="s">
        <v>2941</v>
      </c>
      <c r="G1815">
        <v>0</v>
      </c>
      <c r="H1815" t="s">
        <v>2942</v>
      </c>
      <c r="I1815" s="2">
        <v>8000</v>
      </c>
    </row>
    <row r="1816" spans="1:9" x14ac:dyDescent="0.3">
      <c r="A1816" s="5">
        <v>9254</v>
      </c>
      <c r="B1816" s="5" t="s">
        <v>2939</v>
      </c>
      <c r="C1816" s="5">
        <v>1</v>
      </c>
      <c r="D1816" s="5" t="s">
        <v>10</v>
      </c>
      <c r="E1816" t="s">
        <v>2940</v>
      </c>
      <c r="F1816" t="s">
        <v>2941</v>
      </c>
      <c r="G1816">
        <v>0</v>
      </c>
      <c r="H1816" t="s">
        <v>2943</v>
      </c>
      <c r="I1816" s="2">
        <v>8000</v>
      </c>
    </row>
    <row r="1817" spans="1:9" x14ac:dyDescent="0.3">
      <c r="A1817" s="5">
        <v>9253</v>
      </c>
      <c r="B1817" s="5" t="s">
        <v>2944</v>
      </c>
      <c r="C1817" s="5">
        <v>1</v>
      </c>
      <c r="D1817" s="5" t="s">
        <v>10</v>
      </c>
      <c r="E1817" t="s">
        <v>2945</v>
      </c>
      <c r="F1817" t="s">
        <v>2946</v>
      </c>
      <c r="G1817">
        <v>0</v>
      </c>
      <c r="H1817" t="s">
        <v>145</v>
      </c>
      <c r="I1817" s="2">
        <v>5000</v>
      </c>
    </row>
    <row r="1818" spans="1:9" x14ac:dyDescent="0.3">
      <c r="A1818" s="5">
        <v>9253</v>
      </c>
      <c r="B1818" s="5" t="s">
        <v>2944</v>
      </c>
      <c r="C1818" s="5">
        <v>1</v>
      </c>
      <c r="D1818" s="5" t="s">
        <v>10</v>
      </c>
      <c r="E1818" t="s">
        <v>2945</v>
      </c>
      <c r="F1818" t="s">
        <v>2946</v>
      </c>
      <c r="G1818">
        <v>0</v>
      </c>
      <c r="H1818" t="s">
        <v>2947</v>
      </c>
      <c r="I1818" s="2">
        <v>6000</v>
      </c>
    </row>
    <row r="1819" spans="1:9" x14ac:dyDescent="0.3">
      <c r="A1819" s="5">
        <v>9253</v>
      </c>
      <c r="B1819" s="5" t="s">
        <v>2944</v>
      </c>
      <c r="C1819" s="5">
        <v>1</v>
      </c>
      <c r="D1819" s="5" t="s">
        <v>10</v>
      </c>
      <c r="E1819" t="s">
        <v>2945</v>
      </c>
      <c r="F1819" t="s">
        <v>2946</v>
      </c>
      <c r="G1819">
        <v>0</v>
      </c>
      <c r="H1819" t="s">
        <v>1636</v>
      </c>
      <c r="I1819" s="2">
        <v>6000</v>
      </c>
    </row>
    <row r="1820" spans="1:9" x14ac:dyDescent="0.3">
      <c r="A1820" s="5">
        <v>9252</v>
      </c>
      <c r="B1820" s="5" t="s">
        <v>2948</v>
      </c>
      <c r="C1820" s="5">
        <v>1</v>
      </c>
      <c r="D1820" s="5" t="s">
        <v>10</v>
      </c>
      <c r="E1820" t="s">
        <v>2949</v>
      </c>
      <c r="F1820" t="s">
        <v>2950</v>
      </c>
      <c r="G1820">
        <v>0</v>
      </c>
      <c r="H1820" t="s">
        <v>1628</v>
      </c>
      <c r="I1820" s="2">
        <v>13000</v>
      </c>
    </row>
    <row r="1821" spans="1:9" x14ac:dyDescent="0.3">
      <c r="A1821" s="5">
        <v>9252</v>
      </c>
      <c r="B1821" s="5" t="s">
        <v>2948</v>
      </c>
      <c r="C1821" s="5">
        <v>1</v>
      </c>
      <c r="D1821" s="5" t="s">
        <v>10</v>
      </c>
      <c r="E1821" t="s">
        <v>2949</v>
      </c>
      <c r="F1821" t="s">
        <v>2950</v>
      </c>
      <c r="G1821">
        <v>0</v>
      </c>
      <c r="H1821" t="s">
        <v>13</v>
      </c>
      <c r="I1821" s="2">
        <v>13000</v>
      </c>
    </row>
    <row r="1822" spans="1:9" x14ac:dyDescent="0.3">
      <c r="A1822" s="5">
        <v>9252</v>
      </c>
      <c r="B1822" s="5" t="s">
        <v>2948</v>
      </c>
      <c r="C1822" s="5">
        <v>1</v>
      </c>
      <c r="D1822" s="5" t="s">
        <v>10</v>
      </c>
      <c r="E1822" t="s">
        <v>2949</v>
      </c>
      <c r="F1822" t="s">
        <v>2950</v>
      </c>
      <c r="G1822">
        <v>0</v>
      </c>
      <c r="H1822" t="s">
        <v>2951</v>
      </c>
      <c r="I1822" s="2">
        <v>13000</v>
      </c>
    </row>
    <row r="1823" spans="1:9" x14ac:dyDescent="0.3">
      <c r="A1823" s="5">
        <v>9251</v>
      </c>
      <c r="B1823" s="5" t="s">
        <v>2952</v>
      </c>
      <c r="C1823" s="5">
        <v>1</v>
      </c>
      <c r="D1823" s="5" t="s">
        <v>10</v>
      </c>
      <c r="E1823" t="s">
        <v>2953</v>
      </c>
      <c r="F1823" t="s">
        <v>2954</v>
      </c>
      <c r="G1823">
        <v>0</v>
      </c>
      <c r="H1823" t="s">
        <v>134</v>
      </c>
      <c r="I1823" s="2">
        <v>7000</v>
      </c>
    </row>
    <row r="1824" spans="1:9" x14ac:dyDescent="0.3">
      <c r="A1824" s="5">
        <v>9251</v>
      </c>
      <c r="B1824" s="5" t="s">
        <v>2952</v>
      </c>
      <c r="C1824" s="5">
        <v>1</v>
      </c>
      <c r="D1824" s="5" t="s">
        <v>10</v>
      </c>
      <c r="E1824" t="s">
        <v>2953</v>
      </c>
      <c r="F1824" t="s">
        <v>2954</v>
      </c>
      <c r="G1824">
        <v>0</v>
      </c>
      <c r="H1824" t="s">
        <v>2955</v>
      </c>
      <c r="I1824" s="2">
        <v>7000</v>
      </c>
    </row>
    <row r="1825" spans="1:9" x14ac:dyDescent="0.3">
      <c r="A1825" s="5">
        <v>9251</v>
      </c>
      <c r="B1825" s="5" t="s">
        <v>2952</v>
      </c>
      <c r="C1825" s="5">
        <v>1</v>
      </c>
      <c r="D1825" s="5" t="s">
        <v>10</v>
      </c>
      <c r="E1825" t="s">
        <v>2953</v>
      </c>
      <c r="F1825" t="s">
        <v>2954</v>
      </c>
      <c r="G1825">
        <v>0</v>
      </c>
      <c r="H1825" t="s">
        <v>2952</v>
      </c>
      <c r="I1825" s="2">
        <v>7000</v>
      </c>
    </row>
    <row r="1826" spans="1:9" x14ac:dyDescent="0.3">
      <c r="A1826" s="5">
        <v>9250</v>
      </c>
      <c r="B1826" s="5" t="s">
        <v>2956</v>
      </c>
      <c r="C1826" s="5">
        <v>4</v>
      </c>
      <c r="D1826" s="5" t="s">
        <v>39</v>
      </c>
      <c r="E1826" t="s">
        <v>2957</v>
      </c>
      <c r="F1826" t="s">
        <v>2958</v>
      </c>
      <c r="G1826">
        <v>0</v>
      </c>
      <c r="H1826" t="s">
        <v>1086</v>
      </c>
      <c r="I1826" s="2">
        <v>9000</v>
      </c>
    </row>
    <row r="1827" spans="1:9" x14ac:dyDescent="0.3">
      <c r="A1827" s="5">
        <v>9250</v>
      </c>
      <c r="B1827" s="5" t="s">
        <v>2956</v>
      </c>
      <c r="C1827" s="5">
        <v>4</v>
      </c>
      <c r="D1827" s="5" t="s">
        <v>39</v>
      </c>
      <c r="E1827" t="s">
        <v>2957</v>
      </c>
      <c r="F1827" t="s">
        <v>2958</v>
      </c>
      <c r="G1827">
        <v>0</v>
      </c>
      <c r="H1827" t="s">
        <v>100</v>
      </c>
      <c r="I1827" s="2">
        <v>7000</v>
      </c>
    </row>
    <row r="1828" spans="1:9" x14ac:dyDescent="0.3">
      <c r="A1828" s="5">
        <v>9250</v>
      </c>
      <c r="B1828" s="5" t="s">
        <v>2956</v>
      </c>
      <c r="C1828" s="5">
        <v>4</v>
      </c>
      <c r="D1828" s="5" t="s">
        <v>39</v>
      </c>
      <c r="E1828" t="s">
        <v>2957</v>
      </c>
      <c r="F1828" t="s">
        <v>2958</v>
      </c>
      <c r="G1828">
        <v>0</v>
      </c>
      <c r="H1828" t="s">
        <v>879</v>
      </c>
      <c r="I1828" s="2">
        <v>8500</v>
      </c>
    </row>
    <row r="1829" spans="1:9" x14ac:dyDescent="0.3">
      <c r="A1829" s="5">
        <v>9249</v>
      </c>
      <c r="B1829" s="5" t="s">
        <v>2959</v>
      </c>
      <c r="C1829" s="5">
        <v>1</v>
      </c>
      <c r="D1829" s="5" t="s">
        <v>10</v>
      </c>
      <c r="E1829" t="s">
        <v>2960</v>
      </c>
      <c r="F1829" t="s">
        <v>2961</v>
      </c>
      <c r="G1829">
        <v>0</v>
      </c>
      <c r="H1829" t="s">
        <v>2501</v>
      </c>
      <c r="I1829" s="2">
        <v>8000</v>
      </c>
    </row>
    <row r="1830" spans="1:9" x14ac:dyDescent="0.3">
      <c r="A1830" s="5">
        <v>9249</v>
      </c>
      <c r="B1830" s="5" t="s">
        <v>2959</v>
      </c>
      <c r="C1830" s="5">
        <v>1</v>
      </c>
      <c r="D1830" s="5" t="s">
        <v>10</v>
      </c>
      <c r="E1830" t="s">
        <v>2960</v>
      </c>
      <c r="F1830" t="s">
        <v>2961</v>
      </c>
      <c r="G1830">
        <v>0</v>
      </c>
      <c r="H1830" t="s">
        <v>2962</v>
      </c>
      <c r="I1830" s="2">
        <v>9000</v>
      </c>
    </row>
    <row r="1831" spans="1:9" x14ac:dyDescent="0.3">
      <c r="A1831" s="5">
        <v>9249</v>
      </c>
      <c r="B1831" s="5" t="s">
        <v>2959</v>
      </c>
      <c r="C1831" s="5">
        <v>1</v>
      </c>
      <c r="D1831" s="5" t="s">
        <v>10</v>
      </c>
      <c r="E1831" t="s">
        <v>2960</v>
      </c>
      <c r="F1831" t="s">
        <v>2961</v>
      </c>
      <c r="G1831">
        <v>0</v>
      </c>
      <c r="H1831" t="s">
        <v>970</v>
      </c>
      <c r="I1831" s="2">
        <v>8000</v>
      </c>
    </row>
    <row r="1832" spans="1:9" x14ac:dyDescent="0.3">
      <c r="A1832" s="5">
        <v>9248</v>
      </c>
      <c r="B1832" s="5" t="s">
        <v>2963</v>
      </c>
      <c r="C1832" s="5">
        <v>1</v>
      </c>
      <c r="D1832" s="5" t="s">
        <v>10</v>
      </c>
      <c r="E1832" t="s">
        <v>2964</v>
      </c>
      <c r="F1832" t="s">
        <v>2965</v>
      </c>
      <c r="G1832">
        <v>0</v>
      </c>
      <c r="H1832" t="s">
        <v>139</v>
      </c>
      <c r="I1832" s="2">
        <v>7000</v>
      </c>
    </row>
    <row r="1833" spans="1:9" x14ac:dyDescent="0.3">
      <c r="A1833" s="5">
        <v>9248</v>
      </c>
      <c r="B1833" s="5" t="s">
        <v>2963</v>
      </c>
      <c r="C1833" s="5">
        <v>1</v>
      </c>
      <c r="D1833" s="5" t="s">
        <v>10</v>
      </c>
      <c r="E1833" t="s">
        <v>2964</v>
      </c>
      <c r="F1833" t="s">
        <v>2965</v>
      </c>
      <c r="G1833">
        <v>0</v>
      </c>
      <c r="H1833" t="s">
        <v>875</v>
      </c>
      <c r="I1833" s="2">
        <v>7000</v>
      </c>
    </row>
    <row r="1834" spans="1:9" x14ac:dyDescent="0.3">
      <c r="A1834" s="5">
        <v>9248</v>
      </c>
      <c r="B1834" s="5" t="s">
        <v>2963</v>
      </c>
      <c r="C1834" s="5">
        <v>1</v>
      </c>
      <c r="D1834" s="5" t="s">
        <v>10</v>
      </c>
      <c r="E1834" t="s">
        <v>2964</v>
      </c>
      <c r="F1834" t="s">
        <v>2965</v>
      </c>
      <c r="G1834">
        <v>0</v>
      </c>
      <c r="H1834" t="s">
        <v>2966</v>
      </c>
      <c r="I1834" s="2">
        <v>6000</v>
      </c>
    </row>
    <row r="1835" spans="1:9" x14ac:dyDescent="0.3">
      <c r="A1835" s="5">
        <v>9245</v>
      </c>
      <c r="B1835" s="5" t="s">
        <v>2967</v>
      </c>
      <c r="C1835" s="5">
        <v>1</v>
      </c>
      <c r="D1835" s="5" t="s">
        <v>10</v>
      </c>
      <c r="E1835" t="s">
        <v>2968</v>
      </c>
      <c r="F1835" t="s">
        <v>2969</v>
      </c>
      <c r="G1835">
        <v>0</v>
      </c>
      <c r="H1835" t="s">
        <v>37</v>
      </c>
      <c r="I1835" s="2">
        <v>6000</v>
      </c>
    </row>
    <row r="1836" spans="1:9" x14ac:dyDescent="0.3">
      <c r="A1836" s="5">
        <v>9245</v>
      </c>
      <c r="B1836" s="5" t="s">
        <v>2967</v>
      </c>
      <c r="C1836" s="5">
        <v>1</v>
      </c>
      <c r="D1836" s="5" t="s">
        <v>10</v>
      </c>
      <c r="E1836" t="s">
        <v>2968</v>
      </c>
      <c r="F1836" t="s">
        <v>2969</v>
      </c>
      <c r="G1836">
        <v>0</v>
      </c>
      <c r="H1836" t="s">
        <v>84</v>
      </c>
      <c r="I1836" s="2">
        <v>5500</v>
      </c>
    </row>
    <row r="1837" spans="1:9" x14ac:dyDescent="0.3">
      <c r="A1837" s="5">
        <v>9245</v>
      </c>
      <c r="B1837" s="5" t="s">
        <v>2967</v>
      </c>
      <c r="C1837" s="5">
        <v>1</v>
      </c>
      <c r="D1837" s="5" t="s">
        <v>10</v>
      </c>
      <c r="E1837" t="s">
        <v>2968</v>
      </c>
      <c r="F1837" t="s">
        <v>2969</v>
      </c>
      <c r="G1837">
        <v>0</v>
      </c>
      <c r="H1837" t="s">
        <v>372</v>
      </c>
      <c r="I1837" s="2">
        <v>4500</v>
      </c>
    </row>
    <row r="1838" spans="1:9" x14ac:dyDescent="0.3">
      <c r="A1838" s="5">
        <v>9243</v>
      </c>
      <c r="B1838" s="5" t="s">
        <v>2970</v>
      </c>
      <c r="C1838" s="5">
        <v>4</v>
      </c>
      <c r="D1838" s="5" t="s">
        <v>39</v>
      </c>
      <c r="E1838" t="s">
        <v>2971</v>
      </c>
      <c r="F1838" t="s">
        <v>2972</v>
      </c>
      <c r="G1838">
        <v>0</v>
      </c>
      <c r="H1838" t="s">
        <v>80</v>
      </c>
      <c r="I1838" s="2">
        <v>3000</v>
      </c>
    </row>
    <row r="1839" spans="1:9" x14ac:dyDescent="0.3">
      <c r="A1839" s="5">
        <v>9243</v>
      </c>
      <c r="B1839" s="5" t="s">
        <v>2970</v>
      </c>
      <c r="C1839" s="5">
        <v>4</v>
      </c>
      <c r="D1839" s="5" t="s">
        <v>39</v>
      </c>
      <c r="E1839" t="s">
        <v>2971</v>
      </c>
      <c r="F1839" t="s">
        <v>2972</v>
      </c>
      <c r="G1839">
        <v>0</v>
      </c>
      <c r="H1839" t="s">
        <v>2973</v>
      </c>
      <c r="I1839" s="2">
        <v>2000</v>
      </c>
    </row>
    <row r="1840" spans="1:9" x14ac:dyDescent="0.3">
      <c r="A1840" s="5">
        <v>9242</v>
      </c>
      <c r="B1840" s="5" t="s">
        <v>2974</v>
      </c>
      <c r="C1840" s="5">
        <v>1</v>
      </c>
      <c r="D1840" s="5" t="s">
        <v>10</v>
      </c>
      <c r="E1840" t="s">
        <v>2975</v>
      </c>
      <c r="F1840" t="s">
        <v>2976</v>
      </c>
      <c r="G1840">
        <v>0</v>
      </c>
      <c r="H1840" t="s">
        <v>304</v>
      </c>
      <c r="I1840" s="2">
        <v>4000</v>
      </c>
    </row>
    <row r="1841" spans="1:9" x14ac:dyDescent="0.3">
      <c r="A1841" s="5">
        <v>9242</v>
      </c>
      <c r="B1841" s="5" t="s">
        <v>2974</v>
      </c>
      <c r="C1841" s="5">
        <v>1</v>
      </c>
      <c r="D1841" s="5" t="s">
        <v>10</v>
      </c>
      <c r="E1841" t="s">
        <v>2975</v>
      </c>
      <c r="F1841" t="s">
        <v>2976</v>
      </c>
      <c r="G1841">
        <v>0</v>
      </c>
      <c r="H1841" t="s">
        <v>581</v>
      </c>
      <c r="I1841" s="2">
        <v>2500</v>
      </c>
    </row>
    <row r="1842" spans="1:9" x14ac:dyDescent="0.3">
      <c r="A1842" s="5">
        <v>9242</v>
      </c>
      <c r="B1842" s="5" t="s">
        <v>2974</v>
      </c>
      <c r="C1842" s="5">
        <v>1</v>
      </c>
      <c r="D1842" s="5" t="s">
        <v>10</v>
      </c>
      <c r="E1842" t="s">
        <v>2975</v>
      </c>
      <c r="F1842" t="s">
        <v>2976</v>
      </c>
      <c r="G1842">
        <v>0</v>
      </c>
      <c r="H1842" t="s">
        <v>304</v>
      </c>
      <c r="I1842" s="2">
        <v>4000</v>
      </c>
    </row>
    <row r="1843" spans="1:9" x14ac:dyDescent="0.3">
      <c r="A1843" s="5">
        <v>9242</v>
      </c>
      <c r="B1843" s="5" t="s">
        <v>2974</v>
      </c>
      <c r="C1843" s="5">
        <v>1</v>
      </c>
      <c r="D1843" s="5" t="s">
        <v>10</v>
      </c>
      <c r="E1843" t="s">
        <v>2975</v>
      </c>
      <c r="F1843" t="s">
        <v>2976</v>
      </c>
      <c r="G1843">
        <v>0</v>
      </c>
      <c r="H1843" t="s">
        <v>374</v>
      </c>
      <c r="I1843" s="2">
        <v>1700</v>
      </c>
    </row>
    <row r="1844" spans="1:9" x14ac:dyDescent="0.3">
      <c r="A1844" s="5">
        <v>9241</v>
      </c>
      <c r="B1844" s="5" t="s">
        <v>2977</v>
      </c>
      <c r="C1844" s="5">
        <v>1</v>
      </c>
      <c r="D1844" s="5" t="s">
        <v>10</v>
      </c>
      <c r="E1844" t="s">
        <v>2978</v>
      </c>
      <c r="F1844" t="s">
        <v>2979</v>
      </c>
      <c r="G1844">
        <v>0</v>
      </c>
      <c r="H1844" t="s">
        <v>229</v>
      </c>
      <c r="I1844" s="2">
        <v>7000</v>
      </c>
    </row>
    <row r="1845" spans="1:9" x14ac:dyDescent="0.3">
      <c r="A1845" s="5">
        <v>9241</v>
      </c>
      <c r="B1845" s="5" t="s">
        <v>2977</v>
      </c>
      <c r="C1845" s="5">
        <v>1</v>
      </c>
      <c r="D1845" s="5" t="s">
        <v>10</v>
      </c>
      <c r="E1845" t="s">
        <v>2978</v>
      </c>
      <c r="F1845" t="s">
        <v>2979</v>
      </c>
      <c r="G1845">
        <v>0</v>
      </c>
      <c r="H1845" t="s">
        <v>642</v>
      </c>
      <c r="I1845" s="2">
        <v>5000</v>
      </c>
    </row>
    <row r="1846" spans="1:9" x14ac:dyDescent="0.3">
      <c r="A1846" s="5">
        <v>9240</v>
      </c>
      <c r="B1846" s="5" t="s">
        <v>2980</v>
      </c>
      <c r="C1846" s="5">
        <v>1</v>
      </c>
      <c r="D1846" s="5" t="s">
        <v>10</v>
      </c>
      <c r="E1846" t="s">
        <v>2981</v>
      </c>
      <c r="F1846" t="s">
        <v>2982</v>
      </c>
      <c r="G1846">
        <v>0</v>
      </c>
      <c r="H1846" t="s">
        <v>2980</v>
      </c>
      <c r="I1846" s="2">
        <v>7000</v>
      </c>
    </row>
    <row r="1847" spans="1:9" x14ac:dyDescent="0.3">
      <c r="A1847" s="5">
        <v>9239</v>
      </c>
      <c r="B1847" s="5" t="s">
        <v>2983</v>
      </c>
      <c r="C1847" s="5">
        <v>13</v>
      </c>
      <c r="D1847" s="5" t="s">
        <v>27</v>
      </c>
      <c r="E1847" t="s">
        <v>2984</v>
      </c>
      <c r="F1847" t="s">
        <v>2985</v>
      </c>
      <c r="G1847">
        <v>0</v>
      </c>
      <c r="H1847" t="s">
        <v>342</v>
      </c>
      <c r="I1847" s="2">
        <v>3000</v>
      </c>
    </row>
    <row r="1848" spans="1:9" x14ac:dyDescent="0.3">
      <c r="A1848" s="5">
        <v>9239</v>
      </c>
      <c r="B1848" s="5" t="s">
        <v>2983</v>
      </c>
      <c r="C1848" s="5">
        <v>13</v>
      </c>
      <c r="D1848" s="5" t="s">
        <v>27</v>
      </c>
      <c r="E1848" t="s">
        <v>2984</v>
      </c>
      <c r="F1848" t="s">
        <v>2985</v>
      </c>
      <c r="G1848">
        <v>0</v>
      </c>
      <c r="H1848" t="s">
        <v>205</v>
      </c>
      <c r="I1848" s="2">
        <v>2000</v>
      </c>
    </row>
    <row r="1849" spans="1:9" x14ac:dyDescent="0.3">
      <c r="A1849" s="5">
        <v>9237</v>
      </c>
      <c r="B1849" s="5" t="s">
        <v>2986</v>
      </c>
      <c r="C1849" s="5">
        <v>2</v>
      </c>
      <c r="D1849" s="5" t="s">
        <v>261</v>
      </c>
      <c r="E1849" t="s">
        <v>2987</v>
      </c>
      <c r="F1849" t="s">
        <v>2988</v>
      </c>
      <c r="G1849">
        <v>0</v>
      </c>
      <c r="H1849" t="s">
        <v>642</v>
      </c>
      <c r="I1849" s="2">
        <v>4000</v>
      </c>
    </row>
    <row r="1850" spans="1:9" x14ac:dyDescent="0.3">
      <c r="A1850" s="5">
        <v>9237</v>
      </c>
      <c r="B1850" s="5" t="s">
        <v>2986</v>
      </c>
      <c r="C1850" s="5">
        <v>2</v>
      </c>
      <c r="D1850" s="5" t="s">
        <v>261</v>
      </c>
      <c r="E1850" t="s">
        <v>2987</v>
      </c>
      <c r="F1850" t="s">
        <v>2988</v>
      </c>
      <c r="G1850">
        <v>0</v>
      </c>
      <c r="H1850" t="s">
        <v>265</v>
      </c>
      <c r="I1850" s="2">
        <v>5000</v>
      </c>
    </row>
    <row r="1851" spans="1:9" x14ac:dyDescent="0.3">
      <c r="A1851" s="5">
        <v>9237</v>
      </c>
      <c r="B1851" s="5" t="s">
        <v>2986</v>
      </c>
      <c r="C1851" s="5">
        <v>2</v>
      </c>
      <c r="D1851" s="5" t="s">
        <v>261</v>
      </c>
      <c r="E1851" t="s">
        <v>2987</v>
      </c>
      <c r="F1851" t="s">
        <v>2988</v>
      </c>
      <c r="G1851">
        <v>0</v>
      </c>
      <c r="H1851" t="s">
        <v>2429</v>
      </c>
      <c r="I1851" s="2">
        <v>17000</v>
      </c>
    </row>
    <row r="1852" spans="1:9" x14ac:dyDescent="0.3">
      <c r="A1852" s="5">
        <v>9236</v>
      </c>
      <c r="B1852" s="5" t="s">
        <v>2989</v>
      </c>
      <c r="C1852" s="5">
        <v>1</v>
      </c>
      <c r="D1852" s="5" t="s">
        <v>10</v>
      </c>
      <c r="E1852" t="s">
        <v>2990</v>
      </c>
      <c r="F1852" t="s">
        <v>2991</v>
      </c>
      <c r="G1852">
        <v>0</v>
      </c>
      <c r="H1852" t="s">
        <v>127</v>
      </c>
      <c r="I1852" s="2">
        <v>9000</v>
      </c>
    </row>
    <row r="1853" spans="1:9" x14ac:dyDescent="0.3">
      <c r="A1853" s="5">
        <v>9236</v>
      </c>
      <c r="B1853" s="5" t="s">
        <v>2989</v>
      </c>
      <c r="C1853" s="5">
        <v>1</v>
      </c>
      <c r="D1853" s="5" t="s">
        <v>10</v>
      </c>
      <c r="E1853" t="s">
        <v>2990</v>
      </c>
      <c r="F1853" t="s">
        <v>2991</v>
      </c>
      <c r="G1853">
        <v>0</v>
      </c>
      <c r="H1853" t="s">
        <v>133</v>
      </c>
      <c r="I1853" s="2">
        <v>9000</v>
      </c>
    </row>
    <row r="1854" spans="1:9" x14ac:dyDescent="0.3">
      <c r="A1854" s="5">
        <v>9236</v>
      </c>
      <c r="B1854" s="5" t="s">
        <v>2989</v>
      </c>
      <c r="C1854" s="5">
        <v>1</v>
      </c>
      <c r="D1854" s="5" t="s">
        <v>10</v>
      </c>
      <c r="E1854" t="s">
        <v>2990</v>
      </c>
      <c r="F1854" t="s">
        <v>2991</v>
      </c>
      <c r="G1854">
        <v>0</v>
      </c>
      <c r="H1854" t="s">
        <v>2992</v>
      </c>
      <c r="I1854" s="2">
        <v>15000</v>
      </c>
    </row>
    <row r="1855" spans="1:9" x14ac:dyDescent="0.3">
      <c r="A1855" s="5">
        <v>9234</v>
      </c>
      <c r="B1855" s="5" t="s">
        <v>2993</v>
      </c>
      <c r="C1855" s="5">
        <v>1</v>
      </c>
      <c r="D1855" s="5" t="s">
        <v>10</v>
      </c>
      <c r="E1855" t="s">
        <v>2994</v>
      </c>
      <c r="F1855" t="s">
        <v>2995</v>
      </c>
      <c r="G1855">
        <v>0</v>
      </c>
      <c r="H1855" t="s">
        <v>259</v>
      </c>
      <c r="I1855" s="2">
        <v>7000</v>
      </c>
    </row>
    <row r="1856" spans="1:9" x14ac:dyDescent="0.3">
      <c r="A1856" s="5">
        <v>9234</v>
      </c>
      <c r="B1856" s="5" t="s">
        <v>2993</v>
      </c>
      <c r="C1856" s="5">
        <v>1</v>
      </c>
      <c r="D1856" s="5" t="s">
        <v>10</v>
      </c>
      <c r="E1856" t="s">
        <v>2994</v>
      </c>
      <c r="F1856" t="s">
        <v>2995</v>
      </c>
      <c r="G1856">
        <v>0</v>
      </c>
      <c r="H1856" t="s">
        <v>2996</v>
      </c>
      <c r="I1856" s="2">
        <v>14000</v>
      </c>
    </row>
    <row r="1857" spans="1:9" x14ac:dyDescent="0.3">
      <c r="A1857" s="5">
        <v>9233</v>
      </c>
      <c r="B1857" s="5" t="s">
        <v>2997</v>
      </c>
      <c r="C1857" s="5">
        <v>4</v>
      </c>
      <c r="D1857" s="5" t="s">
        <v>39</v>
      </c>
      <c r="E1857" t="s">
        <v>2998</v>
      </c>
      <c r="F1857" t="s">
        <v>2999</v>
      </c>
      <c r="G1857">
        <v>0</v>
      </c>
      <c r="H1857" t="s">
        <v>3000</v>
      </c>
      <c r="I1857" s="2">
        <v>6500</v>
      </c>
    </row>
    <row r="1858" spans="1:9" x14ac:dyDescent="0.3">
      <c r="A1858" s="5">
        <v>9233</v>
      </c>
      <c r="B1858" s="5" t="s">
        <v>2997</v>
      </c>
      <c r="C1858" s="5">
        <v>4</v>
      </c>
      <c r="D1858" s="5" t="s">
        <v>39</v>
      </c>
      <c r="E1858" t="s">
        <v>2998</v>
      </c>
      <c r="F1858" t="s">
        <v>2999</v>
      </c>
      <c r="G1858">
        <v>0</v>
      </c>
      <c r="H1858" t="s">
        <v>3001</v>
      </c>
      <c r="I1858" s="2">
        <v>8500</v>
      </c>
    </row>
    <row r="1859" spans="1:9" x14ac:dyDescent="0.3">
      <c r="A1859" s="5">
        <v>9233</v>
      </c>
      <c r="B1859" s="5" t="s">
        <v>2997</v>
      </c>
      <c r="C1859" s="5">
        <v>4</v>
      </c>
      <c r="D1859" s="5" t="s">
        <v>39</v>
      </c>
      <c r="E1859" t="s">
        <v>2998</v>
      </c>
      <c r="F1859" t="s">
        <v>2999</v>
      </c>
      <c r="G1859">
        <v>0</v>
      </c>
      <c r="H1859" t="s">
        <v>3002</v>
      </c>
      <c r="I1859" s="2">
        <v>8500</v>
      </c>
    </row>
    <row r="1860" spans="1:9" x14ac:dyDescent="0.3">
      <c r="A1860" s="5">
        <v>9231</v>
      </c>
      <c r="B1860" s="5" t="s">
        <v>3003</v>
      </c>
      <c r="C1860" s="5">
        <v>1</v>
      </c>
      <c r="D1860" s="5" t="s">
        <v>10</v>
      </c>
      <c r="E1860" t="s">
        <v>3004</v>
      </c>
      <c r="F1860" t="s">
        <v>3005</v>
      </c>
      <c r="G1860">
        <v>0</v>
      </c>
      <c r="H1860" t="s">
        <v>3006</v>
      </c>
      <c r="I1860" s="2">
        <v>7000</v>
      </c>
    </row>
    <row r="1861" spans="1:9" x14ac:dyDescent="0.3">
      <c r="A1861" s="5">
        <v>9231</v>
      </c>
      <c r="B1861" s="5" t="s">
        <v>3003</v>
      </c>
      <c r="C1861" s="5">
        <v>1</v>
      </c>
      <c r="D1861" s="5" t="s">
        <v>10</v>
      </c>
      <c r="E1861" t="s">
        <v>3004</v>
      </c>
      <c r="F1861" t="s">
        <v>3005</v>
      </c>
      <c r="G1861">
        <v>0</v>
      </c>
      <c r="H1861" t="s">
        <v>958</v>
      </c>
      <c r="I1861" s="2">
        <v>7000</v>
      </c>
    </row>
    <row r="1862" spans="1:9" x14ac:dyDescent="0.3">
      <c r="A1862" s="5">
        <v>9231</v>
      </c>
      <c r="B1862" s="5" t="s">
        <v>3003</v>
      </c>
      <c r="C1862" s="5">
        <v>1</v>
      </c>
      <c r="D1862" s="5" t="s">
        <v>10</v>
      </c>
      <c r="E1862" t="s">
        <v>3004</v>
      </c>
      <c r="F1862" t="s">
        <v>3005</v>
      </c>
      <c r="G1862">
        <v>0</v>
      </c>
      <c r="H1862" t="s">
        <v>403</v>
      </c>
      <c r="I1862" s="2">
        <v>7000</v>
      </c>
    </row>
    <row r="1863" spans="1:9" x14ac:dyDescent="0.3">
      <c r="A1863" s="5">
        <v>9230</v>
      </c>
      <c r="B1863" s="5" t="s">
        <v>3007</v>
      </c>
      <c r="C1863" s="5">
        <v>1</v>
      </c>
      <c r="D1863" s="5" t="s">
        <v>10</v>
      </c>
      <c r="E1863" t="s">
        <v>3008</v>
      </c>
      <c r="F1863" t="s">
        <v>3009</v>
      </c>
      <c r="G1863">
        <v>0</v>
      </c>
      <c r="H1863" t="s">
        <v>126</v>
      </c>
      <c r="I1863" s="2">
        <v>8000</v>
      </c>
    </row>
    <row r="1864" spans="1:9" x14ac:dyDescent="0.3">
      <c r="A1864" s="5">
        <v>9230</v>
      </c>
      <c r="B1864" s="5" t="s">
        <v>3007</v>
      </c>
      <c r="C1864" s="5">
        <v>1</v>
      </c>
      <c r="D1864" s="5" t="s">
        <v>10</v>
      </c>
      <c r="E1864" t="s">
        <v>3008</v>
      </c>
      <c r="F1864" t="s">
        <v>3009</v>
      </c>
      <c r="G1864">
        <v>0</v>
      </c>
      <c r="H1864" t="s">
        <v>3010</v>
      </c>
      <c r="I1864" s="2">
        <v>7000</v>
      </c>
    </row>
    <row r="1865" spans="1:9" x14ac:dyDescent="0.3">
      <c r="A1865" s="5">
        <v>9230</v>
      </c>
      <c r="B1865" s="5" t="s">
        <v>3007</v>
      </c>
      <c r="C1865" s="5">
        <v>1</v>
      </c>
      <c r="D1865" s="5" t="s">
        <v>10</v>
      </c>
      <c r="E1865" t="s">
        <v>3008</v>
      </c>
      <c r="F1865" t="s">
        <v>3009</v>
      </c>
      <c r="G1865">
        <v>0</v>
      </c>
      <c r="H1865" t="s">
        <v>139</v>
      </c>
      <c r="I1865" s="2">
        <v>8000</v>
      </c>
    </row>
    <row r="1866" spans="1:9" x14ac:dyDescent="0.3">
      <c r="A1866" s="5">
        <v>9229</v>
      </c>
      <c r="B1866" s="5" t="s">
        <v>3011</v>
      </c>
      <c r="C1866" s="5">
        <v>1</v>
      </c>
      <c r="D1866" s="5" t="s">
        <v>10</v>
      </c>
      <c r="E1866" t="s">
        <v>3012</v>
      </c>
      <c r="F1866" t="s">
        <v>3013</v>
      </c>
      <c r="G1866">
        <v>0</v>
      </c>
      <c r="H1866" t="s">
        <v>499</v>
      </c>
      <c r="I1866" s="2">
        <v>6000</v>
      </c>
    </row>
    <row r="1867" spans="1:9" x14ac:dyDescent="0.3">
      <c r="A1867" s="5">
        <v>9229</v>
      </c>
      <c r="B1867" s="5" t="s">
        <v>3011</v>
      </c>
      <c r="C1867" s="5">
        <v>1</v>
      </c>
      <c r="D1867" s="5" t="s">
        <v>10</v>
      </c>
      <c r="E1867" t="s">
        <v>3012</v>
      </c>
      <c r="F1867" t="s">
        <v>3013</v>
      </c>
      <c r="G1867">
        <v>0</v>
      </c>
      <c r="H1867" t="s">
        <v>3014</v>
      </c>
      <c r="I1867" s="2">
        <v>14000</v>
      </c>
    </row>
    <row r="1868" spans="1:9" x14ac:dyDescent="0.3">
      <c r="A1868" s="5">
        <v>9229</v>
      </c>
      <c r="B1868" s="5" t="s">
        <v>3011</v>
      </c>
      <c r="C1868" s="5">
        <v>1</v>
      </c>
      <c r="D1868" s="5" t="s">
        <v>10</v>
      </c>
      <c r="E1868" t="s">
        <v>3012</v>
      </c>
      <c r="F1868" t="s">
        <v>3013</v>
      </c>
      <c r="G1868">
        <v>0</v>
      </c>
      <c r="H1868" t="s">
        <v>3015</v>
      </c>
      <c r="I1868" s="2">
        <v>13000</v>
      </c>
    </row>
    <row r="1869" spans="1:9" x14ac:dyDescent="0.3">
      <c r="A1869" s="5">
        <v>9228</v>
      </c>
      <c r="B1869" s="5" t="s">
        <v>3016</v>
      </c>
      <c r="C1869" s="5">
        <v>1</v>
      </c>
      <c r="D1869" s="5" t="s">
        <v>10</v>
      </c>
      <c r="E1869" t="s">
        <v>3017</v>
      </c>
      <c r="F1869" t="s">
        <v>3018</v>
      </c>
      <c r="G1869">
        <v>0</v>
      </c>
      <c r="H1869" t="s">
        <v>403</v>
      </c>
      <c r="I1869" s="2">
        <v>8000</v>
      </c>
    </row>
    <row r="1870" spans="1:9" x14ac:dyDescent="0.3">
      <c r="A1870" s="5">
        <v>9228</v>
      </c>
      <c r="B1870" s="5" t="s">
        <v>3016</v>
      </c>
      <c r="C1870" s="5">
        <v>1</v>
      </c>
      <c r="D1870" s="5" t="s">
        <v>10</v>
      </c>
      <c r="E1870" t="s">
        <v>3017</v>
      </c>
      <c r="F1870" t="s">
        <v>3018</v>
      </c>
      <c r="G1870">
        <v>0</v>
      </c>
      <c r="H1870" t="s">
        <v>929</v>
      </c>
      <c r="I1870" s="2">
        <v>8000</v>
      </c>
    </row>
    <row r="1871" spans="1:9" x14ac:dyDescent="0.3">
      <c r="A1871" s="5">
        <v>9228</v>
      </c>
      <c r="B1871" s="5" t="s">
        <v>3016</v>
      </c>
      <c r="C1871" s="5">
        <v>1</v>
      </c>
      <c r="D1871" s="5" t="s">
        <v>10</v>
      </c>
      <c r="E1871" t="s">
        <v>3017</v>
      </c>
      <c r="F1871" t="s">
        <v>3018</v>
      </c>
      <c r="G1871">
        <v>0</v>
      </c>
      <c r="H1871" t="s">
        <v>57</v>
      </c>
      <c r="I1871" s="2">
        <v>8000</v>
      </c>
    </row>
    <row r="1872" spans="1:9" x14ac:dyDescent="0.3">
      <c r="A1872" s="5">
        <v>9227</v>
      </c>
      <c r="B1872" s="5" t="s">
        <v>3019</v>
      </c>
      <c r="C1872" s="5">
        <v>1</v>
      </c>
      <c r="D1872" s="5" t="s">
        <v>10</v>
      </c>
      <c r="E1872" t="s">
        <v>3020</v>
      </c>
      <c r="F1872" t="s">
        <v>3021</v>
      </c>
      <c r="G1872">
        <v>0</v>
      </c>
      <c r="H1872" t="s">
        <v>133</v>
      </c>
      <c r="I1872" s="2">
        <v>8500</v>
      </c>
    </row>
    <row r="1873" spans="1:9" x14ac:dyDescent="0.3">
      <c r="A1873" s="5">
        <v>9227</v>
      </c>
      <c r="B1873" s="5" t="s">
        <v>3019</v>
      </c>
      <c r="C1873" s="5">
        <v>1</v>
      </c>
      <c r="D1873" s="5" t="s">
        <v>10</v>
      </c>
      <c r="E1873" t="s">
        <v>3020</v>
      </c>
      <c r="F1873" t="s">
        <v>3021</v>
      </c>
      <c r="G1873">
        <v>0</v>
      </c>
      <c r="H1873" t="s">
        <v>3022</v>
      </c>
      <c r="I1873" s="2">
        <v>8500</v>
      </c>
    </row>
    <row r="1874" spans="1:9" x14ac:dyDescent="0.3">
      <c r="A1874" s="5">
        <v>9227</v>
      </c>
      <c r="B1874" s="5" t="s">
        <v>3019</v>
      </c>
      <c r="C1874" s="5">
        <v>1</v>
      </c>
      <c r="D1874" s="5" t="s">
        <v>10</v>
      </c>
      <c r="E1874" t="s">
        <v>3020</v>
      </c>
      <c r="F1874" t="s">
        <v>3021</v>
      </c>
      <c r="G1874">
        <v>0</v>
      </c>
      <c r="H1874" t="s">
        <v>3023</v>
      </c>
      <c r="I1874" s="2">
        <v>8500</v>
      </c>
    </row>
    <row r="1875" spans="1:9" x14ac:dyDescent="0.3">
      <c r="A1875" s="5">
        <v>9224</v>
      </c>
      <c r="B1875" s="5" t="s">
        <v>3024</v>
      </c>
      <c r="C1875" s="5">
        <v>1</v>
      </c>
      <c r="D1875" s="5" t="s">
        <v>10</v>
      </c>
      <c r="E1875" t="s">
        <v>3025</v>
      </c>
      <c r="F1875" t="s">
        <v>3026</v>
      </c>
      <c r="G1875">
        <v>0</v>
      </c>
      <c r="H1875" t="s">
        <v>134</v>
      </c>
      <c r="I1875" s="2">
        <v>7000</v>
      </c>
    </row>
    <row r="1876" spans="1:9" x14ac:dyDescent="0.3">
      <c r="A1876" s="5">
        <v>9222</v>
      </c>
      <c r="B1876" s="5" t="s">
        <v>3027</v>
      </c>
      <c r="C1876" s="5">
        <v>1</v>
      </c>
      <c r="D1876" s="5" t="s">
        <v>10</v>
      </c>
      <c r="E1876" t="s">
        <v>3028</v>
      </c>
      <c r="F1876" t="s">
        <v>336</v>
      </c>
      <c r="G1876">
        <v>0</v>
      </c>
      <c r="H1876" t="s">
        <v>337</v>
      </c>
      <c r="I1876" s="2">
        <v>5000</v>
      </c>
    </row>
    <row r="1877" spans="1:9" x14ac:dyDescent="0.3">
      <c r="A1877" s="5">
        <v>9221</v>
      </c>
      <c r="B1877" s="5" t="s">
        <v>3029</v>
      </c>
      <c r="C1877" s="5">
        <v>5</v>
      </c>
      <c r="D1877" s="5" t="s">
        <v>63</v>
      </c>
      <c r="E1877" t="s">
        <v>3030</v>
      </c>
      <c r="G1877">
        <v>0</v>
      </c>
      <c r="H1877" t="s">
        <v>67</v>
      </c>
      <c r="I1877" s="2">
        <v>5000</v>
      </c>
    </row>
    <row r="1878" spans="1:9" x14ac:dyDescent="0.3">
      <c r="A1878" s="5">
        <v>9220</v>
      </c>
      <c r="B1878" s="5" t="s">
        <v>3031</v>
      </c>
      <c r="C1878" s="5">
        <v>5</v>
      </c>
      <c r="D1878" s="5" t="s">
        <v>63</v>
      </c>
      <c r="E1878" t="s">
        <v>3032</v>
      </c>
      <c r="F1878" t="s">
        <v>3033</v>
      </c>
      <c r="G1878">
        <v>0</v>
      </c>
      <c r="H1878" t="s">
        <v>67</v>
      </c>
      <c r="I1878" s="2">
        <v>7000</v>
      </c>
    </row>
    <row r="1879" spans="1:9" x14ac:dyDescent="0.3">
      <c r="A1879" s="5">
        <v>9219</v>
      </c>
      <c r="B1879" s="5" t="s">
        <v>3034</v>
      </c>
      <c r="C1879" s="5">
        <v>1</v>
      </c>
      <c r="D1879" s="5" t="s">
        <v>10</v>
      </c>
      <c r="E1879" t="s">
        <v>3035</v>
      </c>
      <c r="F1879" t="s">
        <v>3036</v>
      </c>
      <c r="G1879">
        <v>0</v>
      </c>
      <c r="H1879" t="s">
        <v>288</v>
      </c>
      <c r="I1879" s="2">
        <v>5000</v>
      </c>
    </row>
    <row r="1880" spans="1:9" x14ac:dyDescent="0.3">
      <c r="A1880" s="5">
        <v>9217</v>
      </c>
      <c r="B1880" s="5" t="s">
        <v>3037</v>
      </c>
      <c r="C1880" s="5">
        <v>13</v>
      </c>
      <c r="D1880" s="5" t="s">
        <v>27</v>
      </c>
      <c r="E1880" t="s">
        <v>3038</v>
      </c>
      <c r="G1880">
        <v>0</v>
      </c>
      <c r="H1880" t="s">
        <v>3039</v>
      </c>
      <c r="I1880" s="2">
        <v>3000</v>
      </c>
    </row>
    <row r="1881" spans="1:9" x14ac:dyDescent="0.3">
      <c r="A1881" s="5">
        <v>9216</v>
      </c>
      <c r="B1881" s="5" t="s">
        <v>3040</v>
      </c>
      <c r="C1881" s="5">
        <v>1</v>
      </c>
      <c r="D1881" s="5" t="s">
        <v>10</v>
      </c>
      <c r="E1881" t="s">
        <v>3041</v>
      </c>
      <c r="F1881" t="s">
        <v>3042</v>
      </c>
      <c r="G1881">
        <v>0</v>
      </c>
      <c r="H1881" t="s">
        <v>3043</v>
      </c>
      <c r="I1881" s="2">
        <v>10000</v>
      </c>
    </row>
    <row r="1882" spans="1:9" x14ac:dyDescent="0.3">
      <c r="A1882" s="5">
        <v>9216</v>
      </c>
      <c r="B1882" s="5" t="s">
        <v>3040</v>
      </c>
      <c r="C1882" s="5">
        <v>1</v>
      </c>
      <c r="D1882" s="5" t="s">
        <v>10</v>
      </c>
      <c r="E1882" t="s">
        <v>3041</v>
      </c>
      <c r="F1882" t="s">
        <v>3042</v>
      </c>
      <c r="G1882">
        <v>0</v>
      </c>
      <c r="H1882" t="s">
        <v>3044</v>
      </c>
      <c r="I1882" s="2">
        <v>7000</v>
      </c>
    </row>
    <row r="1883" spans="1:9" x14ac:dyDescent="0.3">
      <c r="A1883" s="5">
        <v>9216</v>
      </c>
      <c r="B1883" s="5" t="s">
        <v>3040</v>
      </c>
      <c r="C1883" s="5">
        <v>1</v>
      </c>
      <c r="D1883" s="5" t="s">
        <v>10</v>
      </c>
      <c r="E1883" t="s">
        <v>3041</v>
      </c>
      <c r="F1883" t="s">
        <v>3042</v>
      </c>
      <c r="G1883">
        <v>0</v>
      </c>
      <c r="H1883" t="s">
        <v>92</v>
      </c>
      <c r="I1883" s="2">
        <v>7000</v>
      </c>
    </row>
    <row r="1884" spans="1:9" x14ac:dyDescent="0.3">
      <c r="A1884" s="5">
        <v>9216</v>
      </c>
      <c r="B1884" s="5" t="s">
        <v>3040</v>
      </c>
      <c r="C1884" s="5">
        <v>1</v>
      </c>
      <c r="D1884" s="5" t="s">
        <v>10</v>
      </c>
      <c r="E1884" t="s">
        <v>3041</v>
      </c>
      <c r="F1884" t="s">
        <v>3042</v>
      </c>
      <c r="G1884">
        <v>0</v>
      </c>
      <c r="H1884" t="s">
        <v>3045</v>
      </c>
      <c r="I1884" s="2">
        <v>7000</v>
      </c>
    </row>
    <row r="1885" spans="1:9" x14ac:dyDescent="0.3">
      <c r="A1885" s="5">
        <v>9216</v>
      </c>
      <c r="B1885" s="5" t="s">
        <v>3040</v>
      </c>
      <c r="C1885" s="5">
        <v>1</v>
      </c>
      <c r="D1885" s="5" t="s">
        <v>10</v>
      </c>
      <c r="E1885" t="s">
        <v>3041</v>
      </c>
      <c r="F1885" t="s">
        <v>3042</v>
      </c>
      <c r="G1885">
        <v>0</v>
      </c>
      <c r="H1885" t="s">
        <v>3046</v>
      </c>
      <c r="I1885" s="2">
        <v>8000</v>
      </c>
    </row>
    <row r="1886" spans="1:9" x14ac:dyDescent="0.3">
      <c r="A1886" s="5">
        <v>9216</v>
      </c>
      <c r="B1886" s="5" t="s">
        <v>3040</v>
      </c>
      <c r="C1886" s="5">
        <v>1</v>
      </c>
      <c r="D1886" s="5" t="s">
        <v>10</v>
      </c>
      <c r="E1886" t="s">
        <v>3041</v>
      </c>
      <c r="F1886" t="s">
        <v>3042</v>
      </c>
      <c r="G1886">
        <v>0</v>
      </c>
      <c r="H1886" t="s">
        <v>3047</v>
      </c>
      <c r="I1886" s="2">
        <v>7000</v>
      </c>
    </row>
    <row r="1887" spans="1:9" x14ac:dyDescent="0.3">
      <c r="A1887" s="5">
        <v>9215</v>
      </c>
      <c r="B1887" s="5" t="s">
        <v>3048</v>
      </c>
      <c r="C1887" s="5">
        <v>1</v>
      </c>
      <c r="D1887" s="5" t="s">
        <v>10</v>
      </c>
      <c r="E1887" t="s">
        <v>3049</v>
      </c>
      <c r="F1887" t="s">
        <v>3050</v>
      </c>
      <c r="G1887">
        <v>0</v>
      </c>
      <c r="H1887" t="s">
        <v>3051</v>
      </c>
      <c r="I1887" s="2">
        <v>12000</v>
      </c>
    </row>
    <row r="1888" spans="1:9" x14ac:dyDescent="0.3">
      <c r="A1888" s="5">
        <v>9215</v>
      </c>
      <c r="B1888" s="5" t="s">
        <v>3048</v>
      </c>
      <c r="C1888" s="5">
        <v>1</v>
      </c>
      <c r="D1888" s="5" t="s">
        <v>10</v>
      </c>
      <c r="E1888" t="s">
        <v>3049</v>
      </c>
      <c r="F1888" t="s">
        <v>3050</v>
      </c>
      <c r="G1888">
        <v>0</v>
      </c>
      <c r="H1888" t="s">
        <v>3052</v>
      </c>
      <c r="I1888" s="2">
        <v>8000</v>
      </c>
    </row>
    <row r="1889" spans="1:9" x14ac:dyDescent="0.3">
      <c r="A1889" s="5">
        <v>9214</v>
      </c>
      <c r="B1889" s="5" t="s">
        <v>3053</v>
      </c>
      <c r="C1889" s="5">
        <v>1</v>
      </c>
      <c r="D1889" s="5" t="s">
        <v>10</v>
      </c>
      <c r="E1889" t="s">
        <v>3054</v>
      </c>
      <c r="F1889" t="s">
        <v>3055</v>
      </c>
      <c r="G1889">
        <v>0</v>
      </c>
      <c r="H1889" t="s">
        <v>189</v>
      </c>
      <c r="I1889" s="2">
        <v>7000</v>
      </c>
    </row>
    <row r="1890" spans="1:9" x14ac:dyDescent="0.3">
      <c r="A1890" s="5">
        <v>9214</v>
      </c>
      <c r="B1890" s="5" t="s">
        <v>3053</v>
      </c>
      <c r="C1890" s="5">
        <v>1</v>
      </c>
      <c r="D1890" s="5" t="s">
        <v>10</v>
      </c>
      <c r="E1890" t="s">
        <v>3054</v>
      </c>
      <c r="F1890" t="s">
        <v>3055</v>
      </c>
      <c r="G1890">
        <v>0</v>
      </c>
      <c r="H1890" t="s">
        <v>35</v>
      </c>
      <c r="I1890" s="2">
        <v>6000</v>
      </c>
    </row>
    <row r="1891" spans="1:9" x14ac:dyDescent="0.3">
      <c r="A1891" s="5">
        <v>9214</v>
      </c>
      <c r="B1891" s="5" t="s">
        <v>3053</v>
      </c>
      <c r="C1891" s="5">
        <v>1</v>
      </c>
      <c r="D1891" s="5" t="s">
        <v>10</v>
      </c>
      <c r="E1891" t="s">
        <v>3054</v>
      </c>
      <c r="F1891" t="s">
        <v>3055</v>
      </c>
      <c r="G1891">
        <v>0</v>
      </c>
      <c r="H1891" t="s">
        <v>3056</v>
      </c>
      <c r="I1891" s="2">
        <v>6000</v>
      </c>
    </row>
    <row r="1892" spans="1:9" x14ac:dyDescent="0.3">
      <c r="A1892" s="5">
        <v>9214</v>
      </c>
      <c r="B1892" s="5" t="s">
        <v>3053</v>
      </c>
      <c r="C1892" s="5">
        <v>1</v>
      </c>
      <c r="D1892" s="5" t="s">
        <v>10</v>
      </c>
      <c r="E1892" t="s">
        <v>3054</v>
      </c>
      <c r="F1892" t="s">
        <v>3055</v>
      </c>
      <c r="G1892">
        <v>0</v>
      </c>
      <c r="H1892" t="s">
        <v>3057</v>
      </c>
      <c r="I1892" s="2">
        <v>7000</v>
      </c>
    </row>
    <row r="1893" spans="1:9" x14ac:dyDescent="0.3">
      <c r="A1893" s="5">
        <v>9214</v>
      </c>
      <c r="B1893" s="5" t="s">
        <v>3053</v>
      </c>
      <c r="C1893" s="5">
        <v>1</v>
      </c>
      <c r="D1893" s="5" t="s">
        <v>10</v>
      </c>
      <c r="E1893" t="s">
        <v>3054</v>
      </c>
      <c r="F1893" t="s">
        <v>3055</v>
      </c>
      <c r="G1893">
        <v>0</v>
      </c>
      <c r="H1893" t="s">
        <v>126</v>
      </c>
      <c r="I1893" s="2">
        <v>6000</v>
      </c>
    </row>
    <row r="1894" spans="1:9" x14ac:dyDescent="0.3">
      <c r="A1894" s="5">
        <v>9213</v>
      </c>
      <c r="B1894" s="5" t="s">
        <v>3058</v>
      </c>
      <c r="C1894" s="5">
        <v>7</v>
      </c>
      <c r="D1894" s="5" t="s">
        <v>360</v>
      </c>
      <c r="E1894" t="s">
        <v>3059</v>
      </c>
      <c r="F1894" t="s">
        <v>3060</v>
      </c>
      <c r="G1894">
        <v>0</v>
      </c>
      <c r="H1894" t="s">
        <v>3061</v>
      </c>
      <c r="I1894" s="2">
        <v>20000</v>
      </c>
    </row>
    <row r="1895" spans="1:9" x14ac:dyDescent="0.3">
      <c r="A1895" s="5">
        <v>9213</v>
      </c>
      <c r="B1895" s="5" t="s">
        <v>3058</v>
      </c>
      <c r="C1895" s="5">
        <v>7</v>
      </c>
      <c r="D1895" s="5" t="s">
        <v>360</v>
      </c>
      <c r="E1895" t="s">
        <v>3059</v>
      </c>
      <c r="F1895" t="s">
        <v>3060</v>
      </c>
      <c r="G1895">
        <v>0</v>
      </c>
      <c r="H1895" t="s">
        <v>445</v>
      </c>
      <c r="I1895" s="2">
        <v>5000</v>
      </c>
    </row>
    <row r="1896" spans="1:9" x14ac:dyDescent="0.3">
      <c r="A1896" s="5">
        <v>9212</v>
      </c>
      <c r="B1896" s="5" t="s">
        <v>3062</v>
      </c>
      <c r="C1896" s="5">
        <v>1</v>
      </c>
      <c r="D1896" s="5" t="s">
        <v>10</v>
      </c>
      <c r="E1896" t="s">
        <v>3063</v>
      </c>
      <c r="F1896" t="s">
        <v>3064</v>
      </c>
      <c r="G1896">
        <v>0</v>
      </c>
      <c r="H1896" t="s">
        <v>3065</v>
      </c>
      <c r="I1896" s="2">
        <v>15000</v>
      </c>
    </row>
    <row r="1897" spans="1:9" x14ac:dyDescent="0.3">
      <c r="A1897" s="5">
        <v>9212</v>
      </c>
      <c r="B1897" s="5" t="s">
        <v>3062</v>
      </c>
      <c r="C1897" s="5">
        <v>1</v>
      </c>
      <c r="D1897" s="5" t="s">
        <v>10</v>
      </c>
      <c r="E1897" t="s">
        <v>3063</v>
      </c>
      <c r="F1897" t="s">
        <v>3064</v>
      </c>
      <c r="G1897">
        <v>0</v>
      </c>
      <c r="H1897" t="s">
        <v>930</v>
      </c>
      <c r="I1897" s="2">
        <v>6000</v>
      </c>
    </row>
    <row r="1898" spans="1:9" x14ac:dyDescent="0.3">
      <c r="A1898" s="5">
        <v>9212</v>
      </c>
      <c r="B1898" s="5" t="s">
        <v>3062</v>
      </c>
      <c r="C1898" s="5">
        <v>1</v>
      </c>
      <c r="D1898" s="5" t="s">
        <v>10</v>
      </c>
      <c r="E1898" t="s">
        <v>3063</v>
      </c>
      <c r="F1898" t="s">
        <v>3064</v>
      </c>
      <c r="G1898">
        <v>0</v>
      </c>
      <c r="H1898" t="s">
        <v>930</v>
      </c>
      <c r="I1898" s="2">
        <v>6000</v>
      </c>
    </row>
    <row r="1899" spans="1:9" x14ac:dyDescent="0.3">
      <c r="A1899" s="5">
        <v>9211</v>
      </c>
      <c r="B1899" s="5" t="s">
        <v>3066</v>
      </c>
      <c r="C1899" s="5">
        <v>1</v>
      </c>
      <c r="D1899" s="5" t="s">
        <v>10</v>
      </c>
      <c r="E1899" t="s">
        <v>3067</v>
      </c>
      <c r="F1899" t="s">
        <v>3068</v>
      </c>
      <c r="G1899">
        <v>0</v>
      </c>
      <c r="H1899" t="s">
        <v>126</v>
      </c>
      <c r="I1899" s="2">
        <v>7000</v>
      </c>
    </row>
    <row r="1900" spans="1:9" x14ac:dyDescent="0.3">
      <c r="A1900" s="5">
        <v>9211</v>
      </c>
      <c r="B1900" s="5" t="s">
        <v>3066</v>
      </c>
      <c r="C1900" s="5">
        <v>1</v>
      </c>
      <c r="D1900" s="5" t="s">
        <v>10</v>
      </c>
      <c r="E1900" t="s">
        <v>3067</v>
      </c>
      <c r="F1900" t="s">
        <v>3068</v>
      </c>
      <c r="G1900">
        <v>0</v>
      </c>
      <c r="H1900" t="s">
        <v>3069</v>
      </c>
      <c r="I1900" s="2">
        <v>8000</v>
      </c>
    </row>
    <row r="1901" spans="1:9" x14ac:dyDescent="0.3">
      <c r="A1901" s="5">
        <v>9211</v>
      </c>
      <c r="B1901" s="5" t="s">
        <v>3066</v>
      </c>
      <c r="C1901" s="5">
        <v>1</v>
      </c>
      <c r="D1901" s="5" t="s">
        <v>10</v>
      </c>
      <c r="E1901" t="s">
        <v>3067</v>
      </c>
      <c r="F1901" t="s">
        <v>3068</v>
      </c>
      <c r="G1901">
        <v>0</v>
      </c>
      <c r="H1901" t="s">
        <v>3070</v>
      </c>
      <c r="I1901" s="2">
        <v>11000</v>
      </c>
    </row>
    <row r="1902" spans="1:9" x14ac:dyDescent="0.3">
      <c r="A1902" s="5">
        <v>9210</v>
      </c>
      <c r="B1902" s="5" t="s">
        <v>3071</v>
      </c>
      <c r="C1902" s="5">
        <v>5</v>
      </c>
      <c r="D1902" s="5" t="s">
        <v>63</v>
      </c>
      <c r="E1902" t="s">
        <v>3072</v>
      </c>
      <c r="F1902" t="s">
        <v>74</v>
      </c>
      <c r="G1902">
        <v>0</v>
      </c>
      <c r="H1902" t="s">
        <v>67</v>
      </c>
      <c r="I1902" s="2">
        <v>8000</v>
      </c>
    </row>
    <row r="1903" spans="1:9" x14ac:dyDescent="0.3">
      <c r="A1903" s="5">
        <v>9209</v>
      </c>
      <c r="B1903" s="5" t="s">
        <v>3073</v>
      </c>
      <c r="C1903" s="5">
        <v>6</v>
      </c>
      <c r="D1903" s="5" t="s">
        <v>3074</v>
      </c>
      <c r="E1903" t="s">
        <v>3075</v>
      </c>
      <c r="F1903" t="s">
        <v>3076</v>
      </c>
      <c r="G1903">
        <v>0</v>
      </c>
      <c r="H1903" t="s">
        <v>3077</v>
      </c>
      <c r="I1903" s="2">
        <v>6500</v>
      </c>
    </row>
    <row r="1904" spans="1:9" x14ac:dyDescent="0.3">
      <c r="A1904" s="5">
        <v>9209</v>
      </c>
      <c r="B1904" s="5" t="s">
        <v>3073</v>
      </c>
      <c r="C1904" s="5">
        <v>6</v>
      </c>
      <c r="D1904" s="5" t="s">
        <v>3074</v>
      </c>
      <c r="E1904" t="s">
        <v>3075</v>
      </c>
      <c r="F1904" t="s">
        <v>3076</v>
      </c>
      <c r="G1904">
        <v>0</v>
      </c>
      <c r="H1904" t="s">
        <v>3078</v>
      </c>
      <c r="I1904" s="2">
        <v>7000</v>
      </c>
    </row>
    <row r="1905" spans="1:9" x14ac:dyDescent="0.3">
      <c r="A1905" s="5">
        <v>9208</v>
      </c>
      <c r="B1905" s="5" t="s">
        <v>3079</v>
      </c>
      <c r="C1905" s="5">
        <v>1</v>
      </c>
      <c r="D1905" s="5" t="s">
        <v>10</v>
      </c>
      <c r="E1905" t="s">
        <v>3080</v>
      </c>
      <c r="F1905" t="s">
        <v>3081</v>
      </c>
      <c r="G1905">
        <v>0</v>
      </c>
      <c r="H1905" t="s">
        <v>3082</v>
      </c>
      <c r="I1905" s="2">
        <v>8000</v>
      </c>
    </row>
    <row r="1906" spans="1:9" x14ac:dyDescent="0.3">
      <c r="A1906" s="5">
        <v>9207</v>
      </c>
      <c r="B1906" s="5" t="s">
        <v>3083</v>
      </c>
      <c r="C1906" s="5">
        <v>1</v>
      </c>
      <c r="D1906" s="5" t="s">
        <v>10</v>
      </c>
      <c r="E1906" t="s">
        <v>3084</v>
      </c>
      <c r="F1906" t="s">
        <v>3085</v>
      </c>
      <c r="G1906">
        <v>0</v>
      </c>
      <c r="H1906" t="s">
        <v>217</v>
      </c>
      <c r="I1906" s="2">
        <v>9000</v>
      </c>
    </row>
    <row r="1907" spans="1:9" x14ac:dyDescent="0.3">
      <c r="A1907" s="5">
        <v>9207</v>
      </c>
      <c r="B1907" s="5" t="s">
        <v>3083</v>
      </c>
      <c r="C1907" s="5">
        <v>1</v>
      </c>
      <c r="D1907" s="5" t="s">
        <v>10</v>
      </c>
      <c r="E1907" t="s">
        <v>3084</v>
      </c>
      <c r="F1907" t="s">
        <v>3085</v>
      </c>
      <c r="G1907">
        <v>0</v>
      </c>
      <c r="H1907" t="s">
        <v>259</v>
      </c>
      <c r="I1907" s="2">
        <v>5000</v>
      </c>
    </row>
    <row r="1908" spans="1:9" x14ac:dyDescent="0.3">
      <c r="A1908" s="5">
        <v>9206</v>
      </c>
      <c r="B1908" s="5" t="s">
        <v>3086</v>
      </c>
      <c r="C1908" s="5">
        <v>1</v>
      </c>
      <c r="D1908" s="5" t="s">
        <v>10</v>
      </c>
      <c r="E1908" t="s">
        <v>3087</v>
      </c>
      <c r="F1908" t="s">
        <v>3088</v>
      </c>
      <c r="G1908">
        <v>0</v>
      </c>
      <c r="H1908" t="s">
        <v>3089</v>
      </c>
      <c r="I1908" s="2">
        <v>10000</v>
      </c>
    </row>
    <row r="1909" spans="1:9" x14ac:dyDescent="0.3">
      <c r="A1909" s="5">
        <v>9205</v>
      </c>
      <c r="B1909" s="5" t="s">
        <v>3090</v>
      </c>
      <c r="C1909" s="5">
        <v>1</v>
      </c>
      <c r="D1909" s="5" t="s">
        <v>10</v>
      </c>
      <c r="E1909" t="s">
        <v>3091</v>
      </c>
      <c r="F1909" t="s">
        <v>3092</v>
      </c>
      <c r="G1909">
        <v>0</v>
      </c>
      <c r="H1909" t="s">
        <v>37</v>
      </c>
      <c r="I1909" s="2">
        <v>6000</v>
      </c>
    </row>
    <row r="1910" spans="1:9" x14ac:dyDescent="0.3">
      <c r="A1910" s="5">
        <v>9205</v>
      </c>
      <c r="B1910" s="5" t="s">
        <v>3090</v>
      </c>
      <c r="C1910" s="5">
        <v>1</v>
      </c>
      <c r="D1910" s="5" t="s">
        <v>10</v>
      </c>
      <c r="E1910" t="s">
        <v>3091</v>
      </c>
      <c r="F1910" t="s">
        <v>3092</v>
      </c>
      <c r="G1910">
        <v>0</v>
      </c>
      <c r="H1910" t="s">
        <v>37</v>
      </c>
      <c r="I1910" s="2">
        <v>5500</v>
      </c>
    </row>
    <row r="1911" spans="1:9" x14ac:dyDescent="0.3">
      <c r="A1911" s="5">
        <v>9205</v>
      </c>
      <c r="B1911" s="5" t="s">
        <v>3090</v>
      </c>
      <c r="C1911" s="5">
        <v>1</v>
      </c>
      <c r="D1911" s="5" t="s">
        <v>10</v>
      </c>
      <c r="E1911" t="s">
        <v>3091</v>
      </c>
      <c r="F1911" t="s">
        <v>3092</v>
      </c>
      <c r="G1911">
        <v>0</v>
      </c>
      <c r="H1911" t="s">
        <v>126</v>
      </c>
      <c r="I1911" s="2">
        <v>7000</v>
      </c>
    </row>
    <row r="1912" spans="1:9" x14ac:dyDescent="0.3">
      <c r="A1912" s="5">
        <v>9204</v>
      </c>
      <c r="B1912" s="5" t="s">
        <v>3093</v>
      </c>
      <c r="C1912" s="5">
        <v>5</v>
      </c>
      <c r="D1912" s="5" t="s">
        <v>63</v>
      </c>
      <c r="E1912" t="s">
        <v>3094</v>
      </c>
      <c r="F1912" t="s">
        <v>816</v>
      </c>
      <c r="G1912">
        <v>0</v>
      </c>
      <c r="H1912" t="s">
        <v>67</v>
      </c>
      <c r="I1912" s="2">
        <v>8000</v>
      </c>
    </row>
    <row r="1913" spans="1:9" x14ac:dyDescent="0.3">
      <c r="A1913" s="5">
        <v>9204</v>
      </c>
      <c r="B1913" s="5" t="s">
        <v>3093</v>
      </c>
      <c r="C1913" s="5">
        <v>5</v>
      </c>
      <c r="D1913" s="5" t="s">
        <v>63</v>
      </c>
      <c r="E1913" t="s">
        <v>3094</v>
      </c>
      <c r="F1913" t="s">
        <v>816</v>
      </c>
      <c r="G1913">
        <v>0</v>
      </c>
      <c r="H1913" t="s">
        <v>2126</v>
      </c>
      <c r="I1913" s="2">
        <v>25000</v>
      </c>
    </row>
    <row r="1914" spans="1:9" x14ac:dyDescent="0.3">
      <c r="A1914" s="5">
        <v>9203</v>
      </c>
      <c r="B1914" s="5" t="s">
        <v>814</v>
      </c>
      <c r="C1914" s="5">
        <v>1</v>
      </c>
      <c r="D1914" s="5" t="s">
        <v>10</v>
      </c>
      <c r="E1914" t="s">
        <v>3095</v>
      </c>
      <c r="F1914" t="s">
        <v>816</v>
      </c>
      <c r="G1914">
        <v>0</v>
      </c>
      <c r="H1914" t="s">
        <v>21</v>
      </c>
      <c r="I1914" s="2">
        <v>3800</v>
      </c>
    </row>
    <row r="1915" spans="1:9" x14ac:dyDescent="0.3">
      <c r="A1915" s="5">
        <v>9203</v>
      </c>
      <c r="B1915" s="5" t="s">
        <v>814</v>
      </c>
      <c r="C1915" s="5">
        <v>1</v>
      </c>
      <c r="D1915" s="5" t="s">
        <v>10</v>
      </c>
      <c r="E1915" t="s">
        <v>3095</v>
      </c>
      <c r="F1915" t="s">
        <v>816</v>
      </c>
      <c r="G1915">
        <v>0</v>
      </c>
      <c r="H1915" t="s">
        <v>3096</v>
      </c>
      <c r="I1915" s="2">
        <v>4800</v>
      </c>
    </row>
    <row r="1916" spans="1:9" x14ac:dyDescent="0.3">
      <c r="A1916" s="5">
        <v>9202</v>
      </c>
      <c r="B1916" s="5" t="s">
        <v>3097</v>
      </c>
      <c r="C1916" s="5">
        <v>1</v>
      </c>
      <c r="D1916" s="5" t="s">
        <v>10</v>
      </c>
      <c r="E1916" t="s">
        <v>3098</v>
      </c>
      <c r="F1916" t="s">
        <v>816</v>
      </c>
      <c r="G1916">
        <v>0</v>
      </c>
      <c r="H1916" t="s">
        <v>37</v>
      </c>
      <c r="I1916" s="2">
        <v>4900</v>
      </c>
    </row>
    <row r="1917" spans="1:9" x14ac:dyDescent="0.3">
      <c r="A1917" s="5">
        <v>9202</v>
      </c>
      <c r="B1917" s="5" t="s">
        <v>3097</v>
      </c>
      <c r="C1917" s="5">
        <v>1</v>
      </c>
      <c r="D1917" s="5" t="s">
        <v>10</v>
      </c>
      <c r="E1917" t="s">
        <v>3098</v>
      </c>
      <c r="F1917" t="s">
        <v>816</v>
      </c>
      <c r="G1917">
        <v>0</v>
      </c>
      <c r="H1917" t="s">
        <v>126</v>
      </c>
      <c r="I1917" s="2">
        <v>6900</v>
      </c>
    </row>
    <row r="1918" spans="1:9" x14ac:dyDescent="0.3">
      <c r="A1918" s="5">
        <v>9202</v>
      </c>
      <c r="B1918" s="5" t="s">
        <v>3097</v>
      </c>
      <c r="C1918" s="5">
        <v>1</v>
      </c>
      <c r="D1918" s="5" t="s">
        <v>10</v>
      </c>
      <c r="E1918" t="s">
        <v>3098</v>
      </c>
      <c r="F1918" t="s">
        <v>816</v>
      </c>
      <c r="G1918">
        <v>0</v>
      </c>
      <c r="H1918" t="s">
        <v>37</v>
      </c>
      <c r="I1918" s="2">
        <v>5400</v>
      </c>
    </row>
    <row r="1919" spans="1:9" x14ac:dyDescent="0.3">
      <c r="A1919" s="5">
        <v>9201</v>
      </c>
      <c r="B1919" s="5" t="s">
        <v>3099</v>
      </c>
      <c r="C1919" s="5">
        <v>1</v>
      </c>
      <c r="D1919" s="5" t="s">
        <v>10</v>
      </c>
      <c r="E1919" t="s">
        <v>3100</v>
      </c>
      <c r="F1919" t="s">
        <v>3101</v>
      </c>
      <c r="G1919">
        <v>0</v>
      </c>
      <c r="H1919" t="s">
        <v>3102</v>
      </c>
      <c r="I1919" s="2">
        <v>8900</v>
      </c>
    </row>
    <row r="1920" spans="1:9" x14ac:dyDescent="0.3">
      <c r="A1920" s="5">
        <v>9201</v>
      </c>
      <c r="B1920" s="5" t="s">
        <v>3099</v>
      </c>
      <c r="C1920" s="5">
        <v>1</v>
      </c>
      <c r="D1920" s="5" t="s">
        <v>10</v>
      </c>
      <c r="E1920" t="s">
        <v>3100</v>
      </c>
      <c r="F1920" t="s">
        <v>3101</v>
      </c>
      <c r="G1920">
        <v>0</v>
      </c>
      <c r="H1920" t="s">
        <v>2116</v>
      </c>
      <c r="I1920" s="2">
        <v>8900</v>
      </c>
    </row>
    <row r="1921" spans="1:9" x14ac:dyDescent="0.3">
      <c r="A1921" s="5">
        <v>9200</v>
      </c>
      <c r="B1921" s="5" t="s">
        <v>3103</v>
      </c>
      <c r="C1921" s="5">
        <v>4</v>
      </c>
      <c r="D1921" s="5" t="s">
        <v>39</v>
      </c>
      <c r="E1921" t="s">
        <v>3104</v>
      </c>
      <c r="F1921" t="s">
        <v>3105</v>
      </c>
      <c r="G1921">
        <v>0</v>
      </c>
      <c r="H1921" t="s">
        <v>205</v>
      </c>
      <c r="I1921" s="2">
        <v>2500</v>
      </c>
    </row>
    <row r="1922" spans="1:9" x14ac:dyDescent="0.3">
      <c r="A1922" s="5">
        <v>9199</v>
      </c>
      <c r="B1922" s="5" t="s">
        <v>3106</v>
      </c>
      <c r="C1922" s="5">
        <v>5</v>
      </c>
      <c r="D1922" s="5" t="s">
        <v>63</v>
      </c>
      <c r="E1922" t="s">
        <v>3107</v>
      </c>
      <c r="F1922" t="s">
        <v>3108</v>
      </c>
      <c r="G1922">
        <v>0</v>
      </c>
      <c r="H1922" t="s">
        <v>3109</v>
      </c>
      <c r="I1922" s="2">
        <v>8000</v>
      </c>
    </row>
    <row r="1923" spans="1:9" x14ac:dyDescent="0.3">
      <c r="A1923" s="5">
        <v>9198</v>
      </c>
      <c r="B1923" s="5" t="s">
        <v>778</v>
      </c>
      <c r="C1923" s="5">
        <v>2</v>
      </c>
      <c r="D1923" s="5" t="s">
        <v>261</v>
      </c>
      <c r="E1923" t="s">
        <v>3110</v>
      </c>
      <c r="F1923" t="s">
        <v>780</v>
      </c>
      <c r="G1923">
        <v>0</v>
      </c>
      <c r="H1923" t="s">
        <v>641</v>
      </c>
      <c r="I1923" s="2">
        <v>13000</v>
      </c>
    </row>
    <row r="1924" spans="1:9" x14ac:dyDescent="0.3">
      <c r="A1924" s="5">
        <v>9198</v>
      </c>
      <c r="B1924" s="5" t="s">
        <v>778</v>
      </c>
      <c r="C1924" s="5">
        <v>2</v>
      </c>
      <c r="D1924" s="5" t="s">
        <v>261</v>
      </c>
      <c r="E1924" t="s">
        <v>3110</v>
      </c>
      <c r="F1924" t="s">
        <v>780</v>
      </c>
      <c r="G1924">
        <v>0</v>
      </c>
      <c r="H1924" t="s">
        <v>642</v>
      </c>
      <c r="I1924" s="2">
        <v>4500</v>
      </c>
    </row>
    <row r="1925" spans="1:9" x14ac:dyDescent="0.3">
      <c r="A1925" s="5">
        <v>9198</v>
      </c>
      <c r="B1925" s="5" t="s">
        <v>778</v>
      </c>
      <c r="C1925" s="5">
        <v>2</v>
      </c>
      <c r="D1925" s="5" t="s">
        <v>261</v>
      </c>
      <c r="E1925" t="s">
        <v>3110</v>
      </c>
      <c r="F1925" t="s">
        <v>780</v>
      </c>
      <c r="G1925">
        <v>0</v>
      </c>
      <c r="H1925" t="s">
        <v>265</v>
      </c>
      <c r="I1925" s="2">
        <v>5500</v>
      </c>
    </row>
    <row r="1926" spans="1:9" x14ac:dyDescent="0.3">
      <c r="A1926" s="5">
        <v>9197</v>
      </c>
      <c r="B1926" s="5" t="s">
        <v>3111</v>
      </c>
      <c r="C1926" s="5">
        <v>4</v>
      </c>
      <c r="D1926" s="5" t="s">
        <v>39</v>
      </c>
      <c r="E1926" t="s">
        <v>3112</v>
      </c>
      <c r="F1926" t="s">
        <v>3113</v>
      </c>
      <c r="G1926">
        <v>0</v>
      </c>
      <c r="H1926" t="s">
        <v>342</v>
      </c>
      <c r="I1926" s="2">
        <v>3500</v>
      </c>
    </row>
    <row r="1927" spans="1:9" x14ac:dyDescent="0.3">
      <c r="A1927" s="5">
        <v>9197</v>
      </c>
      <c r="B1927" s="5" t="s">
        <v>3111</v>
      </c>
      <c r="C1927" s="5">
        <v>4</v>
      </c>
      <c r="D1927" s="5" t="s">
        <v>39</v>
      </c>
      <c r="E1927" t="s">
        <v>3112</v>
      </c>
      <c r="F1927" t="s">
        <v>3113</v>
      </c>
      <c r="G1927">
        <v>0</v>
      </c>
      <c r="H1927" t="s">
        <v>3114</v>
      </c>
      <c r="I1927" s="2">
        <v>3000</v>
      </c>
    </row>
    <row r="1928" spans="1:9" x14ac:dyDescent="0.3">
      <c r="A1928" s="5">
        <v>9196</v>
      </c>
      <c r="B1928" s="5" t="s">
        <v>1802</v>
      </c>
      <c r="C1928" s="5">
        <v>1</v>
      </c>
      <c r="D1928" s="5" t="s">
        <v>10</v>
      </c>
      <c r="E1928" t="s">
        <v>3115</v>
      </c>
      <c r="F1928" t="s">
        <v>3116</v>
      </c>
      <c r="G1928">
        <v>0</v>
      </c>
      <c r="H1928" t="s">
        <v>3117</v>
      </c>
      <c r="I1928" s="2">
        <v>7000</v>
      </c>
    </row>
    <row r="1929" spans="1:9" x14ac:dyDescent="0.3">
      <c r="A1929" s="5">
        <v>9196</v>
      </c>
      <c r="B1929" s="5" t="s">
        <v>1802</v>
      </c>
      <c r="C1929" s="5">
        <v>1</v>
      </c>
      <c r="D1929" s="5" t="s">
        <v>10</v>
      </c>
      <c r="E1929" t="s">
        <v>3115</v>
      </c>
      <c r="F1929" t="s">
        <v>3116</v>
      </c>
      <c r="G1929">
        <v>0</v>
      </c>
      <c r="H1929" t="s">
        <v>3118</v>
      </c>
      <c r="I1929" s="2">
        <v>6000</v>
      </c>
    </row>
    <row r="1930" spans="1:9" x14ac:dyDescent="0.3">
      <c r="A1930" s="5">
        <v>9195</v>
      </c>
      <c r="B1930" s="5" t="s">
        <v>206</v>
      </c>
      <c r="C1930" s="5">
        <v>1</v>
      </c>
      <c r="D1930" s="5" t="s">
        <v>10</v>
      </c>
      <c r="E1930" t="s">
        <v>3119</v>
      </c>
      <c r="F1930" t="s">
        <v>3120</v>
      </c>
      <c r="G1930">
        <v>0</v>
      </c>
      <c r="H1930" t="s">
        <v>3121</v>
      </c>
      <c r="I1930" s="2">
        <v>4500</v>
      </c>
    </row>
    <row r="1931" spans="1:9" x14ac:dyDescent="0.3">
      <c r="A1931" s="5">
        <v>9195</v>
      </c>
      <c r="B1931" s="5" t="s">
        <v>206</v>
      </c>
      <c r="C1931" s="5">
        <v>1</v>
      </c>
      <c r="D1931" s="5" t="s">
        <v>10</v>
      </c>
      <c r="E1931" t="s">
        <v>3119</v>
      </c>
      <c r="F1931" t="s">
        <v>3120</v>
      </c>
      <c r="G1931">
        <v>0</v>
      </c>
      <c r="H1931" t="s">
        <v>374</v>
      </c>
      <c r="I1931" s="2">
        <v>2500</v>
      </c>
    </row>
    <row r="1932" spans="1:9" x14ac:dyDescent="0.3">
      <c r="A1932" s="5">
        <v>9195</v>
      </c>
      <c r="B1932" s="5" t="s">
        <v>206</v>
      </c>
      <c r="C1932" s="5">
        <v>1</v>
      </c>
      <c r="D1932" s="5" t="s">
        <v>10</v>
      </c>
      <c r="E1932" t="s">
        <v>3119</v>
      </c>
      <c r="F1932" t="s">
        <v>3120</v>
      </c>
      <c r="G1932">
        <v>0</v>
      </c>
      <c r="H1932" t="s">
        <v>3121</v>
      </c>
      <c r="I1932" s="2">
        <v>5000</v>
      </c>
    </row>
    <row r="1933" spans="1:9" x14ac:dyDescent="0.3">
      <c r="A1933" s="5">
        <v>9194</v>
      </c>
      <c r="B1933" s="5" t="s">
        <v>15</v>
      </c>
      <c r="C1933" s="5">
        <v>1</v>
      </c>
      <c r="D1933" s="5" t="s">
        <v>10</v>
      </c>
      <c r="E1933" t="s">
        <v>3122</v>
      </c>
      <c r="F1933" t="s">
        <v>3123</v>
      </c>
      <c r="G1933">
        <v>0</v>
      </c>
      <c r="H1933" t="s">
        <v>3124</v>
      </c>
      <c r="I1933" s="2">
        <v>5000</v>
      </c>
    </row>
    <row r="1934" spans="1:9" x14ac:dyDescent="0.3">
      <c r="A1934" s="5">
        <v>9194</v>
      </c>
      <c r="B1934" s="5" t="s">
        <v>15</v>
      </c>
      <c r="C1934" s="5">
        <v>1</v>
      </c>
      <c r="D1934" s="5" t="s">
        <v>10</v>
      </c>
      <c r="E1934" t="s">
        <v>3122</v>
      </c>
      <c r="F1934" t="s">
        <v>3123</v>
      </c>
      <c r="G1934">
        <v>0</v>
      </c>
      <c r="H1934" t="s">
        <v>337</v>
      </c>
      <c r="I1934" s="2">
        <v>4500</v>
      </c>
    </row>
    <row r="1935" spans="1:9" x14ac:dyDescent="0.3">
      <c r="A1935" s="5">
        <v>9194</v>
      </c>
      <c r="B1935" s="5" t="s">
        <v>15</v>
      </c>
      <c r="C1935" s="5">
        <v>1</v>
      </c>
      <c r="D1935" s="5" t="s">
        <v>10</v>
      </c>
      <c r="E1935" t="s">
        <v>3122</v>
      </c>
      <c r="F1935" t="s">
        <v>3123</v>
      </c>
      <c r="G1935">
        <v>0</v>
      </c>
      <c r="H1935" t="s">
        <v>3125</v>
      </c>
      <c r="I1935" s="2">
        <v>5500</v>
      </c>
    </row>
    <row r="1936" spans="1:9" x14ac:dyDescent="0.3">
      <c r="A1936" s="5">
        <v>9193</v>
      </c>
      <c r="B1936" s="5" t="s">
        <v>3126</v>
      </c>
      <c r="C1936" s="5">
        <v>1</v>
      </c>
      <c r="D1936" s="5" t="s">
        <v>10</v>
      </c>
      <c r="E1936" t="s">
        <v>3127</v>
      </c>
      <c r="F1936" t="s">
        <v>3128</v>
      </c>
      <c r="G1936">
        <v>0</v>
      </c>
      <c r="H1936" t="s">
        <v>1566</v>
      </c>
      <c r="I1936" s="2">
        <v>11000</v>
      </c>
    </row>
    <row r="1937" spans="1:9" x14ac:dyDescent="0.3">
      <c r="A1937" s="5">
        <v>9193</v>
      </c>
      <c r="B1937" s="5" t="s">
        <v>3126</v>
      </c>
      <c r="C1937" s="5">
        <v>1</v>
      </c>
      <c r="D1937" s="5" t="s">
        <v>10</v>
      </c>
      <c r="E1937" t="s">
        <v>3127</v>
      </c>
      <c r="F1937" t="s">
        <v>3128</v>
      </c>
      <c r="G1937">
        <v>0</v>
      </c>
      <c r="H1937" t="s">
        <v>13</v>
      </c>
      <c r="I1937" s="2">
        <v>11000</v>
      </c>
    </row>
    <row r="1938" spans="1:9" x14ac:dyDescent="0.3">
      <c r="A1938" s="5">
        <v>9192</v>
      </c>
      <c r="B1938" s="5" t="s">
        <v>3129</v>
      </c>
      <c r="C1938" s="5">
        <v>1</v>
      </c>
      <c r="D1938" s="5" t="s">
        <v>10</v>
      </c>
      <c r="E1938" t="s">
        <v>3130</v>
      </c>
      <c r="F1938" t="s">
        <v>3131</v>
      </c>
      <c r="G1938">
        <v>0</v>
      </c>
      <c r="H1938" t="s">
        <v>581</v>
      </c>
      <c r="I1938" s="2">
        <v>3000</v>
      </c>
    </row>
    <row r="1939" spans="1:9" x14ac:dyDescent="0.3">
      <c r="A1939" s="5">
        <v>9192</v>
      </c>
      <c r="B1939" s="5" t="s">
        <v>3129</v>
      </c>
      <c r="C1939" s="5">
        <v>1</v>
      </c>
      <c r="D1939" s="5" t="s">
        <v>10</v>
      </c>
      <c r="E1939" t="s">
        <v>3130</v>
      </c>
      <c r="F1939" t="s">
        <v>3131</v>
      </c>
      <c r="G1939">
        <v>0</v>
      </c>
      <c r="H1939" t="s">
        <v>3132</v>
      </c>
      <c r="I1939" s="2">
        <v>6000</v>
      </c>
    </row>
    <row r="1940" spans="1:9" x14ac:dyDescent="0.3">
      <c r="A1940" s="5">
        <v>9192</v>
      </c>
      <c r="B1940" s="5" t="s">
        <v>3129</v>
      </c>
      <c r="C1940" s="5">
        <v>1</v>
      </c>
      <c r="D1940" s="5" t="s">
        <v>10</v>
      </c>
      <c r="E1940" t="s">
        <v>3130</v>
      </c>
      <c r="F1940" t="s">
        <v>3131</v>
      </c>
      <c r="G1940">
        <v>0</v>
      </c>
      <c r="H1940" t="s">
        <v>3133</v>
      </c>
      <c r="I1940" s="2">
        <v>9000</v>
      </c>
    </row>
    <row r="1941" spans="1:9" x14ac:dyDescent="0.3">
      <c r="A1941" s="5">
        <v>9192</v>
      </c>
      <c r="B1941" s="5" t="s">
        <v>3129</v>
      </c>
      <c r="C1941" s="5">
        <v>1</v>
      </c>
      <c r="D1941" s="5" t="s">
        <v>10</v>
      </c>
      <c r="E1941" t="s">
        <v>3130</v>
      </c>
      <c r="F1941" t="s">
        <v>3131</v>
      </c>
      <c r="G1941">
        <v>0</v>
      </c>
      <c r="H1941" t="s">
        <v>1042</v>
      </c>
      <c r="I1941" s="2">
        <v>5500</v>
      </c>
    </row>
    <row r="1942" spans="1:9" x14ac:dyDescent="0.3">
      <c r="A1942" s="5">
        <v>9191</v>
      </c>
      <c r="B1942" s="5" t="s">
        <v>3134</v>
      </c>
      <c r="C1942" s="5">
        <v>1</v>
      </c>
      <c r="D1942" s="5" t="s">
        <v>10</v>
      </c>
      <c r="E1942" t="s">
        <v>3135</v>
      </c>
      <c r="F1942" t="s">
        <v>3136</v>
      </c>
      <c r="G1942">
        <v>0</v>
      </c>
      <c r="H1942" t="s">
        <v>175</v>
      </c>
      <c r="I1942" s="2">
        <v>7000</v>
      </c>
    </row>
    <row r="1943" spans="1:9" x14ac:dyDescent="0.3">
      <c r="A1943" s="5">
        <v>9191</v>
      </c>
      <c r="B1943" s="5" t="s">
        <v>3134</v>
      </c>
      <c r="C1943" s="5">
        <v>1</v>
      </c>
      <c r="D1943" s="5" t="s">
        <v>10</v>
      </c>
      <c r="E1943" t="s">
        <v>3135</v>
      </c>
      <c r="F1943" t="s">
        <v>3136</v>
      </c>
      <c r="G1943">
        <v>0</v>
      </c>
      <c r="H1943" t="s">
        <v>175</v>
      </c>
      <c r="I1943" s="2">
        <v>4500</v>
      </c>
    </row>
    <row r="1944" spans="1:9" x14ac:dyDescent="0.3">
      <c r="A1944" s="5">
        <v>9190</v>
      </c>
      <c r="B1944" s="5" t="s">
        <v>3137</v>
      </c>
      <c r="C1944" s="5">
        <v>1</v>
      </c>
      <c r="D1944" s="5" t="s">
        <v>10</v>
      </c>
      <c r="E1944" t="s">
        <v>3135</v>
      </c>
      <c r="F1944" t="s">
        <v>3138</v>
      </c>
      <c r="G1944">
        <v>0</v>
      </c>
      <c r="H1944" t="s">
        <v>1403</v>
      </c>
      <c r="I1944" s="2">
        <v>9500</v>
      </c>
    </row>
    <row r="1945" spans="1:9" x14ac:dyDescent="0.3">
      <c r="A1945" s="5">
        <v>9190</v>
      </c>
      <c r="B1945" s="5" t="s">
        <v>3137</v>
      </c>
      <c r="C1945" s="5">
        <v>1</v>
      </c>
      <c r="D1945" s="5" t="s">
        <v>10</v>
      </c>
      <c r="E1945" t="s">
        <v>3135</v>
      </c>
      <c r="F1945" t="s">
        <v>3138</v>
      </c>
      <c r="G1945">
        <v>0</v>
      </c>
      <c r="H1945" t="s">
        <v>3139</v>
      </c>
      <c r="I1945" s="2">
        <v>9500</v>
      </c>
    </row>
    <row r="1946" spans="1:9" x14ac:dyDescent="0.3">
      <c r="A1946" s="5">
        <v>9190</v>
      </c>
      <c r="B1946" s="5" t="s">
        <v>3137</v>
      </c>
      <c r="C1946" s="5">
        <v>1</v>
      </c>
      <c r="D1946" s="5" t="s">
        <v>10</v>
      </c>
      <c r="E1946" t="s">
        <v>3135</v>
      </c>
      <c r="F1946" t="s">
        <v>3138</v>
      </c>
      <c r="G1946">
        <v>0</v>
      </c>
      <c r="H1946" t="s">
        <v>3140</v>
      </c>
      <c r="I1946" s="2">
        <v>1500</v>
      </c>
    </row>
    <row r="1947" spans="1:9" x14ac:dyDescent="0.3">
      <c r="A1947" s="5">
        <v>9188</v>
      </c>
      <c r="B1947" s="5" t="s">
        <v>3141</v>
      </c>
      <c r="C1947" s="5">
        <v>13</v>
      </c>
      <c r="D1947" s="5" t="s">
        <v>27</v>
      </c>
      <c r="E1947" t="s">
        <v>3142</v>
      </c>
      <c r="F1947" t="s">
        <v>3143</v>
      </c>
      <c r="G1947">
        <v>0</v>
      </c>
      <c r="H1947" t="s">
        <v>3144</v>
      </c>
      <c r="I1947" s="2">
        <v>198000</v>
      </c>
    </row>
    <row r="1948" spans="1:9" x14ac:dyDescent="0.3">
      <c r="A1948" s="5">
        <v>9188</v>
      </c>
      <c r="B1948" s="5" t="s">
        <v>3141</v>
      </c>
      <c r="C1948" s="5">
        <v>13</v>
      </c>
      <c r="D1948" s="5" t="s">
        <v>27</v>
      </c>
      <c r="E1948" t="s">
        <v>3142</v>
      </c>
      <c r="F1948" t="s">
        <v>3143</v>
      </c>
      <c r="G1948">
        <v>0</v>
      </c>
      <c r="H1948" t="s">
        <v>3145</v>
      </c>
      <c r="I1948" s="2">
        <v>500</v>
      </c>
    </row>
    <row r="1949" spans="1:9" x14ac:dyDescent="0.3">
      <c r="A1949" s="5">
        <v>9188</v>
      </c>
      <c r="B1949" s="5" t="s">
        <v>3141</v>
      </c>
      <c r="C1949" s="5">
        <v>13</v>
      </c>
      <c r="D1949" s="5" t="s">
        <v>27</v>
      </c>
      <c r="E1949" t="s">
        <v>3142</v>
      </c>
      <c r="F1949" t="s">
        <v>3143</v>
      </c>
      <c r="G1949">
        <v>0</v>
      </c>
      <c r="H1949" t="s">
        <v>3146</v>
      </c>
      <c r="I1949" s="2">
        <v>15000</v>
      </c>
    </row>
    <row r="1950" spans="1:9" x14ac:dyDescent="0.3">
      <c r="A1950" s="5">
        <v>9187</v>
      </c>
      <c r="B1950" s="5" t="s">
        <v>3147</v>
      </c>
      <c r="C1950" s="5">
        <v>1</v>
      </c>
      <c r="D1950" s="5" t="s">
        <v>10</v>
      </c>
      <c r="E1950" t="s">
        <v>3148</v>
      </c>
      <c r="F1950" t="s">
        <v>3149</v>
      </c>
      <c r="G1950">
        <v>0</v>
      </c>
      <c r="H1950" t="s">
        <v>970</v>
      </c>
      <c r="I1950" s="2">
        <v>6000</v>
      </c>
    </row>
    <row r="1951" spans="1:9" x14ac:dyDescent="0.3">
      <c r="A1951" s="5">
        <v>9187</v>
      </c>
      <c r="B1951" s="5" t="s">
        <v>3147</v>
      </c>
      <c r="C1951" s="5">
        <v>1</v>
      </c>
      <c r="D1951" s="5" t="s">
        <v>10</v>
      </c>
      <c r="E1951" t="s">
        <v>3148</v>
      </c>
      <c r="F1951" t="s">
        <v>3149</v>
      </c>
      <c r="G1951">
        <v>0</v>
      </c>
      <c r="H1951" t="s">
        <v>3150</v>
      </c>
      <c r="I1951" s="2">
        <v>7000</v>
      </c>
    </row>
    <row r="1952" spans="1:9" x14ac:dyDescent="0.3">
      <c r="A1952" s="5">
        <v>9186</v>
      </c>
      <c r="B1952" s="5" t="s">
        <v>3151</v>
      </c>
      <c r="C1952" s="5">
        <v>5</v>
      </c>
      <c r="D1952" s="5" t="s">
        <v>63</v>
      </c>
      <c r="E1952" t="s">
        <v>3152</v>
      </c>
      <c r="F1952" t="s">
        <v>3153</v>
      </c>
      <c r="G1952">
        <v>0</v>
      </c>
      <c r="H1952" t="s">
        <v>1285</v>
      </c>
      <c r="I1952" s="2">
        <v>25000</v>
      </c>
    </row>
    <row r="1953" spans="1:9" x14ac:dyDescent="0.3">
      <c r="A1953" s="5">
        <v>9186</v>
      </c>
      <c r="B1953" s="5" t="s">
        <v>3151</v>
      </c>
      <c r="C1953" s="5">
        <v>5</v>
      </c>
      <c r="D1953" s="5" t="s">
        <v>63</v>
      </c>
      <c r="E1953" t="s">
        <v>3152</v>
      </c>
      <c r="F1953" t="s">
        <v>3153</v>
      </c>
      <c r="G1953">
        <v>0</v>
      </c>
      <c r="H1953" t="s">
        <v>67</v>
      </c>
      <c r="I1953" s="2">
        <v>7000</v>
      </c>
    </row>
    <row r="1954" spans="1:9" x14ac:dyDescent="0.3">
      <c r="A1954" s="5">
        <v>9186</v>
      </c>
      <c r="B1954" s="5" t="s">
        <v>3151</v>
      </c>
      <c r="C1954" s="5">
        <v>5</v>
      </c>
      <c r="D1954" s="5" t="s">
        <v>63</v>
      </c>
      <c r="E1954" t="s">
        <v>3152</v>
      </c>
      <c r="F1954" t="s">
        <v>3153</v>
      </c>
      <c r="G1954">
        <v>0</v>
      </c>
      <c r="H1954" t="s">
        <v>909</v>
      </c>
      <c r="I1954" s="2">
        <v>10000</v>
      </c>
    </row>
    <row r="1955" spans="1:9" x14ac:dyDescent="0.3">
      <c r="A1955" s="5">
        <v>9185</v>
      </c>
      <c r="B1955" s="5" t="s">
        <v>3154</v>
      </c>
      <c r="C1955" s="5">
        <v>1</v>
      </c>
      <c r="D1955" s="5" t="s">
        <v>10</v>
      </c>
      <c r="E1955" t="s">
        <v>3155</v>
      </c>
      <c r="F1955" t="s">
        <v>3156</v>
      </c>
      <c r="G1955">
        <v>0</v>
      </c>
      <c r="H1955" t="s">
        <v>71</v>
      </c>
      <c r="I1955" s="2">
        <v>6000</v>
      </c>
    </row>
    <row r="1956" spans="1:9" x14ac:dyDescent="0.3">
      <c r="A1956" s="5">
        <v>9184</v>
      </c>
      <c r="B1956" s="5" t="s">
        <v>3157</v>
      </c>
      <c r="C1956" s="5">
        <v>1</v>
      </c>
      <c r="D1956" s="5" t="s">
        <v>10</v>
      </c>
      <c r="E1956" t="s">
        <v>3158</v>
      </c>
      <c r="F1956" t="s">
        <v>3159</v>
      </c>
      <c r="G1956">
        <v>0</v>
      </c>
      <c r="H1956" t="s">
        <v>352</v>
      </c>
      <c r="I1956" s="2">
        <v>17000</v>
      </c>
    </row>
    <row r="1957" spans="1:9" x14ac:dyDescent="0.3">
      <c r="A1957" s="5">
        <v>9184</v>
      </c>
      <c r="B1957" s="5" t="s">
        <v>3157</v>
      </c>
      <c r="C1957" s="5">
        <v>1</v>
      </c>
      <c r="D1957" s="5" t="s">
        <v>10</v>
      </c>
      <c r="E1957" t="s">
        <v>3158</v>
      </c>
      <c r="F1957" t="s">
        <v>3159</v>
      </c>
      <c r="G1957">
        <v>0</v>
      </c>
      <c r="H1957" t="s">
        <v>35</v>
      </c>
      <c r="I1957" s="2">
        <v>9000</v>
      </c>
    </row>
    <row r="1958" spans="1:9" x14ac:dyDescent="0.3">
      <c r="A1958" s="5">
        <v>9184</v>
      </c>
      <c r="B1958" s="5" t="s">
        <v>3157</v>
      </c>
      <c r="C1958" s="5">
        <v>1</v>
      </c>
      <c r="D1958" s="5" t="s">
        <v>10</v>
      </c>
      <c r="E1958" t="s">
        <v>3158</v>
      </c>
      <c r="F1958" t="s">
        <v>3159</v>
      </c>
      <c r="G1958">
        <v>0</v>
      </c>
      <c r="H1958" t="s">
        <v>3160</v>
      </c>
      <c r="I1958" s="2">
        <v>10000</v>
      </c>
    </row>
    <row r="1959" spans="1:9" x14ac:dyDescent="0.3">
      <c r="A1959" s="5">
        <v>9182</v>
      </c>
      <c r="B1959" s="5" t="s">
        <v>3161</v>
      </c>
      <c r="C1959" s="5">
        <v>1</v>
      </c>
      <c r="D1959" s="5" t="s">
        <v>10</v>
      </c>
      <c r="E1959" t="s">
        <v>3162</v>
      </c>
      <c r="F1959" t="s">
        <v>3163</v>
      </c>
      <c r="G1959">
        <v>0</v>
      </c>
      <c r="H1959" t="s">
        <v>3164</v>
      </c>
      <c r="I1959" s="2">
        <v>9000</v>
      </c>
    </row>
    <row r="1960" spans="1:9" x14ac:dyDescent="0.3">
      <c r="A1960" s="5">
        <v>9179</v>
      </c>
      <c r="B1960" s="5" t="s">
        <v>3165</v>
      </c>
      <c r="C1960" s="5">
        <v>2</v>
      </c>
      <c r="D1960" s="5" t="s">
        <v>261</v>
      </c>
      <c r="E1960" t="s">
        <v>3166</v>
      </c>
      <c r="F1960" t="s">
        <v>3167</v>
      </c>
      <c r="G1960">
        <v>0</v>
      </c>
      <c r="H1960" t="s">
        <v>264</v>
      </c>
      <c r="I1960" s="2">
        <v>5000</v>
      </c>
    </row>
    <row r="1961" spans="1:9" x14ac:dyDescent="0.3">
      <c r="A1961" s="5">
        <v>9179</v>
      </c>
      <c r="B1961" s="5" t="s">
        <v>3165</v>
      </c>
      <c r="C1961" s="5">
        <v>2</v>
      </c>
      <c r="D1961" s="5" t="s">
        <v>261</v>
      </c>
      <c r="E1961" t="s">
        <v>3166</v>
      </c>
      <c r="F1961" t="s">
        <v>3167</v>
      </c>
      <c r="G1961">
        <v>0</v>
      </c>
      <c r="H1961" t="s">
        <v>265</v>
      </c>
      <c r="I1961" s="2">
        <v>6000</v>
      </c>
    </row>
    <row r="1962" spans="1:9" x14ac:dyDescent="0.3">
      <c r="A1962" s="5">
        <v>9179</v>
      </c>
      <c r="B1962" s="5" t="s">
        <v>3165</v>
      </c>
      <c r="C1962" s="5">
        <v>2</v>
      </c>
      <c r="D1962" s="5" t="s">
        <v>261</v>
      </c>
      <c r="E1962" t="s">
        <v>3166</v>
      </c>
      <c r="F1962" t="s">
        <v>3167</v>
      </c>
      <c r="G1962">
        <v>0</v>
      </c>
      <c r="H1962" t="s">
        <v>755</v>
      </c>
      <c r="I1962" s="2">
        <v>6500</v>
      </c>
    </row>
    <row r="1963" spans="1:9" x14ac:dyDescent="0.3">
      <c r="A1963" s="5">
        <v>9178</v>
      </c>
      <c r="B1963" s="5" t="s">
        <v>3168</v>
      </c>
      <c r="C1963" s="5">
        <v>1</v>
      </c>
      <c r="D1963" s="5" t="s">
        <v>10</v>
      </c>
      <c r="E1963" t="s">
        <v>3169</v>
      </c>
      <c r="F1963" t="s">
        <v>3170</v>
      </c>
      <c r="G1963">
        <v>0</v>
      </c>
      <c r="H1963" t="s">
        <v>3171</v>
      </c>
      <c r="I1963" s="2">
        <v>9000</v>
      </c>
    </row>
    <row r="1964" spans="1:9" x14ac:dyDescent="0.3">
      <c r="A1964" s="5">
        <v>9178</v>
      </c>
      <c r="B1964" s="5" t="s">
        <v>3168</v>
      </c>
      <c r="C1964" s="5">
        <v>1</v>
      </c>
      <c r="D1964" s="5" t="s">
        <v>10</v>
      </c>
      <c r="E1964" t="s">
        <v>3169</v>
      </c>
      <c r="F1964" t="s">
        <v>3170</v>
      </c>
      <c r="G1964">
        <v>0</v>
      </c>
      <c r="H1964" t="s">
        <v>149</v>
      </c>
      <c r="I1964" s="2">
        <v>8000</v>
      </c>
    </row>
    <row r="1965" spans="1:9" x14ac:dyDescent="0.3">
      <c r="A1965" s="5">
        <v>9178</v>
      </c>
      <c r="B1965" s="5" t="s">
        <v>3168</v>
      </c>
      <c r="C1965" s="5">
        <v>1</v>
      </c>
      <c r="D1965" s="5" t="s">
        <v>10</v>
      </c>
      <c r="E1965" t="s">
        <v>3169</v>
      </c>
      <c r="F1965" t="s">
        <v>3170</v>
      </c>
      <c r="G1965">
        <v>0</v>
      </c>
      <c r="H1965" t="s">
        <v>3172</v>
      </c>
      <c r="I1965" s="2">
        <v>7000</v>
      </c>
    </row>
    <row r="1966" spans="1:9" x14ac:dyDescent="0.3">
      <c r="A1966" s="5">
        <v>9177</v>
      </c>
      <c r="B1966" s="5" t="s">
        <v>3173</v>
      </c>
      <c r="C1966" s="5">
        <v>5</v>
      </c>
      <c r="D1966" s="5" t="s">
        <v>63</v>
      </c>
      <c r="E1966" t="s">
        <v>3174</v>
      </c>
      <c r="F1966" t="s">
        <v>3175</v>
      </c>
      <c r="G1966">
        <v>0</v>
      </c>
      <c r="H1966" t="s">
        <v>67</v>
      </c>
      <c r="I1966" s="2">
        <v>8000</v>
      </c>
    </row>
    <row r="1967" spans="1:9" x14ac:dyDescent="0.3">
      <c r="A1967" s="5">
        <v>9176</v>
      </c>
      <c r="B1967" s="5" t="s">
        <v>3176</v>
      </c>
      <c r="C1967" s="5">
        <v>1</v>
      </c>
      <c r="D1967" s="5" t="s">
        <v>10</v>
      </c>
      <c r="E1967" t="s">
        <v>3177</v>
      </c>
      <c r="F1967" t="s">
        <v>3178</v>
      </c>
      <c r="G1967">
        <v>0</v>
      </c>
      <c r="H1967" t="s">
        <v>126</v>
      </c>
      <c r="I1967" s="2">
        <v>5000</v>
      </c>
    </row>
    <row r="1968" spans="1:9" x14ac:dyDescent="0.3">
      <c r="A1968" s="5">
        <v>9176</v>
      </c>
      <c r="B1968" s="5" t="s">
        <v>3176</v>
      </c>
      <c r="C1968" s="5">
        <v>1</v>
      </c>
      <c r="D1968" s="5" t="s">
        <v>10</v>
      </c>
      <c r="E1968" t="s">
        <v>3177</v>
      </c>
      <c r="F1968" t="s">
        <v>3178</v>
      </c>
      <c r="G1968">
        <v>0</v>
      </c>
      <c r="H1968" t="s">
        <v>1042</v>
      </c>
      <c r="I1968" s="2">
        <v>5500</v>
      </c>
    </row>
    <row r="1969" spans="1:9" x14ac:dyDescent="0.3">
      <c r="A1969" s="5">
        <v>9176</v>
      </c>
      <c r="B1969" s="5" t="s">
        <v>3176</v>
      </c>
      <c r="C1969" s="5">
        <v>1</v>
      </c>
      <c r="D1969" s="5" t="s">
        <v>10</v>
      </c>
      <c r="E1969" t="s">
        <v>3177</v>
      </c>
      <c r="F1969" t="s">
        <v>3178</v>
      </c>
      <c r="G1969">
        <v>0</v>
      </c>
      <c r="H1969" t="s">
        <v>2705</v>
      </c>
      <c r="I1969" s="2">
        <v>4500</v>
      </c>
    </row>
    <row r="1970" spans="1:9" x14ac:dyDescent="0.3">
      <c r="A1970" s="5">
        <v>9175</v>
      </c>
      <c r="B1970" s="5" t="s">
        <v>1193</v>
      </c>
      <c r="C1970" s="5">
        <v>2</v>
      </c>
      <c r="D1970" s="5" t="s">
        <v>261</v>
      </c>
      <c r="E1970" t="s">
        <v>3179</v>
      </c>
      <c r="F1970" t="s">
        <v>3180</v>
      </c>
      <c r="G1970">
        <v>0</v>
      </c>
      <c r="H1970" t="s">
        <v>642</v>
      </c>
      <c r="I1970" s="2">
        <v>3000</v>
      </c>
    </row>
    <row r="1971" spans="1:9" x14ac:dyDescent="0.3">
      <c r="A1971" s="5">
        <v>9175</v>
      </c>
      <c r="B1971" s="5" t="s">
        <v>1193</v>
      </c>
      <c r="C1971" s="5">
        <v>2</v>
      </c>
      <c r="D1971" s="5" t="s">
        <v>261</v>
      </c>
      <c r="E1971" t="s">
        <v>3179</v>
      </c>
      <c r="F1971" t="s">
        <v>3180</v>
      </c>
      <c r="G1971">
        <v>0</v>
      </c>
      <c r="H1971" t="s">
        <v>265</v>
      </c>
      <c r="I1971" s="2">
        <v>5000</v>
      </c>
    </row>
    <row r="1972" spans="1:9" x14ac:dyDescent="0.3">
      <c r="A1972" s="5">
        <v>9174</v>
      </c>
      <c r="B1972" s="5" t="s">
        <v>3181</v>
      </c>
      <c r="C1972" s="5">
        <v>2</v>
      </c>
      <c r="D1972" s="5" t="s">
        <v>261</v>
      </c>
      <c r="E1972" t="s">
        <v>3182</v>
      </c>
      <c r="F1972" t="s">
        <v>3183</v>
      </c>
      <c r="G1972">
        <v>0</v>
      </c>
      <c r="H1972" t="s">
        <v>265</v>
      </c>
      <c r="I1972" s="2">
        <v>5000</v>
      </c>
    </row>
    <row r="1973" spans="1:9" x14ac:dyDescent="0.3">
      <c r="A1973" s="5">
        <v>9174</v>
      </c>
      <c r="B1973" s="5" t="s">
        <v>3181</v>
      </c>
      <c r="C1973" s="5">
        <v>2</v>
      </c>
      <c r="D1973" s="5" t="s">
        <v>261</v>
      </c>
      <c r="E1973" t="s">
        <v>3182</v>
      </c>
      <c r="F1973" t="s">
        <v>3183</v>
      </c>
      <c r="G1973">
        <v>0</v>
      </c>
      <c r="H1973" t="s">
        <v>641</v>
      </c>
      <c r="I1973" s="2">
        <v>6000</v>
      </c>
    </row>
    <row r="1974" spans="1:9" x14ac:dyDescent="0.3">
      <c r="A1974" s="5">
        <v>9174</v>
      </c>
      <c r="B1974" s="5" t="s">
        <v>3181</v>
      </c>
      <c r="C1974" s="5">
        <v>2</v>
      </c>
      <c r="D1974" s="5" t="s">
        <v>261</v>
      </c>
      <c r="E1974" t="s">
        <v>3182</v>
      </c>
      <c r="F1974" t="s">
        <v>3183</v>
      </c>
      <c r="G1974">
        <v>0</v>
      </c>
      <c r="H1974" t="s">
        <v>642</v>
      </c>
      <c r="I1974" s="2">
        <v>5000</v>
      </c>
    </row>
    <row r="1975" spans="1:9" x14ac:dyDescent="0.3">
      <c r="A1975" s="5">
        <v>9173</v>
      </c>
      <c r="B1975" s="5" t="s">
        <v>3184</v>
      </c>
      <c r="C1975" s="5">
        <v>1</v>
      </c>
      <c r="D1975" s="5" t="s">
        <v>10</v>
      </c>
      <c r="E1975" t="s">
        <v>3185</v>
      </c>
      <c r="F1975" t="s">
        <v>3186</v>
      </c>
      <c r="G1975">
        <v>0</v>
      </c>
      <c r="H1975" t="s">
        <v>139</v>
      </c>
      <c r="I1975" s="2">
        <v>6000</v>
      </c>
    </row>
    <row r="1976" spans="1:9" x14ac:dyDescent="0.3">
      <c r="A1976" s="5">
        <v>9173</v>
      </c>
      <c r="B1976" s="5" t="s">
        <v>3184</v>
      </c>
      <c r="C1976" s="5">
        <v>1</v>
      </c>
      <c r="D1976" s="5" t="s">
        <v>10</v>
      </c>
      <c r="E1976" t="s">
        <v>3185</v>
      </c>
      <c r="F1976" t="s">
        <v>3186</v>
      </c>
      <c r="G1976">
        <v>0</v>
      </c>
      <c r="H1976" t="s">
        <v>126</v>
      </c>
      <c r="I1976" s="2">
        <v>6000</v>
      </c>
    </row>
    <row r="1977" spans="1:9" x14ac:dyDescent="0.3">
      <c r="A1977" s="5">
        <v>9173</v>
      </c>
      <c r="B1977" s="5" t="s">
        <v>3184</v>
      </c>
      <c r="C1977" s="5">
        <v>1</v>
      </c>
      <c r="D1977" s="5" t="s">
        <v>10</v>
      </c>
      <c r="E1977" t="s">
        <v>3185</v>
      </c>
      <c r="F1977" t="s">
        <v>3186</v>
      </c>
      <c r="G1977">
        <v>0</v>
      </c>
      <c r="H1977" t="s">
        <v>133</v>
      </c>
      <c r="I1977" s="2">
        <v>6000</v>
      </c>
    </row>
    <row r="1978" spans="1:9" x14ac:dyDescent="0.3">
      <c r="A1978" s="5">
        <v>9172</v>
      </c>
      <c r="B1978" s="5" t="s">
        <v>3187</v>
      </c>
      <c r="C1978" s="5">
        <v>7</v>
      </c>
      <c r="D1978" s="5" t="s">
        <v>360</v>
      </c>
      <c r="E1978" t="s">
        <v>3188</v>
      </c>
      <c r="F1978" t="s">
        <v>3189</v>
      </c>
      <c r="G1978">
        <v>0</v>
      </c>
      <c r="H1978" t="s">
        <v>364</v>
      </c>
      <c r="I1978" s="2">
        <v>2500</v>
      </c>
    </row>
    <row r="1979" spans="1:9" x14ac:dyDescent="0.3">
      <c r="A1979" s="5">
        <v>9172</v>
      </c>
      <c r="B1979" s="5" t="s">
        <v>3187</v>
      </c>
      <c r="C1979" s="5">
        <v>7</v>
      </c>
      <c r="D1979" s="5" t="s">
        <v>360</v>
      </c>
      <c r="E1979" t="s">
        <v>3188</v>
      </c>
      <c r="F1979" t="s">
        <v>3189</v>
      </c>
      <c r="G1979">
        <v>0</v>
      </c>
      <c r="H1979" t="s">
        <v>1672</v>
      </c>
      <c r="I1979" s="2">
        <v>3000</v>
      </c>
    </row>
    <row r="1980" spans="1:9" x14ac:dyDescent="0.3">
      <c r="A1980" s="5">
        <v>9172</v>
      </c>
      <c r="B1980" s="5" t="s">
        <v>3187</v>
      </c>
      <c r="C1980" s="5">
        <v>7</v>
      </c>
      <c r="D1980" s="5" t="s">
        <v>360</v>
      </c>
      <c r="E1980" t="s">
        <v>3188</v>
      </c>
      <c r="F1980" t="s">
        <v>3189</v>
      </c>
      <c r="G1980">
        <v>0</v>
      </c>
      <c r="H1980" t="s">
        <v>3190</v>
      </c>
      <c r="I1980" s="2">
        <v>6000</v>
      </c>
    </row>
    <row r="1981" spans="1:9" x14ac:dyDescent="0.3">
      <c r="A1981" s="5">
        <v>9171</v>
      </c>
      <c r="B1981" s="5" t="s">
        <v>3191</v>
      </c>
      <c r="C1981" s="5">
        <v>13</v>
      </c>
      <c r="D1981" s="5" t="s">
        <v>27</v>
      </c>
      <c r="E1981" t="s">
        <v>3192</v>
      </c>
      <c r="F1981" t="s">
        <v>3193</v>
      </c>
      <c r="G1981">
        <v>0</v>
      </c>
      <c r="H1981" t="s">
        <v>1183</v>
      </c>
      <c r="I1981" s="2">
        <v>7000</v>
      </c>
    </row>
    <row r="1982" spans="1:9" x14ac:dyDescent="0.3">
      <c r="A1982" s="5">
        <v>9170</v>
      </c>
      <c r="B1982" s="5" t="s">
        <v>3194</v>
      </c>
      <c r="C1982" s="5">
        <v>1</v>
      </c>
      <c r="D1982" s="5" t="s">
        <v>10</v>
      </c>
      <c r="E1982" t="s">
        <v>3195</v>
      </c>
      <c r="F1982" t="s">
        <v>3196</v>
      </c>
      <c r="G1982">
        <v>0</v>
      </c>
      <c r="H1982" t="s">
        <v>37</v>
      </c>
      <c r="I1982" s="2">
        <v>7000</v>
      </c>
    </row>
    <row r="1983" spans="1:9" x14ac:dyDescent="0.3">
      <c r="A1983" s="5">
        <v>9170</v>
      </c>
      <c r="B1983" s="5" t="s">
        <v>3194</v>
      </c>
      <c r="C1983" s="5">
        <v>1</v>
      </c>
      <c r="D1983" s="5" t="s">
        <v>10</v>
      </c>
      <c r="E1983" t="s">
        <v>3195</v>
      </c>
      <c r="F1983" t="s">
        <v>3196</v>
      </c>
      <c r="G1983">
        <v>0</v>
      </c>
      <c r="H1983" t="s">
        <v>133</v>
      </c>
      <c r="I1983" s="2">
        <v>7000</v>
      </c>
    </row>
    <row r="1984" spans="1:9" x14ac:dyDescent="0.3">
      <c r="A1984" s="5">
        <v>9170</v>
      </c>
      <c r="B1984" s="5" t="s">
        <v>3194</v>
      </c>
      <c r="C1984" s="5">
        <v>1</v>
      </c>
      <c r="D1984" s="5" t="s">
        <v>10</v>
      </c>
      <c r="E1984" t="s">
        <v>3195</v>
      </c>
      <c r="F1984" t="s">
        <v>3196</v>
      </c>
      <c r="G1984">
        <v>0</v>
      </c>
      <c r="H1984" t="s">
        <v>189</v>
      </c>
      <c r="I1984" s="2">
        <v>9000</v>
      </c>
    </row>
    <row r="1985" spans="1:9" x14ac:dyDescent="0.3">
      <c r="A1985" s="5">
        <v>9170</v>
      </c>
      <c r="B1985" s="5" t="s">
        <v>3194</v>
      </c>
      <c r="C1985" s="5">
        <v>1</v>
      </c>
      <c r="D1985" s="5" t="s">
        <v>10</v>
      </c>
      <c r="E1985" t="s">
        <v>3195</v>
      </c>
      <c r="F1985" t="s">
        <v>3196</v>
      </c>
      <c r="G1985">
        <v>0</v>
      </c>
      <c r="H1985" t="s">
        <v>139</v>
      </c>
      <c r="I1985" s="2">
        <v>7000</v>
      </c>
    </row>
    <row r="1986" spans="1:9" x14ac:dyDescent="0.3">
      <c r="A1986" s="5">
        <v>9170</v>
      </c>
      <c r="B1986" s="5" t="s">
        <v>3194</v>
      </c>
      <c r="C1986" s="5">
        <v>1</v>
      </c>
      <c r="D1986" s="5" t="s">
        <v>10</v>
      </c>
      <c r="E1986" t="s">
        <v>3195</v>
      </c>
      <c r="F1986" t="s">
        <v>3196</v>
      </c>
      <c r="G1986">
        <v>0</v>
      </c>
      <c r="H1986" t="s">
        <v>37</v>
      </c>
      <c r="I1986" s="2">
        <v>7000</v>
      </c>
    </row>
    <row r="1987" spans="1:9" x14ac:dyDescent="0.3">
      <c r="A1987" s="5">
        <v>9169</v>
      </c>
      <c r="B1987" s="5" t="s">
        <v>3197</v>
      </c>
      <c r="C1987" s="5">
        <v>4</v>
      </c>
      <c r="D1987" s="5" t="s">
        <v>39</v>
      </c>
      <c r="E1987" t="s">
        <v>3198</v>
      </c>
      <c r="F1987" t="s">
        <v>3199</v>
      </c>
      <c r="G1987">
        <v>0</v>
      </c>
      <c r="H1987" t="s">
        <v>3200</v>
      </c>
      <c r="I1987" s="2">
        <v>5500</v>
      </c>
    </row>
    <row r="1988" spans="1:9" x14ac:dyDescent="0.3">
      <c r="A1988" s="5">
        <v>9169</v>
      </c>
      <c r="B1988" s="5" t="s">
        <v>3197</v>
      </c>
      <c r="C1988" s="5">
        <v>4</v>
      </c>
      <c r="D1988" s="5" t="s">
        <v>39</v>
      </c>
      <c r="E1988" t="s">
        <v>3198</v>
      </c>
      <c r="F1988" t="s">
        <v>3199</v>
      </c>
      <c r="G1988">
        <v>0</v>
      </c>
      <c r="H1988" t="s">
        <v>3201</v>
      </c>
      <c r="I1988" s="2">
        <v>4500</v>
      </c>
    </row>
    <row r="1989" spans="1:9" x14ac:dyDescent="0.3">
      <c r="A1989" s="5">
        <v>9168</v>
      </c>
      <c r="B1989" s="5" t="s">
        <v>3202</v>
      </c>
      <c r="C1989" s="5">
        <v>1</v>
      </c>
      <c r="D1989" s="5" t="s">
        <v>10</v>
      </c>
      <c r="E1989" t="s">
        <v>3203</v>
      </c>
      <c r="F1989" t="s">
        <v>3204</v>
      </c>
      <c r="G1989">
        <v>0</v>
      </c>
      <c r="H1989" t="s">
        <v>21</v>
      </c>
      <c r="I1989" s="2">
        <v>6000</v>
      </c>
    </row>
    <row r="1990" spans="1:9" x14ac:dyDescent="0.3">
      <c r="A1990" s="5">
        <v>9168</v>
      </c>
      <c r="B1990" s="5" t="s">
        <v>3202</v>
      </c>
      <c r="C1990" s="5">
        <v>1</v>
      </c>
      <c r="D1990" s="5" t="s">
        <v>10</v>
      </c>
      <c r="E1990" t="s">
        <v>3203</v>
      </c>
      <c r="F1990" t="s">
        <v>3204</v>
      </c>
      <c r="G1990">
        <v>0</v>
      </c>
      <c r="H1990" t="s">
        <v>149</v>
      </c>
      <c r="I1990" s="2">
        <v>8000</v>
      </c>
    </row>
    <row r="1991" spans="1:9" x14ac:dyDescent="0.3">
      <c r="A1991" s="5">
        <v>9168</v>
      </c>
      <c r="B1991" s="5" t="s">
        <v>3202</v>
      </c>
      <c r="C1991" s="5">
        <v>1</v>
      </c>
      <c r="D1991" s="5" t="s">
        <v>10</v>
      </c>
      <c r="E1991" t="s">
        <v>3203</v>
      </c>
      <c r="F1991" t="s">
        <v>3204</v>
      </c>
      <c r="G1991">
        <v>0</v>
      </c>
      <c r="H1991" t="s">
        <v>126</v>
      </c>
      <c r="I1991" s="2">
        <v>7000</v>
      </c>
    </row>
    <row r="1992" spans="1:9" x14ac:dyDescent="0.3">
      <c r="A1992" s="5">
        <v>9168</v>
      </c>
      <c r="B1992" s="5" t="s">
        <v>3202</v>
      </c>
      <c r="C1992" s="5">
        <v>1</v>
      </c>
      <c r="D1992" s="5" t="s">
        <v>10</v>
      </c>
      <c r="E1992" t="s">
        <v>3203</v>
      </c>
      <c r="F1992" t="s">
        <v>3204</v>
      </c>
      <c r="G1992">
        <v>0</v>
      </c>
      <c r="H1992" t="s">
        <v>139</v>
      </c>
      <c r="I1992" s="2">
        <v>7000</v>
      </c>
    </row>
    <row r="1993" spans="1:9" x14ac:dyDescent="0.3">
      <c r="A1993" s="5">
        <v>9167</v>
      </c>
      <c r="B1993" s="5" t="s">
        <v>3205</v>
      </c>
      <c r="C1993" s="5">
        <v>5</v>
      </c>
      <c r="D1993" s="5" t="s">
        <v>63</v>
      </c>
      <c r="E1993" t="s">
        <v>3206</v>
      </c>
      <c r="F1993" t="s">
        <v>3207</v>
      </c>
      <c r="G1993">
        <v>0</v>
      </c>
      <c r="H1993" t="s">
        <v>1318</v>
      </c>
      <c r="I1993" s="2">
        <v>8000</v>
      </c>
    </row>
    <row r="1994" spans="1:9" x14ac:dyDescent="0.3">
      <c r="A1994" s="5">
        <v>9167</v>
      </c>
      <c r="B1994" s="5" t="s">
        <v>3205</v>
      </c>
      <c r="C1994" s="5">
        <v>5</v>
      </c>
      <c r="D1994" s="5" t="s">
        <v>63</v>
      </c>
      <c r="E1994" t="s">
        <v>3206</v>
      </c>
      <c r="F1994" t="s">
        <v>3207</v>
      </c>
      <c r="G1994">
        <v>0</v>
      </c>
      <c r="H1994" t="s">
        <v>3208</v>
      </c>
      <c r="I1994" s="2">
        <v>24000</v>
      </c>
    </row>
    <row r="1995" spans="1:9" x14ac:dyDescent="0.3">
      <c r="A1995" s="5">
        <v>9167</v>
      </c>
      <c r="B1995" s="5" t="s">
        <v>3205</v>
      </c>
      <c r="C1995" s="5">
        <v>5</v>
      </c>
      <c r="D1995" s="5" t="s">
        <v>63</v>
      </c>
      <c r="E1995" t="s">
        <v>3206</v>
      </c>
      <c r="F1995" t="s">
        <v>3207</v>
      </c>
      <c r="G1995">
        <v>0</v>
      </c>
      <c r="H1995" t="s">
        <v>67</v>
      </c>
      <c r="I1995" s="2">
        <v>10000</v>
      </c>
    </row>
    <row r="1996" spans="1:9" x14ac:dyDescent="0.3">
      <c r="A1996" s="5">
        <v>9167</v>
      </c>
      <c r="B1996" s="5" t="s">
        <v>3205</v>
      </c>
      <c r="C1996" s="5">
        <v>5</v>
      </c>
      <c r="D1996" s="5" t="s">
        <v>63</v>
      </c>
      <c r="E1996" t="s">
        <v>3206</v>
      </c>
      <c r="F1996" t="s">
        <v>3207</v>
      </c>
      <c r="G1996">
        <v>0</v>
      </c>
      <c r="H1996" t="s">
        <v>88</v>
      </c>
      <c r="I1996" s="2">
        <v>18000</v>
      </c>
    </row>
    <row r="1997" spans="1:9" x14ac:dyDescent="0.3">
      <c r="A1997" s="5">
        <v>9166</v>
      </c>
      <c r="B1997" s="5" t="s">
        <v>3209</v>
      </c>
      <c r="C1997" s="5">
        <v>1</v>
      </c>
      <c r="D1997" s="5" t="s">
        <v>10</v>
      </c>
      <c r="E1997" t="s">
        <v>3210</v>
      </c>
      <c r="F1997" t="s">
        <v>3211</v>
      </c>
      <c r="G1997">
        <v>0</v>
      </c>
      <c r="H1997" t="s">
        <v>134</v>
      </c>
      <c r="I1997" s="2">
        <v>5000</v>
      </c>
    </row>
    <row r="1998" spans="1:9" x14ac:dyDescent="0.3">
      <c r="A1998" s="5">
        <v>9164</v>
      </c>
      <c r="B1998" s="5" t="s">
        <v>3212</v>
      </c>
      <c r="C1998" s="5">
        <v>5</v>
      </c>
      <c r="D1998" s="5" t="s">
        <v>63</v>
      </c>
      <c r="E1998" t="s">
        <v>3213</v>
      </c>
      <c r="F1998" t="s">
        <v>3214</v>
      </c>
      <c r="G1998">
        <v>0</v>
      </c>
      <c r="H1998" t="s">
        <v>2126</v>
      </c>
      <c r="I1998" s="2">
        <v>20000</v>
      </c>
    </row>
    <row r="1999" spans="1:9" x14ac:dyDescent="0.3">
      <c r="A1999" s="5">
        <v>9164</v>
      </c>
      <c r="B1999" s="5" t="s">
        <v>3212</v>
      </c>
      <c r="C1999" s="5">
        <v>5</v>
      </c>
      <c r="D1999" s="5" t="s">
        <v>63</v>
      </c>
      <c r="E1999" t="s">
        <v>3213</v>
      </c>
      <c r="F1999" t="s">
        <v>3214</v>
      </c>
      <c r="G1999">
        <v>0</v>
      </c>
      <c r="H1999" t="s">
        <v>67</v>
      </c>
      <c r="I1999" s="2">
        <v>8000</v>
      </c>
    </row>
    <row r="2000" spans="1:9" x14ac:dyDescent="0.3">
      <c r="A2000" s="5">
        <v>9163</v>
      </c>
      <c r="B2000" s="5" t="s">
        <v>3215</v>
      </c>
      <c r="C2000" s="5">
        <v>5</v>
      </c>
      <c r="D2000" s="5" t="s">
        <v>63</v>
      </c>
      <c r="E2000" t="s">
        <v>3216</v>
      </c>
      <c r="F2000" t="s">
        <v>3217</v>
      </c>
      <c r="G2000">
        <v>0</v>
      </c>
      <c r="H2000" t="s">
        <v>88</v>
      </c>
      <c r="I2000" s="2">
        <v>25000</v>
      </c>
    </row>
    <row r="2001" spans="1:9" x14ac:dyDescent="0.3">
      <c r="A2001" s="5">
        <v>9163</v>
      </c>
      <c r="B2001" s="5" t="s">
        <v>3215</v>
      </c>
      <c r="C2001" s="5">
        <v>5</v>
      </c>
      <c r="D2001" s="5" t="s">
        <v>63</v>
      </c>
      <c r="E2001" t="s">
        <v>3216</v>
      </c>
      <c r="F2001" t="s">
        <v>3217</v>
      </c>
      <c r="G2001">
        <v>0</v>
      </c>
      <c r="H2001" t="s">
        <v>67</v>
      </c>
      <c r="I2001" s="2">
        <v>8000</v>
      </c>
    </row>
    <row r="2002" spans="1:9" x14ac:dyDescent="0.3">
      <c r="A2002" s="5">
        <v>9162</v>
      </c>
      <c r="B2002" s="5" t="s">
        <v>3218</v>
      </c>
      <c r="C2002" s="5">
        <v>5</v>
      </c>
      <c r="D2002" s="5" t="s">
        <v>63</v>
      </c>
      <c r="E2002" t="s">
        <v>3219</v>
      </c>
      <c r="F2002" t="s">
        <v>3220</v>
      </c>
      <c r="G2002">
        <v>0</v>
      </c>
      <c r="H2002" t="s">
        <v>2126</v>
      </c>
      <c r="I2002" s="2">
        <v>2000</v>
      </c>
    </row>
    <row r="2003" spans="1:9" x14ac:dyDescent="0.3">
      <c r="A2003" s="5">
        <v>9162</v>
      </c>
      <c r="B2003" s="5" t="s">
        <v>3218</v>
      </c>
      <c r="C2003" s="5">
        <v>5</v>
      </c>
      <c r="D2003" s="5" t="s">
        <v>63</v>
      </c>
      <c r="E2003" t="s">
        <v>3219</v>
      </c>
      <c r="F2003" t="s">
        <v>3220</v>
      </c>
      <c r="G2003">
        <v>0</v>
      </c>
      <c r="H2003" t="s">
        <v>67</v>
      </c>
      <c r="I2003" s="2">
        <v>8000</v>
      </c>
    </row>
    <row r="2004" spans="1:9" x14ac:dyDescent="0.3">
      <c r="A2004" s="5">
        <v>9162</v>
      </c>
      <c r="B2004" s="5" t="s">
        <v>3218</v>
      </c>
      <c r="C2004" s="5">
        <v>5</v>
      </c>
      <c r="D2004" s="5" t="s">
        <v>63</v>
      </c>
      <c r="E2004" t="s">
        <v>3219</v>
      </c>
      <c r="F2004" t="s">
        <v>3220</v>
      </c>
      <c r="G2004">
        <v>0</v>
      </c>
      <c r="H2004" t="s">
        <v>3221</v>
      </c>
      <c r="I2004" s="2">
        <v>25000</v>
      </c>
    </row>
    <row r="2005" spans="1:9" x14ac:dyDescent="0.3">
      <c r="A2005" s="5">
        <v>9161</v>
      </c>
      <c r="B2005" s="5" t="s">
        <v>3222</v>
      </c>
      <c r="C2005" s="5">
        <v>1</v>
      </c>
      <c r="D2005" s="5" t="s">
        <v>10</v>
      </c>
      <c r="E2005" t="s">
        <v>3223</v>
      </c>
      <c r="F2005" t="s">
        <v>3224</v>
      </c>
      <c r="G2005">
        <v>0</v>
      </c>
      <c r="H2005" t="s">
        <v>3225</v>
      </c>
      <c r="I2005" s="2">
        <v>12000</v>
      </c>
    </row>
    <row r="2006" spans="1:9" x14ac:dyDescent="0.3">
      <c r="A2006" s="5">
        <v>9161</v>
      </c>
      <c r="B2006" s="5" t="s">
        <v>3222</v>
      </c>
      <c r="C2006" s="5">
        <v>1</v>
      </c>
      <c r="D2006" s="5" t="s">
        <v>10</v>
      </c>
      <c r="E2006" t="s">
        <v>3223</v>
      </c>
      <c r="F2006" t="s">
        <v>3224</v>
      </c>
      <c r="G2006">
        <v>0</v>
      </c>
      <c r="H2006" t="s">
        <v>126</v>
      </c>
      <c r="I2006" s="2">
        <v>8000</v>
      </c>
    </row>
    <row r="2007" spans="1:9" x14ac:dyDescent="0.3">
      <c r="A2007" s="5">
        <v>9161</v>
      </c>
      <c r="B2007" s="5" t="s">
        <v>3222</v>
      </c>
      <c r="C2007" s="5">
        <v>1</v>
      </c>
      <c r="D2007" s="5" t="s">
        <v>10</v>
      </c>
      <c r="E2007" t="s">
        <v>3223</v>
      </c>
      <c r="F2007" t="s">
        <v>3224</v>
      </c>
      <c r="G2007">
        <v>0</v>
      </c>
      <c r="H2007" t="s">
        <v>21</v>
      </c>
      <c r="I2007" s="2">
        <v>8000</v>
      </c>
    </row>
    <row r="2008" spans="1:9" x14ac:dyDescent="0.3">
      <c r="A2008" s="5">
        <v>9161</v>
      </c>
      <c r="B2008" s="5" t="s">
        <v>3222</v>
      </c>
      <c r="C2008" s="5">
        <v>1</v>
      </c>
      <c r="D2008" s="5" t="s">
        <v>10</v>
      </c>
      <c r="E2008" t="s">
        <v>3223</v>
      </c>
      <c r="F2008" t="s">
        <v>3224</v>
      </c>
      <c r="G2008">
        <v>0</v>
      </c>
      <c r="H2008" t="s">
        <v>139</v>
      </c>
      <c r="I2008" s="2">
        <v>8000</v>
      </c>
    </row>
    <row r="2009" spans="1:9" x14ac:dyDescent="0.3">
      <c r="A2009" s="5">
        <v>9160</v>
      </c>
      <c r="B2009" s="5" t="s">
        <v>3226</v>
      </c>
      <c r="C2009" s="5">
        <v>13</v>
      </c>
      <c r="D2009" s="5" t="s">
        <v>27</v>
      </c>
      <c r="E2009" t="s">
        <v>3227</v>
      </c>
      <c r="F2009" t="s">
        <v>3228</v>
      </c>
      <c r="G2009">
        <v>0</v>
      </c>
      <c r="H2009" t="s">
        <v>1665</v>
      </c>
      <c r="I2009" s="2">
        <v>500</v>
      </c>
    </row>
    <row r="2010" spans="1:9" x14ac:dyDescent="0.3">
      <c r="A2010" s="5">
        <v>9160</v>
      </c>
      <c r="B2010" s="5" t="s">
        <v>3226</v>
      </c>
      <c r="C2010" s="5">
        <v>13</v>
      </c>
      <c r="D2010" s="5" t="s">
        <v>27</v>
      </c>
      <c r="E2010" t="s">
        <v>3227</v>
      </c>
      <c r="F2010" t="s">
        <v>3228</v>
      </c>
      <c r="G2010">
        <v>0</v>
      </c>
      <c r="H2010" t="s">
        <v>633</v>
      </c>
      <c r="I2010" s="2">
        <v>20000</v>
      </c>
    </row>
    <row r="2011" spans="1:9" x14ac:dyDescent="0.3">
      <c r="A2011" s="5">
        <v>9159</v>
      </c>
      <c r="B2011" s="5" t="s">
        <v>3229</v>
      </c>
      <c r="C2011" s="5">
        <v>5</v>
      </c>
      <c r="D2011" s="5" t="s">
        <v>63</v>
      </c>
      <c r="E2011" t="s">
        <v>3230</v>
      </c>
      <c r="F2011" t="s">
        <v>3231</v>
      </c>
      <c r="G2011">
        <v>0</v>
      </c>
      <c r="H2011" t="s">
        <v>66</v>
      </c>
      <c r="I2011" s="2">
        <v>20000</v>
      </c>
    </row>
    <row r="2012" spans="1:9" x14ac:dyDescent="0.3">
      <c r="A2012" s="5">
        <v>9159</v>
      </c>
      <c r="B2012" s="5" t="s">
        <v>3229</v>
      </c>
      <c r="C2012" s="5">
        <v>5</v>
      </c>
      <c r="D2012" s="5" t="s">
        <v>63</v>
      </c>
      <c r="E2012" t="s">
        <v>3230</v>
      </c>
      <c r="F2012" t="s">
        <v>3231</v>
      </c>
      <c r="G2012">
        <v>0</v>
      </c>
      <c r="H2012" t="s">
        <v>67</v>
      </c>
      <c r="I2012" s="2">
        <v>7000</v>
      </c>
    </row>
    <row r="2013" spans="1:9" x14ac:dyDescent="0.3">
      <c r="A2013" s="5">
        <v>9159</v>
      </c>
      <c r="B2013" s="5" t="s">
        <v>3229</v>
      </c>
      <c r="C2013" s="5">
        <v>5</v>
      </c>
      <c r="D2013" s="5" t="s">
        <v>63</v>
      </c>
      <c r="E2013" t="s">
        <v>3230</v>
      </c>
      <c r="F2013" t="s">
        <v>3231</v>
      </c>
      <c r="G2013">
        <v>0</v>
      </c>
      <c r="H2013" t="s">
        <v>88</v>
      </c>
      <c r="I2013" s="2">
        <v>30000</v>
      </c>
    </row>
    <row r="2014" spans="1:9" x14ac:dyDescent="0.3">
      <c r="A2014" s="5">
        <v>9156</v>
      </c>
      <c r="B2014" s="5" t="s">
        <v>3232</v>
      </c>
      <c r="C2014" s="5">
        <v>1</v>
      </c>
      <c r="D2014" s="5" t="s">
        <v>10</v>
      </c>
      <c r="E2014" t="s">
        <v>3233</v>
      </c>
      <c r="F2014" t="s">
        <v>3234</v>
      </c>
      <c r="G2014">
        <v>0</v>
      </c>
      <c r="H2014" t="s">
        <v>217</v>
      </c>
      <c r="I2014" s="2">
        <v>5900</v>
      </c>
    </row>
    <row r="2015" spans="1:9" x14ac:dyDescent="0.3">
      <c r="A2015" s="5">
        <v>9155</v>
      </c>
      <c r="B2015" s="5" t="s">
        <v>3235</v>
      </c>
      <c r="C2015" s="5">
        <v>1</v>
      </c>
      <c r="D2015" s="5" t="s">
        <v>10</v>
      </c>
      <c r="E2015" t="s">
        <v>3236</v>
      </c>
      <c r="F2015" t="s">
        <v>3237</v>
      </c>
      <c r="G2015">
        <v>0</v>
      </c>
      <c r="H2015" t="s">
        <v>3238</v>
      </c>
      <c r="I2015" s="2">
        <v>11000</v>
      </c>
    </row>
    <row r="2016" spans="1:9" x14ac:dyDescent="0.3">
      <c r="A2016" s="5">
        <v>9155</v>
      </c>
      <c r="B2016" s="5" t="s">
        <v>3235</v>
      </c>
      <c r="C2016" s="5">
        <v>1</v>
      </c>
      <c r="D2016" s="5" t="s">
        <v>10</v>
      </c>
      <c r="E2016" t="s">
        <v>3236</v>
      </c>
      <c r="F2016" t="s">
        <v>3237</v>
      </c>
      <c r="G2016">
        <v>0</v>
      </c>
      <c r="H2016" t="s">
        <v>3239</v>
      </c>
      <c r="I2016" s="2">
        <v>11000</v>
      </c>
    </row>
    <row r="2017" spans="1:9" x14ac:dyDescent="0.3">
      <c r="A2017" s="5">
        <v>9155</v>
      </c>
      <c r="B2017" s="5" t="s">
        <v>3235</v>
      </c>
      <c r="C2017" s="5">
        <v>1</v>
      </c>
      <c r="D2017" s="5" t="s">
        <v>10</v>
      </c>
      <c r="E2017" t="s">
        <v>3236</v>
      </c>
      <c r="F2017" t="s">
        <v>3237</v>
      </c>
      <c r="G2017">
        <v>0</v>
      </c>
      <c r="H2017" t="s">
        <v>3240</v>
      </c>
      <c r="I2017" s="2">
        <v>12000</v>
      </c>
    </row>
    <row r="2018" spans="1:9" x14ac:dyDescent="0.3">
      <c r="A2018" s="5">
        <v>9153</v>
      </c>
      <c r="B2018" s="5" t="s">
        <v>3241</v>
      </c>
      <c r="C2018" s="5">
        <v>4</v>
      </c>
      <c r="D2018" s="5" t="s">
        <v>39</v>
      </c>
      <c r="E2018" t="s">
        <v>3242</v>
      </c>
      <c r="F2018" t="s">
        <v>3243</v>
      </c>
      <c r="G2018">
        <v>0</v>
      </c>
      <c r="H2018" t="s">
        <v>80</v>
      </c>
      <c r="I2018" s="2">
        <v>2000</v>
      </c>
    </row>
    <row r="2019" spans="1:9" x14ac:dyDescent="0.3">
      <c r="A2019" s="5">
        <v>9152</v>
      </c>
      <c r="B2019" s="5" t="s">
        <v>3244</v>
      </c>
      <c r="C2019" s="5">
        <v>1</v>
      </c>
      <c r="D2019" s="5" t="s">
        <v>10</v>
      </c>
      <c r="E2019" t="s">
        <v>3245</v>
      </c>
      <c r="F2019" t="s">
        <v>3246</v>
      </c>
      <c r="G2019">
        <v>0</v>
      </c>
      <c r="H2019" t="s">
        <v>139</v>
      </c>
      <c r="I2019" s="2">
        <v>2000</v>
      </c>
    </row>
    <row r="2020" spans="1:9" x14ac:dyDescent="0.3">
      <c r="A2020" s="5">
        <v>9152</v>
      </c>
      <c r="B2020" s="5" t="s">
        <v>3244</v>
      </c>
      <c r="C2020" s="5">
        <v>1</v>
      </c>
      <c r="D2020" s="5" t="s">
        <v>10</v>
      </c>
      <c r="E2020" t="s">
        <v>3245</v>
      </c>
      <c r="F2020" t="s">
        <v>3246</v>
      </c>
      <c r="G2020">
        <v>0</v>
      </c>
      <c r="H2020" t="s">
        <v>3247</v>
      </c>
      <c r="I2020" s="2">
        <v>32000</v>
      </c>
    </row>
    <row r="2021" spans="1:9" x14ac:dyDescent="0.3">
      <c r="A2021" s="5">
        <v>9152</v>
      </c>
      <c r="B2021" s="5" t="s">
        <v>3244</v>
      </c>
      <c r="C2021" s="5">
        <v>1</v>
      </c>
      <c r="D2021" s="5" t="s">
        <v>10</v>
      </c>
      <c r="E2021" t="s">
        <v>3245</v>
      </c>
      <c r="F2021" t="s">
        <v>3246</v>
      </c>
      <c r="G2021">
        <v>0</v>
      </c>
      <c r="H2021" t="s">
        <v>3248</v>
      </c>
      <c r="I2021" s="2">
        <v>33000</v>
      </c>
    </row>
    <row r="2022" spans="1:9" x14ac:dyDescent="0.3">
      <c r="A2022" s="5">
        <v>9151</v>
      </c>
      <c r="B2022" s="5" t="s">
        <v>3249</v>
      </c>
      <c r="C2022" s="5">
        <v>4</v>
      </c>
      <c r="D2022" s="5" t="s">
        <v>39</v>
      </c>
      <c r="E2022" t="s">
        <v>3250</v>
      </c>
      <c r="F2022" t="s">
        <v>3251</v>
      </c>
      <c r="G2022">
        <v>0</v>
      </c>
      <c r="H2022" t="s">
        <v>80</v>
      </c>
      <c r="I2022" s="2">
        <v>1500</v>
      </c>
    </row>
    <row r="2023" spans="1:9" x14ac:dyDescent="0.3">
      <c r="A2023" s="5">
        <v>9150</v>
      </c>
      <c r="B2023" s="5" t="s">
        <v>3252</v>
      </c>
      <c r="C2023" s="5">
        <v>1</v>
      </c>
      <c r="D2023" s="5" t="s">
        <v>10</v>
      </c>
      <c r="E2023" t="s">
        <v>3253</v>
      </c>
      <c r="F2023" t="s">
        <v>3254</v>
      </c>
      <c r="G2023">
        <v>0</v>
      </c>
      <c r="H2023" t="s">
        <v>3255</v>
      </c>
      <c r="I2023" s="2">
        <v>11000</v>
      </c>
    </row>
    <row r="2024" spans="1:9" x14ac:dyDescent="0.3">
      <c r="A2024" s="5">
        <v>9150</v>
      </c>
      <c r="B2024" s="5" t="s">
        <v>3252</v>
      </c>
      <c r="C2024" s="5">
        <v>1</v>
      </c>
      <c r="D2024" s="5" t="s">
        <v>10</v>
      </c>
      <c r="E2024" t="s">
        <v>3253</v>
      </c>
      <c r="F2024" t="s">
        <v>3254</v>
      </c>
      <c r="G2024">
        <v>0</v>
      </c>
      <c r="H2024" t="s">
        <v>3256</v>
      </c>
      <c r="I2024" s="2">
        <v>12000</v>
      </c>
    </row>
    <row r="2025" spans="1:9" x14ac:dyDescent="0.3">
      <c r="A2025" s="5">
        <v>9150</v>
      </c>
      <c r="B2025" s="5" t="s">
        <v>3252</v>
      </c>
      <c r="C2025" s="5">
        <v>1</v>
      </c>
      <c r="D2025" s="5" t="s">
        <v>10</v>
      </c>
      <c r="E2025" t="s">
        <v>3253</v>
      </c>
      <c r="F2025" t="s">
        <v>3254</v>
      </c>
      <c r="G2025">
        <v>0</v>
      </c>
      <c r="H2025" t="s">
        <v>2311</v>
      </c>
      <c r="I2025" s="2">
        <v>15000</v>
      </c>
    </row>
    <row r="2026" spans="1:9" x14ac:dyDescent="0.3">
      <c r="A2026" s="5">
        <v>9149</v>
      </c>
      <c r="B2026" s="5" t="s">
        <v>3257</v>
      </c>
      <c r="C2026" s="5">
        <v>1</v>
      </c>
      <c r="D2026" s="5" t="s">
        <v>10</v>
      </c>
      <c r="E2026" t="s">
        <v>3258</v>
      </c>
      <c r="F2026" t="s">
        <v>3259</v>
      </c>
      <c r="G2026">
        <v>0</v>
      </c>
      <c r="H2026" t="s">
        <v>21</v>
      </c>
      <c r="I2026" s="2">
        <v>3500</v>
      </c>
    </row>
    <row r="2027" spans="1:9" x14ac:dyDescent="0.3">
      <c r="A2027" s="5">
        <v>9148</v>
      </c>
      <c r="B2027" s="5" t="s">
        <v>3260</v>
      </c>
      <c r="C2027" s="5">
        <v>4</v>
      </c>
      <c r="D2027" s="5" t="s">
        <v>39</v>
      </c>
      <c r="E2027" t="s">
        <v>3261</v>
      </c>
      <c r="F2027" t="s">
        <v>3262</v>
      </c>
      <c r="G2027">
        <v>0</v>
      </c>
      <c r="H2027" t="s">
        <v>80</v>
      </c>
      <c r="I2027" s="2">
        <v>2000</v>
      </c>
    </row>
    <row r="2028" spans="1:9" x14ac:dyDescent="0.3">
      <c r="A2028" s="5">
        <v>9146</v>
      </c>
      <c r="B2028" s="5" t="s">
        <v>3263</v>
      </c>
      <c r="C2028" s="5">
        <v>1</v>
      </c>
      <c r="D2028" s="5" t="s">
        <v>10</v>
      </c>
      <c r="E2028" t="s">
        <v>3264</v>
      </c>
      <c r="F2028" t="s">
        <v>3265</v>
      </c>
      <c r="G2028">
        <v>0</v>
      </c>
      <c r="H2028" t="s">
        <v>962</v>
      </c>
      <c r="I2028" s="2">
        <v>8000</v>
      </c>
    </row>
    <row r="2029" spans="1:9" x14ac:dyDescent="0.3">
      <c r="A2029" s="5">
        <v>9146</v>
      </c>
      <c r="B2029" s="5" t="s">
        <v>3263</v>
      </c>
      <c r="C2029" s="5">
        <v>1</v>
      </c>
      <c r="D2029" s="5" t="s">
        <v>10</v>
      </c>
      <c r="E2029" t="s">
        <v>3264</v>
      </c>
      <c r="F2029" t="s">
        <v>3265</v>
      </c>
      <c r="G2029">
        <v>0</v>
      </c>
      <c r="H2029" t="s">
        <v>126</v>
      </c>
      <c r="I2029" s="2">
        <v>8000</v>
      </c>
    </row>
    <row r="2030" spans="1:9" x14ac:dyDescent="0.3">
      <c r="A2030" s="5">
        <v>9146</v>
      </c>
      <c r="B2030" s="5" t="s">
        <v>3263</v>
      </c>
      <c r="C2030" s="5">
        <v>1</v>
      </c>
      <c r="D2030" s="5" t="s">
        <v>10</v>
      </c>
      <c r="E2030" t="s">
        <v>3264</v>
      </c>
      <c r="F2030" t="s">
        <v>3265</v>
      </c>
      <c r="G2030">
        <v>0</v>
      </c>
      <c r="H2030" t="s">
        <v>35</v>
      </c>
      <c r="I2030" s="2">
        <v>8000</v>
      </c>
    </row>
    <row r="2031" spans="1:9" x14ac:dyDescent="0.3">
      <c r="A2031" s="5">
        <v>9145</v>
      </c>
      <c r="B2031" s="5" t="s">
        <v>3266</v>
      </c>
      <c r="C2031" s="5">
        <v>1</v>
      </c>
      <c r="D2031" s="5" t="s">
        <v>10</v>
      </c>
      <c r="E2031" t="s">
        <v>3267</v>
      </c>
      <c r="F2031" t="s">
        <v>3268</v>
      </c>
      <c r="G2031">
        <v>0</v>
      </c>
      <c r="H2031" t="s">
        <v>217</v>
      </c>
      <c r="I2031" s="2">
        <v>10000</v>
      </c>
    </row>
    <row r="2032" spans="1:9" x14ac:dyDescent="0.3">
      <c r="A2032" s="5">
        <v>9144</v>
      </c>
      <c r="B2032" s="5" t="s">
        <v>3269</v>
      </c>
      <c r="C2032" s="5">
        <v>1</v>
      </c>
      <c r="D2032" s="5" t="s">
        <v>10</v>
      </c>
      <c r="E2032" t="s">
        <v>3270</v>
      </c>
      <c r="F2032" t="s">
        <v>3271</v>
      </c>
      <c r="G2032">
        <v>0</v>
      </c>
      <c r="H2032" t="s">
        <v>19</v>
      </c>
      <c r="I2032" s="2">
        <v>5000</v>
      </c>
    </row>
    <row r="2033" spans="1:9" x14ac:dyDescent="0.3">
      <c r="A2033" s="5">
        <v>9144</v>
      </c>
      <c r="B2033" s="5" t="s">
        <v>3269</v>
      </c>
      <c r="C2033" s="5">
        <v>1</v>
      </c>
      <c r="D2033" s="5" t="s">
        <v>10</v>
      </c>
      <c r="E2033" t="s">
        <v>3270</v>
      </c>
      <c r="F2033" t="s">
        <v>3271</v>
      </c>
      <c r="G2033">
        <v>0</v>
      </c>
      <c r="H2033" t="s">
        <v>175</v>
      </c>
      <c r="I2033" s="2">
        <v>4000</v>
      </c>
    </row>
    <row r="2034" spans="1:9" x14ac:dyDescent="0.3">
      <c r="A2034" s="5">
        <v>9144</v>
      </c>
      <c r="B2034" s="5" t="s">
        <v>3269</v>
      </c>
      <c r="C2034" s="5">
        <v>1</v>
      </c>
      <c r="D2034" s="5" t="s">
        <v>10</v>
      </c>
      <c r="E2034" t="s">
        <v>3270</v>
      </c>
      <c r="F2034" t="s">
        <v>3271</v>
      </c>
      <c r="G2034">
        <v>0</v>
      </c>
      <c r="H2034" t="s">
        <v>21</v>
      </c>
      <c r="I2034" s="2">
        <v>6000</v>
      </c>
    </row>
    <row r="2035" spans="1:9" x14ac:dyDescent="0.3">
      <c r="A2035" s="5">
        <v>9143</v>
      </c>
      <c r="B2035" s="5" t="s">
        <v>3272</v>
      </c>
      <c r="C2035" s="5">
        <v>2</v>
      </c>
      <c r="D2035" s="5" t="s">
        <v>261</v>
      </c>
      <c r="E2035" t="s">
        <v>3273</v>
      </c>
      <c r="F2035" t="s">
        <v>3274</v>
      </c>
      <c r="G2035">
        <v>0</v>
      </c>
      <c r="H2035" t="s">
        <v>755</v>
      </c>
      <c r="I2035" s="2">
        <v>8000</v>
      </c>
    </row>
    <row r="2036" spans="1:9" x14ac:dyDescent="0.3">
      <c r="A2036" s="5">
        <v>9143</v>
      </c>
      <c r="B2036" s="5" t="s">
        <v>3272</v>
      </c>
      <c r="C2036" s="5">
        <v>2</v>
      </c>
      <c r="D2036" s="5" t="s">
        <v>261</v>
      </c>
      <c r="E2036" t="s">
        <v>3273</v>
      </c>
      <c r="F2036" t="s">
        <v>3274</v>
      </c>
      <c r="G2036">
        <v>0</v>
      </c>
      <c r="H2036" t="s">
        <v>265</v>
      </c>
      <c r="I2036" s="2">
        <v>7500</v>
      </c>
    </row>
    <row r="2037" spans="1:9" x14ac:dyDescent="0.3">
      <c r="A2037" s="5">
        <v>9143</v>
      </c>
      <c r="B2037" s="5" t="s">
        <v>3272</v>
      </c>
      <c r="C2037" s="5">
        <v>2</v>
      </c>
      <c r="D2037" s="5" t="s">
        <v>261</v>
      </c>
      <c r="E2037" t="s">
        <v>3273</v>
      </c>
      <c r="F2037" t="s">
        <v>3274</v>
      </c>
      <c r="G2037">
        <v>0</v>
      </c>
      <c r="H2037" t="s">
        <v>264</v>
      </c>
      <c r="I2037" s="2">
        <v>6500</v>
      </c>
    </row>
    <row r="2038" spans="1:9" x14ac:dyDescent="0.3">
      <c r="A2038" s="5">
        <v>9142</v>
      </c>
      <c r="B2038" s="5" t="s">
        <v>3275</v>
      </c>
      <c r="C2038" s="5">
        <v>3</v>
      </c>
      <c r="D2038" s="5" t="s">
        <v>44</v>
      </c>
      <c r="E2038" t="s">
        <v>3276</v>
      </c>
      <c r="F2038" t="s">
        <v>3277</v>
      </c>
      <c r="G2038">
        <v>0</v>
      </c>
      <c r="H2038" t="s">
        <v>304</v>
      </c>
      <c r="I2038" s="2">
        <v>5500</v>
      </c>
    </row>
    <row r="2039" spans="1:9" x14ac:dyDescent="0.3">
      <c r="A2039" s="5">
        <v>9141</v>
      </c>
      <c r="B2039" s="5" t="s">
        <v>3278</v>
      </c>
      <c r="C2039" s="5">
        <v>1</v>
      </c>
      <c r="D2039" s="5" t="s">
        <v>10</v>
      </c>
      <c r="E2039" t="s">
        <v>3279</v>
      </c>
      <c r="F2039" t="s">
        <v>3280</v>
      </c>
      <c r="G2039">
        <v>0</v>
      </c>
      <c r="H2039" t="s">
        <v>21</v>
      </c>
      <c r="I2039" s="2">
        <v>4500</v>
      </c>
    </row>
    <row r="2040" spans="1:9" x14ac:dyDescent="0.3">
      <c r="A2040" s="5">
        <v>9140</v>
      </c>
      <c r="B2040" s="5" t="s">
        <v>3281</v>
      </c>
      <c r="C2040" s="5">
        <v>1</v>
      </c>
      <c r="D2040" s="5" t="s">
        <v>10</v>
      </c>
      <c r="E2040" t="s">
        <v>3282</v>
      </c>
      <c r="F2040" t="s">
        <v>3283</v>
      </c>
      <c r="G2040">
        <v>0</v>
      </c>
      <c r="H2040" t="s">
        <v>3284</v>
      </c>
      <c r="I2040" s="2">
        <v>7000</v>
      </c>
    </row>
    <row r="2041" spans="1:9" x14ac:dyDescent="0.3">
      <c r="A2041" s="5">
        <v>9139</v>
      </c>
      <c r="B2041" s="5" t="s">
        <v>3285</v>
      </c>
      <c r="C2041" s="5">
        <v>1</v>
      </c>
      <c r="D2041" s="5" t="s">
        <v>10</v>
      </c>
      <c r="E2041" t="s">
        <v>3286</v>
      </c>
      <c r="F2041" t="s">
        <v>3287</v>
      </c>
      <c r="G2041">
        <v>0</v>
      </c>
      <c r="H2041" t="s">
        <v>3285</v>
      </c>
      <c r="I2041" s="2">
        <v>10000</v>
      </c>
    </row>
    <row r="2042" spans="1:9" x14ac:dyDescent="0.3">
      <c r="A2042" s="5">
        <v>9139</v>
      </c>
      <c r="B2042" s="5" t="s">
        <v>3285</v>
      </c>
      <c r="C2042" s="5">
        <v>1</v>
      </c>
      <c r="D2042" s="5" t="s">
        <v>10</v>
      </c>
      <c r="E2042" t="s">
        <v>3286</v>
      </c>
      <c r="F2042" t="s">
        <v>3287</v>
      </c>
      <c r="G2042">
        <v>0</v>
      </c>
      <c r="H2042" t="s">
        <v>3288</v>
      </c>
      <c r="I2042" s="2">
        <v>6000</v>
      </c>
    </row>
    <row r="2043" spans="1:9" x14ac:dyDescent="0.3">
      <c r="A2043" s="5">
        <v>9139</v>
      </c>
      <c r="B2043" s="5" t="s">
        <v>3285</v>
      </c>
      <c r="C2043" s="5">
        <v>1</v>
      </c>
      <c r="D2043" s="5" t="s">
        <v>10</v>
      </c>
      <c r="E2043" t="s">
        <v>3286</v>
      </c>
      <c r="F2043" t="s">
        <v>3287</v>
      </c>
      <c r="G2043">
        <v>0</v>
      </c>
      <c r="H2043" t="s">
        <v>229</v>
      </c>
      <c r="I2043" s="2">
        <v>6000</v>
      </c>
    </row>
    <row r="2044" spans="1:9" x14ac:dyDescent="0.3">
      <c r="A2044" s="5">
        <v>9138</v>
      </c>
      <c r="B2044" s="5" t="s">
        <v>3289</v>
      </c>
      <c r="C2044" s="5">
        <v>1</v>
      </c>
      <c r="D2044" s="5" t="s">
        <v>10</v>
      </c>
      <c r="E2044" t="s">
        <v>3290</v>
      </c>
      <c r="F2044" t="s">
        <v>3291</v>
      </c>
      <c r="G2044">
        <v>0</v>
      </c>
      <c r="H2044" t="s">
        <v>3292</v>
      </c>
      <c r="I2044" s="2">
        <v>6000</v>
      </c>
    </row>
    <row r="2045" spans="1:9" x14ac:dyDescent="0.3">
      <c r="A2045" s="5">
        <v>9138</v>
      </c>
      <c r="B2045" s="5" t="s">
        <v>3289</v>
      </c>
      <c r="C2045" s="5">
        <v>1</v>
      </c>
      <c r="D2045" s="5" t="s">
        <v>10</v>
      </c>
      <c r="E2045" t="s">
        <v>3290</v>
      </c>
      <c r="F2045" t="s">
        <v>3291</v>
      </c>
      <c r="G2045">
        <v>0</v>
      </c>
      <c r="H2045" t="s">
        <v>2942</v>
      </c>
      <c r="I2045" s="2">
        <v>6000</v>
      </c>
    </row>
    <row r="2046" spans="1:9" x14ac:dyDescent="0.3">
      <c r="A2046" s="5">
        <v>9138</v>
      </c>
      <c r="B2046" s="5" t="s">
        <v>3289</v>
      </c>
      <c r="C2046" s="5">
        <v>1</v>
      </c>
      <c r="D2046" s="5" t="s">
        <v>10</v>
      </c>
      <c r="E2046" t="s">
        <v>3290</v>
      </c>
      <c r="F2046" t="s">
        <v>3291</v>
      </c>
      <c r="G2046">
        <v>0</v>
      </c>
      <c r="H2046" t="s">
        <v>3293</v>
      </c>
      <c r="I2046" s="2">
        <v>9000</v>
      </c>
    </row>
    <row r="2047" spans="1:9" x14ac:dyDescent="0.3">
      <c r="A2047" s="5">
        <v>9137</v>
      </c>
      <c r="B2047" s="5" t="s">
        <v>3294</v>
      </c>
      <c r="C2047" s="5">
        <v>1</v>
      </c>
      <c r="D2047" s="5" t="s">
        <v>10</v>
      </c>
      <c r="E2047" t="s">
        <v>3295</v>
      </c>
      <c r="F2047" t="s">
        <v>3296</v>
      </c>
      <c r="G2047">
        <v>0</v>
      </c>
      <c r="H2047" t="s">
        <v>149</v>
      </c>
      <c r="I2047" s="2">
        <v>7000</v>
      </c>
    </row>
    <row r="2048" spans="1:9" x14ac:dyDescent="0.3">
      <c r="A2048" s="5">
        <v>9137</v>
      </c>
      <c r="B2048" s="5" t="s">
        <v>3294</v>
      </c>
      <c r="C2048" s="5">
        <v>1</v>
      </c>
      <c r="D2048" s="5" t="s">
        <v>10</v>
      </c>
      <c r="E2048" t="s">
        <v>3295</v>
      </c>
      <c r="F2048" t="s">
        <v>3296</v>
      </c>
      <c r="G2048">
        <v>0</v>
      </c>
      <c r="H2048" t="s">
        <v>3297</v>
      </c>
      <c r="I2048" s="2">
        <v>7000</v>
      </c>
    </row>
    <row r="2049" spans="1:9" x14ac:dyDescent="0.3">
      <c r="A2049" s="5">
        <v>9137</v>
      </c>
      <c r="B2049" s="5" t="s">
        <v>3294</v>
      </c>
      <c r="C2049" s="5">
        <v>1</v>
      </c>
      <c r="D2049" s="5" t="s">
        <v>10</v>
      </c>
      <c r="E2049" t="s">
        <v>3295</v>
      </c>
      <c r="F2049" t="s">
        <v>3296</v>
      </c>
      <c r="G2049">
        <v>0</v>
      </c>
      <c r="H2049" t="s">
        <v>139</v>
      </c>
      <c r="I2049" s="2">
        <v>8000</v>
      </c>
    </row>
    <row r="2050" spans="1:9" x14ac:dyDescent="0.3">
      <c r="A2050" s="5">
        <v>9135</v>
      </c>
      <c r="B2050" s="5" t="s">
        <v>3298</v>
      </c>
      <c r="C2050" s="5">
        <v>1</v>
      </c>
      <c r="D2050" s="5" t="s">
        <v>10</v>
      </c>
      <c r="E2050" t="s">
        <v>3299</v>
      </c>
      <c r="F2050" t="s">
        <v>3300</v>
      </c>
      <c r="G2050">
        <v>0</v>
      </c>
      <c r="H2050" t="s">
        <v>3301</v>
      </c>
      <c r="I2050" s="2">
        <v>10000</v>
      </c>
    </row>
    <row r="2051" spans="1:9" x14ac:dyDescent="0.3">
      <c r="A2051" s="5">
        <v>9135</v>
      </c>
      <c r="B2051" s="5" t="s">
        <v>3298</v>
      </c>
      <c r="C2051" s="5">
        <v>1</v>
      </c>
      <c r="D2051" s="5" t="s">
        <v>10</v>
      </c>
      <c r="E2051" t="s">
        <v>3299</v>
      </c>
      <c r="F2051" t="s">
        <v>3300</v>
      </c>
      <c r="G2051">
        <v>0</v>
      </c>
      <c r="H2051" t="s">
        <v>229</v>
      </c>
      <c r="I2051" s="2">
        <v>8000</v>
      </c>
    </row>
    <row r="2052" spans="1:9" x14ac:dyDescent="0.3">
      <c r="A2052" s="5">
        <v>9135</v>
      </c>
      <c r="B2052" s="5" t="s">
        <v>3298</v>
      </c>
      <c r="C2052" s="5">
        <v>1</v>
      </c>
      <c r="D2052" s="5" t="s">
        <v>10</v>
      </c>
      <c r="E2052" t="s">
        <v>3299</v>
      </c>
      <c r="F2052" t="s">
        <v>3300</v>
      </c>
      <c r="G2052">
        <v>0</v>
      </c>
      <c r="H2052" t="s">
        <v>1524</v>
      </c>
      <c r="I2052" s="2">
        <v>14000</v>
      </c>
    </row>
    <row r="2053" spans="1:9" x14ac:dyDescent="0.3">
      <c r="A2053" s="5">
        <v>9134</v>
      </c>
      <c r="B2053" s="5" t="s">
        <v>3302</v>
      </c>
      <c r="C2053" s="5">
        <v>1</v>
      </c>
      <c r="D2053" s="5" t="s">
        <v>10</v>
      </c>
      <c r="E2053" t="s">
        <v>3303</v>
      </c>
      <c r="F2053" t="s">
        <v>3304</v>
      </c>
      <c r="G2053">
        <v>0</v>
      </c>
      <c r="H2053" t="s">
        <v>149</v>
      </c>
      <c r="I2053" s="2">
        <v>7000</v>
      </c>
    </row>
    <row r="2054" spans="1:9" x14ac:dyDescent="0.3">
      <c r="A2054" s="5">
        <v>9134</v>
      </c>
      <c r="B2054" s="5" t="s">
        <v>3302</v>
      </c>
      <c r="C2054" s="5">
        <v>1</v>
      </c>
      <c r="D2054" s="5" t="s">
        <v>10</v>
      </c>
      <c r="E2054" t="s">
        <v>3303</v>
      </c>
      <c r="F2054" t="s">
        <v>3304</v>
      </c>
      <c r="G2054">
        <v>0</v>
      </c>
      <c r="H2054" t="s">
        <v>133</v>
      </c>
      <c r="I2054" s="2">
        <v>8000</v>
      </c>
    </row>
    <row r="2055" spans="1:9" x14ac:dyDescent="0.3">
      <c r="A2055" s="5">
        <v>9134</v>
      </c>
      <c r="B2055" s="5" t="s">
        <v>3302</v>
      </c>
      <c r="C2055" s="5">
        <v>1</v>
      </c>
      <c r="D2055" s="5" t="s">
        <v>10</v>
      </c>
      <c r="E2055" t="s">
        <v>3303</v>
      </c>
      <c r="F2055" t="s">
        <v>3304</v>
      </c>
      <c r="G2055">
        <v>0</v>
      </c>
      <c r="H2055" t="s">
        <v>139</v>
      </c>
      <c r="I2055" s="2">
        <v>8000</v>
      </c>
    </row>
    <row r="2056" spans="1:9" x14ac:dyDescent="0.3">
      <c r="A2056" s="5">
        <v>9132</v>
      </c>
      <c r="B2056" s="5" t="s">
        <v>3305</v>
      </c>
      <c r="C2056" s="5">
        <v>1</v>
      </c>
      <c r="D2056" s="5" t="s">
        <v>10</v>
      </c>
      <c r="E2056" t="s">
        <v>3306</v>
      </c>
      <c r="F2056" t="s">
        <v>3307</v>
      </c>
      <c r="G2056">
        <v>0</v>
      </c>
      <c r="H2056" t="s">
        <v>324</v>
      </c>
      <c r="I2056" s="2">
        <v>7000</v>
      </c>
    </row>
    <row r="2057" spans="1:9" x14ac:dyDescent="0.3">
      <c r="A2057" s="5">
        <v>9131</v>
      </c>
      <c r="B2057" s="5" t="s">
        <v>3308</v>
      </c>
      <c r="C2057" s="5">
        <v>1</v>
      </c>
      <c r="D2057" s="5" t="s">
        <v>10</v>
      </c>
      <c r="E2057" t="s">
        <v>3309</v>
      </c>
      <c r="F2057" t="s">
        <v>3310</v>
      </c>
      <c r="G2057">
        <v>0</v>
      </c>
      <c r="H2057" t="s">
        <v>133</v>
      </c>
      <c r="I2057" s="2">
        <v>5000</v>
      </c>
    </row>
    <row r="2058" spans="1:9" x14ac:dyDescent="0.3">
      <c r="A2058" s="5">
        <v>9131</v>
      </c>
      <c r="B2058" s="5" t="s">
        <v>3308</v>
      </c>
      <c r="C2058" s="5">
        <v>1</v>
      </c>
      <c r="D2058" s="5" t="s">
        <v>10</v>
      </c>
      <c r="E2058" t="s">
        <v>3309</v>
      </c>
      <c r="F2058" t="s">
        <v>3310</v>
      </c>
      <c r="G2058">
        <v>0</v>
      </c>
      <c r="H2058" t="s">
        <v>139</v>
      </c>
      <c r="I2058" s="2">
        <v>5000</v>
      </c>
    </row>
    <row r="2059" spans="1:9" x14ac:dyDescent="0.3">
      <c r="A2059" s="5">
        <v>9131</v>
      </c>
      <c r="B2059" s="5" t="s">
        <v>3308</v>
      </c>
      <c r="C2059" s="5">
        <v>1</v>
      </c>
      <c r="D2059" s="5" t="s">
        <v>10</v>
      </c>
      <c r="E2059" t="s">
        <v>3309</v>
      </c>
      <c r="F2059" t="s">
        <v>3310</v>
      </c>
      <c r="G2059">
        <v>0</v>
      </c>
      <c r="H2059" t="s">
        <v>126</v>
      </c>
      <c r="I2059" s="2">
        <v>5000</v>
      </c>
    </row>
    <row r="2060" spans="1:9" x14ac:dyDescent="0.3">
      <c r="A2060" s="5">
        <v>9128</v>
      </c>
      <c r="B2060" s="5" t="s">
        <v>297</v>
      </c>
      <c r="C2060" s="5">
        <v>1</v>
      </c>
      <c r="D2060" s="5" t="s">
        <v>10</v>
      </c>
      <c r="E2060" t="s">
        <v>3311</v>
      </c>
      <c r="F2060" t="s">
        <v>3312</v>
      </c>
      <c r="G2060">
        <v>0</v>
      </c>
      <c r="H2060" t="s">
        <v>1343</v>
      </c>
      <c r="I2060" s="2">
        <v>9000</v>
      </c>
    </row>
    <row r="2061" spans="1:9" x14ac:dyDescent="0.3">
      <c r="A2061" s="5">
        <v>9128</v>
      </c>
      <c r="B2061" s="5" t="s">
        <v>297</v>
      </c>
      <c r="C2061" s="5">
        <v>1</v>
      </c>
      <c r="D2061" s="5" t="s">
        <v>10</v>
      </c>
      <c r="E2061" t="s">
        <v>3311</v>
      </c>
      <c r="F2061" t="s">
        <v>3312</v>
      </c>
      <c r="G2061">
        <v>0</v>
      </c>
      <c r="H2061" t="s">
        <v>521</v>
      </c>
      <c r="I2061" s="2">
        <v>8500</v>
      </c>
    </row>
    <row r="2062" spans="1:9" x14ac:dyDescent="0.3">
      <c r="A2062" s="5">
        <v>9128</v>
      </c>
      <c r="B2062" s="5" t="s">
        <v>297</v>
      </c>
      <c r="C2062" s="5">
        <v>1</v>
      </c>
      <c r="D2062" s="5" t="s">
        <v>10</v>
      </c>
      <c r="E2062" t="s">
        <v>3311</v>
      </c>
      <c r="F2062" t="s">
        <v>3312</v>
      </c>
      <c r="G2062">
        <v>0</v>
      </c>
      <c r="H2062" t="s">
        <v>144</v>
      </c>
      <c r="I2062" s="2">
        <v>8500</v>
      </c>
    </row>
    <row r="2063" spans="1:9" x14ac:dyDescent="0.3">
      <c r="A2063" s="5">
        <v>9124</v>
      </c>
      <c r="B2063" s="5" t="s">
        <v>3313</v>
      </c>
      <c r="C2063" s="5">
        <v>1</v>
      </c>
      <c r="D2063" s="5" t="s">
        <v>10</v>
      </c>
      <c r="E2063" t="s">
        <v>3314</v>
      </c>
      <c r="F2063" t="s">
        <v>3315</v>
      </c>
      <c r="G2063">
        <v>0</v>
      </c>
      <c r="H2063" t="s">
        <v>133</v>
      </c>
      <c r="I2063" s="2">
        <v>6000</v>
      </c>
    </row>
    <row r="2064" spans="1:9" x14ac:dyDescent="0.3">
      <c r="A2064" s="5">
        <v>9124</v>
      </c>
      <c r="B2064" s="5" t="s">
        <v>3313</v>
      </c>
      <c r="C2064" s="5">
        <v>1</v>
      </c>
      <c r="D2064" s="5" t="s">
        <v>10</v>
      </c>
      <c r="E2064" t="s">
        <v>3314</v>
      </c>
      <c r="F2064" t="s">
        <v>3315</v>
      </c>
      <c r="G2064">
        <v>0</v>
      </c>
      <c r="H2064" t="s">
        <v>149</v>
      </c>
      <c r="I2064" s="2">
        <v>6000</v>
      </c>
    </row>
    <row r="2065" spans="1:9" x14ac:dyDescent="0.3">
      <c r="A2065" s="5">
        <v>9124</v>
      </c>
      <c r="B2065" s="5" t="s">
        <v>3313</v>
      </c>
      <c r="C2065" s="5">
        <v>1</v>
      </c>
      <c r="D2065" s="5" t="s">
        <v>10</v>
      </c>
      <c r="E2065" t="s">
        <v>3314</v>
      </c>
      <c r="F2065" t="s">
        <v>3315</v>
      </c>
      <c r="G2065">
        <v>0</v>
      </c>
      <c r="H2065" t="s">
        <v>139</v>
      </c>
      <c r="I2065" s="2">
        <v>6000</v>
      </c>
    </row>
    <row r="2066" spans="1:9" x14ac:dyDescent="0.3">
      <c r="A2066" s="5">
        <v>9123</v>
      </c>
      <c r="B2066" s="5" t="s">
        <v>3316</v>
      </c>
      <c r="C2066" s="5">
        <v>1</v>
      </c>
      <c r="D2066" s="5" t="s">
        <v>10</v>
      </c>
      <c r="E2066" t="s">
        <v>3317</v>
      </c>
      <c r="F2066" t="s">
        <v>3318</v>
      </c>
      <c r="G2066">
        <v>0</v>
      </c>
      <c r="H2066" t="s">
        <v>229</v>
      </c>
      <c r="I2066" s="2">
        <v>5000</v>
      </c>
    </row>
    <row r="2067" spans="1:9" x14ac:dyDescent="0.3">
      <c r="A2067" s="5">
        <v>9122</v>
      </c>
      <c r="B2067" s="5" t="s">
        <v>3319</v>
      </c>
      <c r="C2067" s="5">
        <v>1</v>
      </c>
      <c r="D2067" s="5" t="s">
        <v>10</v>
      </c>
      <c r="E2067" t="s">
        <v>3320</v>
      </c>
      <c r="F2067" t="s">
        <v>3321</v>
      </c>
      <c r="G2067">
        <v>0</v>
      </c>
      <c r="H2067" t="s">
        <v>126</v>
      </c>
      <c r="I2067" s="2">
        <v>7000</v>
      </c>
    </row>
    <row r="2068" spans="1:9" x14ac:dyDescent="0.3">
      <c r="A2068" s="5">
        <v>9122</v>
      </c>
      <c r="B2068" s="5" t="s">
        <v>3319</v>
      </c>
      <c r="C2068" s="5">
        <v>1</v>
      </c>
      <c r="D2068" s="5" t="s">
        <v>10</v>
      </c>
      <c r="E2068" t="s">
        <v>3320</v>
      </c>
      <c r="F2068" t="s">
        <v>3321</v>
      </c>
      <c r="G2068">
        <v>0</v>
      </c>
      <c r="H2068" t="s">
        <v>139</v>
      </c>
      <c r="I2068" s="2">
        <v>7000</v>
      </c>
    </row>
    <row r="2069" spans="1:9" x14ac:dyDescent="0.3">
      <c r="A2069" s="5">
        <v>9122</v>
      </c>
      <c r="B2069" s="5" t="s">
        <v>3319</v>
      </c>
      <c r="C2069" s="5">
        <v>1</v>
      </c>
      <c r="D2069" s="5" t="s">
        <v>10</v>
      </c>
      <c r="E2069" t="s">
        <v>3320</v>
      </c>
      <c r="F2069" t="s">
        <v>3321</v>
      </c>
      <c r="G2069">
        <v>0</v>
      </c>
      <c r="H2069" t="s">
        <v>126</v>
      </c>
      <c r="I2069" s="2">
        <v>7000</v>
      </c>
    </row>
    <row r="2070" spans="1:9" x14ac:dyDescent="0.3">
      <c r="A2070" s="5">
        <v>9121</v>
      </c>
      <c r="B2070" s="5" t="s">
        <v>3322</v>
      </c>
      <c r="C2070" s="5">
        <v>1</v>
      </c>
      <c r="D2070" s="5" t="s">
        <v>10</v>
      </c>
      <c r="E2070" t="s">
        <v>3323</v>
      </c>
      <c r="F2070" t="s">
        <v>3324</v>
      </c>
      <c r="G2070">
        <v>0</v>
      </c>
      <c r="H2070" t="s">
        <v>139</v>
      </c>
      <c r="I2070" s="2">
        <v>7000</v>
      </c>
    </row>
    <row r="2071" spans="1:9" x14ac:dyDescent="0.3">
      <c r="A2071" s="5">
        <v>9121</v>
      </c>
      <c r="B2071" s="5" t="s">
        <v>3322</v>
      </c>
      <c r="C2071" s="5">
        <v>1</v>
      </c>
      <c r="D2071" s="5" t="s">
        <v>10</v>
      </c>
      <c r="E2071" t="s">
        <v>3323</v>
      </c>
      <c r="F2071" t="s">
        <v>3324</v>
      </c>
      <c r="G2071">
        <v>0</v>
      </c>
      <c r="H2071" t="s">
        <v>217</v>
      </c>
      <c r="I2071" s="2">
        <v>14000</v>
      </c>
    </row>
    <row r="2072" spans="1:9" x14ac:dyDescent="0.3">
      <c r="A2072" s="5">
        <v>9121</v>
      </c>
      <c r="B2072" s="5" t="s">
        <v>3322</v>
      </c>
      <c r="C2072" s="5">
        <v>1</v>
      </c>
      <c r="D2072" s="5" t="s">
        <v>10</v>
      </c>
      <c r="E2072" t="s">
        <v>3323</v>
      </c>
      <c r="F2072" t="s">
        <v>3324</v>
      </c>
      <c r="G2072">
        <v>0</v>
      </c>
      <c r="H2072" t="s">
        <v>139</v>
      </c>
      <c r="I2072" s="2">
        <v>7000</v>
      </c>
    </row>
    <row r="2073" spans="1:9" x14ac:dyDescent="0.3">
      <c r="A2073" s="5">
        <v>9120</v>
      </c>
      <c r="B2073" s="5" t="s">
        <v>3325</v>
      </c>
      <c r="C2073" s="5">
        <v>1</v>
      </c>
      <c r="D2073" s="5" t="s">
        <v>10</v>
      </c>
      <c r="E2073" t="s">
        <v>3326</v>
      </c>
      <c r="F2073" t="s">
        <v>3327</v>
      </c>
      <c r="G2073">
        <v>0</v>
      </c>
      <c r="H2073" t="s">
        <v>217</v>
      </c>
      <c r="I2073" s="2">
        <v>6000</v>
      </c>
    </row>
    <row r="2074" spans="1:9" x14ac:dyDescent="0.3">
      <c r="A2074" s="5">
        <v>9120</v>
      </c>
      <c r="B2074" s="5" t="s">
        <v>3325</v>
      </c>
      <c r="C2074" s="5">
        <v>1</v>
      </c>
      <c r="D2074" s="5" t="s">
        <v>10</v>
      </c>
      <c r="E2074" t="s">
        <v>3326</v>
      </c>
      <c r="F2074" t="s">
        <v>3327</v>
      </c>
      <c r="G2074">
        <v>0</v>
      </c>
      <c r="H2074" t="s">
        <v>2073</v>
      </c>
      <c r="I2074" s="2">
        <v>7000</v>
      </c>
    </row>
    <row r="2075" spans="1:9" x14ac:dyDescent="0.3">
      <c r="A2075" s="5">
        <v>9119</v>
      </c>
      <c r="B2075" s="5" t="s">
        <v>3328</v>
      </c>
      <c r="C2075" s="5">
        <v>1</v>
      </c>
      <c r="D2075" s="5" t="s">
        <v>10</v>
      </c>
      <c r="E2075" t="s">
        <v>3329</v>
      </c>
      <c r="F2075" t="s">
        <v>3330</v>
      </c>
      <c r="G2075">
        <v>0</v>
      </c>
      <c r="H2075" t="s">
        <v>3331</v>
      </c>
      <c r="I2075" s="2">
        <v>11000</v>
      </c>
    </row>
    <row r="2076" spans="1:9" x14ac:dyDescent="0.3">
      <c r="A2076" s="5">
        <v>9119</v>
      </c>
      <c r="B2076" s="5" t="s">
        <v>3328</v>
      </c>
      <c r="C2076" s="5">
        <v>1</v>
      </c>
      <c r="D2076" s="5" t="s">
        <v>10</v>
      </c>
      <c r="E2076" t="s">
        <v>3329</v>
      </c>
      <c r="F2076" t="s">
        <v>3330</v>
      </c>
      <c r="G2076">
        <v>0</v>
      </c>
      <c r="H2076" t="s">
        <v>3332</v>
      </c>
      <c r="I2076" s="2">
        <v>17000</v>
      </c>
    </row>
    <row r="2077" spans="1:9" x14ac:dyDescent="0.3">
      <c r="A2077" s="5">
        <v>9119</v>
      </c>
      <c r="B2077" s="5" t="s">
        <v>3328</v>
      </c>
      <c r="C2077" s="5">
        <v>1</v>
      </c>
      <c r="D2077" s="5" t="s">
        <v>10</v>
      </c>
      <c r="E2077" t="s">
        <v>3329</v>
      </c>
      <c r="F2077" t="s">
        <v>3330</v>
      </c>
      <c r="G2077">
        <v>0</v>
      </c>
      <c r="H2077" t="s">
        <v>3333</v>
      </c>
      <c r="I2077" s="2">
        <v>11000</v>
      </c>
    </row>
    <row r="2078" spans="1:9" x14ac:dyDescent="0.3">
      <c r="A2078" s="5">
        <v>9119</v>
      </c>
      <c r="B2078" s="5" t="s">
        <v>3328</v>
      </c>
      <c r="C2078" s="5">
        <v>1</v>
      </c>
      <c r="D2078" s="5" t="s">
        <v>10</v>
      </c>
      <c r="E2078" t="s">
        <v>3329</v>
      </c>
      <c r="F2078" t="s">
        <v>3330</v>
      </c>
      <c r="G2078">
        <v>0</v>
      </c>
      <c r="H2078" t="s">
        <v>3334</v>
      </c>
      <c r="I2078" s="2">
        <v>7000</v>
      </c>
    </row>
    <row r="2079" spans="1:9" x14ac:dyDescent="0.3">
      <c r="A2079" s="5">
        <v>9118</v>
      </c>
      <c r="B2079" s="5" t="s">
        <v>3335</v>
      </c>
      <c r="C2079" s="5">
        <v>2</v>
      </c>
      <c r="D2079" s="5" t="s">
        <v>261</v>
      </c>
      <c r="E2079" t="s">
        <v>3336</v>
      </c>
      <c r="F2079" t="s">
        <v>3337</v>
      </c>
      <c r="G2079">
        <v>0</v>
      </c>
      <c r="H2079" t="s">
        <v>383</v>
      </c>
      <c r="I2079" s="2">
        <v>6500</v>
      </c>
    </row>
    <row r="2080" spans="1:9" x14ac:dyDescent="0.3">
      <c r="A2080" s="5">
        <v>9118</v>
      </c>
      <c r="B2080" s="5" t="s">
        <v>3335</v>
      </c>
      <c r="C2080" s="5">
        <v>2</v>
      </c>
      <c r="D2080" s="5" t="s">
        <v>261</v>
      </c>
      <c r="E2080" t="s">
        <v>3336</v>
      </c>
      <c r="F2080" t="s">
        <v>3337</v>
      </c>
      <c r="G2080">
        <v>0</v>
      </c>
      <c r="H2080" t="s">
        <v>264</v>
      </c>
      <c r="I2080" s="2">
        <v>4000</v>
      </c>
    </row>
    <row r="2081" spans="1:9" x14ac:dyDescent="0.3">
      <c r="A2081" s="5">
        <v>9117</v>
      </c>
      <c r="B2081" s="5" t="s">
        <v>3338</v>
      </c>
      <c r="C2081" s="5">
        <v>1</v>
      </c>
      <c r="D2081" s="5" t="s">
        <v>10</v>
      </c>
      <c r="E2081" t="s">
        <v>3339</v>
      </c>
      <c r="F2081" t="s">
        <v>3340</v>
      </c>
      <c r="G2081">
        <v>0</v>
      </c>
      <c r="H2081" t="s">
        <v>2116</v>
      </c>
      <c r="I2081" s="2">
        <v>14000</v>
      </c>
    </row>
    <row r="2082" spans="1:9" x14ac:dyDescent="0.3">
      <c r="A2082" s="5">
        <v>9117</v>
      </c>
      <c r="B2082" s="5" t="s">
        <v>3338</v>
      </c>
      <c r="C2082" s="5">
        <v>1</v>
      </c>
      <c r="D2082" s="5" t="s">
        <v>10</v>
      </c>
      <c r="E2082" t="s">
        <v>3339</v>
      </c>
      <c r="F2082" t="s">
        <v>3340</v>
      </c>
      <c r="G2082">
        <v>0</v>
      </c>
      <c r="H2082" t="s">
        <v>126</v>
      </c>
      <c r="I2082" s="2">
        <v>7000</v>
      </c>
    </row>
    <row r="2083" spans="1:9" x14ac:dyDescent="0.3">
      <c r="A2083" s="5">
        <v>9116</v>
      </c>
      <c r="B2083" s="5" t="s">
        <v>3341</v>
      </c>
      <c r="C2083" s="5">
        <v>1</v>
      </c>
      <c r="D2083" s="5" t="s">
        <v>10</v>
      </c>
      <c r="E2083" t="s">
        <v>3342</v>
      </c>
      <c r="F2083" t="s">
        <v>3343</v>
      </c>
      <c r="G2083">
        <v>0</v>
      </c>
      <c r="H2083" t="s">
        <v>21</v>
      </c>
      <c r="I2083" s="2">
        <v>4000</v>
      </c>
    </row>
    <row r="2084" spans="1:9" x14ac:dyDescent="0.3">
      <c r="A2084" s="5">
        <v>9116</v>
      </c>
      <c r="B2084" s="5" t="s">
        <v>3341</v>
      </c>
      <c r="C2084" s="5">
        <v>1</v>
      </c>
      <c r="D2084" s="5" t="s">
        <v>10</v>
      </c>
      <c r="E2084" t="s">
        <v>3342</v>
      </c>
      <c r="F2084" t="s">
        <v>3343</v>
      </c>
      <c r="G2084">
        <v>0</v>
      </c>
      <c r="H2084" t="s">
        <v>3344</v>
      </c>
      <c r="I2084" s="2">
        <v>6000</v>
      </c>
    </row>
    <row r="2085" spans="1:9" x14ac:dyDescent="0.3">
      <c r="A2085" s="5">
        <v>9115</v>
      </c>
      <c r="B2085" s="5" t="s">
        <v>3345</v>
      </c>
      <c r="C2085" s="5">
        <v>1</v>
      </c>
      <c r="D2085" s="5" t="s">
        <v>10</v>
      </c>
      <c r="E2085" t="s">
        <v>3346</v>
      </c>
      <c r="F2085" t="s">
        <v>3347</v>
      </c>
      <c r="G2085">
        <v>0</v>
      </c>
      <c r="H2085" t="s">
        <v>3348</v>
      </c>
      <c r="I2085" s="2">
        <v>69000</v>
      </c>
    </row>
    <row r="2086" spans="1:9" x14ac:dyDescent="0.3">
      <c r="A2086" s="5">
        <v>9115</v>
      </c>
      <c r="B2086" s="5" t="s">
        <v>3345</v>
      </c>
      <c r="C2086" s="5">
        <v>1</v>
      </c>
      <c r="D2086" s="5" t="s">
        <v>10</v>
      </c>
      <c r="E2086" t="s">
        <v>3346</v>
      </c>
      <c r="F2086" t="s">
        <v>3347</v>
      </c>
      <c r="G2086">
        <v>0</v>
      </c>
      <c r="H2086" t="s">
        <v>3349</v>
      </c>
      <c r="I2086" s="2">
        <v>55000</v>
      </c>
    </row>
    <row r="2087" spans="1:9" x14ac:dyDescent="0.3">
      <c r="A2087" s="5">
        <v>9115</v>
      </c>
      <c r="B2087" s="5" t="s">
        <v>3345</v>
      </c>
      <c r="C2087" s="5">
        <v>1</v>
      </c>
      <c r="D2087" s="5" t="s">
        <v>10</v>
      </c>
      <c r="E2087" t="s">
        <v>3346</v>
      </c>
      <c r="F2087" t="s">
        <v>3347</v>
      </c>
      <c r="G2087">
        <v>0</v>
      </c>
      <c r="H2087" t="s">
        <v>3350</v>
      </c>
      <c r="I2087" s="2">
        <v>9000</v>
      </c>
    </row>
    <row r="2088" spans="1:9" x14ac:dyDescent="0.3">
      <c r="A2088" s="5">
        <v>9114</v>
      </c>
      <c r="B2088" s="5" t="s">
        <v>3351</v>
      </c>
      <c r="C2088" s="5">
        <v>1</v>
      </c>
      <c r="D2088" s="5" t="s">
        <v>10</v>
      </c>
      <c r="E2088" t="s">
        <v>3352</v>
      </c>
      <c r="F2088" t="s">
        <v>3353</v>
      </c>
      <c r="G2088">
        <v>0</v>
      </c>
      <c r="H2088" t="s">
        <v>126</v>
      </c>
      <c r="I2088" s="2">
        <v>6000</v>
      </c>
    </row>
    <row r="2089" spans="1:9" x14ac:dyDescent="0.3">
      <c r="A2089" s="5">
        <v>9113</v>
      </c>
      <c r="B2089" s="5" t="s">
        <v>3354</v>
      </c>
      <c r="C2089" s="5">
        <v>5</v>
      </c>
      <c r="D2089" s="5" t="s">
        <v>63</v>
      </c>
      <c r="E2089" t="s">
        <v>3355</v>
      </c>
      <c r="F2089" t="s">
        <v>3356</v>
      </c>
      <c r="G2089">
        <v>0</v>
      </c>
      <c r="H2089" t="s">
        <v>673</v>
      </c>
      <c r="I2089" s="2">
        <v>9000</v>
      </c>
    </row>
    <row r="2090" spans="1:9" x14ac:dyDescent="0.3">
      <c r="A2090" s="5">
        <v>9113</v>
      </c>
      <c r="B2090" s="5" t="s">
        <v>3354</v>
      </c>
      <c r="C2090" s="5">
        <v>5</v>
      </c>
      <c r="D2090" s="5" t="s">
        <v>63</v>
      </c>
      <c r="E2090" t="s">
        <v>3355</v>
      </c>
      <c r="F2090" t="s">
        <v>3356</v>
      </c>
      <c r="G2090">
        <v>0</v>
      </c>
      <c r="H2090" t="s">
        <v>3357</v>
      </c>
      <c r="I2090" s="2">
        <v>35000</v>
      </c>
    </row>
    <row r="2091" spans="1:9" x14ac:dyDescent="0.3">
      <c r="A2091" s="5">
        <v>9112</v>
      </c>
      <c r="B2091" s="5" t="s">
        <v>3358</v>
      </c>
      <c r="C2091" s="5">
        <v>6</v>
      </c>
      <c r="D2091" s="5" t="s">
        <v>3074</v>
      </c>
      <c r="E2091" t="s">
        <v>3359</v>
      </c>
      <c r="F2091" t="s">
        <v>3360</v>
      </c>
      <c r="G2091">
        <v>0</v>
      </c>
      <c r="H2091" t="s">
        <v>1183</v>
      </c>
      <c r="I2091" s="2">
        <v>5000</v>
      </c>
    </row>
    <row r="2092" spans="1:9" x14ac:dyDescent="0.3">
      <c r="A2092" s="5">
        <v>9109</v>
      </c>
      <c r="B2092" s="5" t="s">
        <v>3361</v>
      </c>
      <c r="C2092" s="5">
        <v>5</v>
      </c>
      <c r="D2092" s="5" t="s">
        <v>63</v>
      </c>
      <c r="E2092" t="s">
        <v>3362</v>
      </c>
      <c r="F2092" t="s">
        <v>3363</v>
      </c>
      <c r="G2092">
        <v>0</v>
      </c>
      <c r="H2092" t="s">
        <v>673</v>
      </c>
      <c r="I2092" s="2">
        <v>8000</v>
      </c>
    </row>
    <row r="2093" spans="1:9" x14ac:dyDescent="0.3">
      <c r="A2093" s="5">
        <v>9109</v>
      </c>
      <c r="B2093" s="5" t="s">
        <v>3361</v>
      </c>
      <c r="C2093" s="5">
        <v>5</v>
      </c>
      <c r="D2093" s="5" t="s">
        <v>63</v>
      </c>
      <c r="E2093" t="s">
        <v>3362</v>
      </c>
      <c r="F2093" t="s">
        <v>3363</v>
      </c>
      <c r="G2093">
        <v>0</v>
      </c>
      <c r="H2093" t="s">
        <v>3357</v>
      </c>
      <c r="I2093" s="2">
        <v>15000</v>
      </c>
    </row>
    <row r="2094" spans="1:9" x14ac:dyDescent="0.3">
      <c r="A2094" s="5">
        <v>9108</v>
      </c>
      <c r="B2094" s="5" t="s">
        <v>3364</v>
      </c>
      <c r="C2094" s="5">
        <v>1</v>
      </c>
      <c r="D2094" s="5" t="s">
        <v>10</v>
      </c>
      <c r="E2094" t="s">
        <v>3365</v>
      </c>
      <c r="F2094" t="s">
        <v>3366</v>
      </c>
      <c r="G2094">
        <v>0</v>
      </c>
      <c r="H2094" t="s">
        <v>139</v>
      </c>
      <c r="I2094" s="2">
        <v>7000</v>
      </c>
    </row>
    <row r="2095" spans="1:9" x14ac:dyDescent="0.3">
      <c r="A2095" s="5">
        <v>9108</v>
      </c>
      <c r="B2095" s="5" t="s">
        <v>3364</v>
      </c>
      <c r="C2095" s="5">
        <v>1</v>
      </c>
      <c r="D2095" s="5" t="s">
        <v>10</v>
      </c>
      <c r="E2095" t="s">
        <v>3365</v>
      </c>
      <c r="F2095" t="s">
        <v>3366</v>
      </c>
      <c r="G2095">
        <v>0</v>
      </c>
      <c r="H2095" t="s">
        <v>126</v>
      </c>
      <c r="I2095" s="2">
        <v>8000</v>
      </c>
    </row>
    <row r="2096" spans="1:9" x14ac:dyDescent="0.3">
      <c r="A2096" s="5">
        <v>9108</v>
      </c>
      <c r="B2096" s="5" t="s">
        <v>3364</v>
      </c>
      <c r="C2096" s="5">
        <v>1</v>
      </c>
      <c r="D2096" s="5" t="s">
        <v>10</v>
      </c>
      <c r="E2096" t="s">
        <v>3365</v>
      </c>
      <c r="F2096" t="s">
        <v>3366</v>
      </c>
      <c r="G2096">
        <v>0</v>
      </c>
      <c r="H2096" t="s">
        <v>126</v>
      </c>
      <c r="I2096" s="2">
        <v>7000</v>
      </c>
    </row>
    <row r="2097" spans="1:9" x14ac:dyDescent="0.3">
      <c r="A2097" s="5">
        <v>9107</v>
      </c>
      <c r="B2097" s="5" t="s">
        <v>3367</v>
      </c>
      <c r="C2097" s="5">
        <v>5</v>
      </c>
      <c r="D2097" s="5" t="s">
        <v>63</v>
      </c>
      <c r="E2097" t="s">
        <v>3368</v>
      </c>
      <c r="F2097" t="s">
        <v>3369</v>
      </c>
      <c r="G2097">
        <v>0</v>
      </c>
      <c r="H2097" t="s">
        <v>673</v>
      </c>
      <c r="I2097" s="2">
        <v>5000</v>
      </c>
    </row>
    <row r="2098" spans="1:9" x14ac:dyDescent="0.3">
      <c r="A2098" s="5">
        <v>9104</v>
      </c>
      <c r="B2098" s="5" t="s">
        <v>3370</v>
      </c>
      <c r="C2098" s="5">
        <v>1</v>
      </c>
      <c r="D2098" s="5" t="s">
        <v>10</v>
      </c>
      <c r="E2098" t="s">
        <v>3371</v>
      </c>
      <c r="F2098" t="s">
        <v>3372</v>
      </c>
      <c r="G2098">
        <v>0</v>
      </c>
      <c r="H2098" t="s">
        <v>3373</v>
      </c>
      <c r="I2098" s="2">
        <v>5500</v>
      </c>
    </row>
    <row r="2099" spans="1:9" x14ac:dyDescent="0.3">
      <c r="A2099" s="5">
        <v>9104</v>
      </c>
      <c r="B2099" s="5" t="s">
        <v>3370</v>
      </c>
      <c r="C2099" s="5">
        <v>1</v>
      </c>
      <c r="D2099" s="5" t="s">
        <v>10</v>
      </c>
      <c r="E2099" t="s">
        <v>3371</v>
      </c>
      <c r="F2099" t="s">
        <v>3372</v>
      </c>
      <c r="G2099">
        <v>0</v>
      </c>
      <c r="H2099" t="s">
        <v>3374</v>
      </c>
      <c r="I2099" s="2">
        <v>13000</v>
      </c>
    </row>
    <row r="2100" spans="1:9" x14ac:dyDescent="0.3">
      <c r="A2100" s="5">
        <v>9102</v>
      </c>
      <c r="B2100" s="5" t="s">
        <v>3375</v>
      </c>
      <c r="C2100" s="5">
        <v>2</v>
      </c>
      <c r="D2100" s="5" t="s">
        <v>261</v>
      </c>
      <c r="E2100" t="s">
        <v>3376</v>
      </c>
      <c r="F2100" t="s">
        <v>3377</v>
      </c>
      <c r="G2100">
        <v>0</v>
      </c>
      <c r="H2100" t="s">
        <v>264</v>
      </c>
      <c r="I2100" s="2">
        <v>4500</v>
      </c>
    </row>
    <row r="2101" spans="1:9" x14ac:dyDescent="0.3">
      <c r="A2101" s="5">
        <v>9102</v>
      </c>
      <c r="B2101" s="5" t="s">
        <v>3375</v>
      </c>
      <c r="C2101" s="5">
        <v>2</v>
      </c>
      <c r="D2101" s="5" t="s">
        <v>261</v>
      </c>
      <c r="E2101" t="s">
        <v>3376</v>
      </c>
      <c r="F2101" t="s">
        <v>3377</v>
      </c>
      <c r="G2101">
        <v>0</v>
      </c>
      <c r="H2101" t="s">
        <v>265</v>
      </c>
      <c r="I2101" s="2">
        <v>3500</v>
      </c>
    </row>
    <row r="2102" spans="1:9" x14ac:dyDescent="0.3">
      <c r="A2102" s="5">
        <v>9101</v>
      </c>
      <c r="B2102" s="5" t="s">
        <v>3378</v>
      </c>
      <c r="C2102" s="5">
        <v>1</v>
      </c>
      <c r="D2102" s="5" t="s">
        <v>10</v>
      </c>
      <c r="E2102" t="s">
        <v>3379</v>
      </c>
      <c r="F2102" t="s">
        <v>3380</v>
      </c>
      <c r="G2102">
        <v>0</v>
      </c>
      <c r="H2102" t="s">
        <v>229</v>
      </c>
      <c r="I2102" s="2">
        <v>5000</v>
      </c>
    </row>
    <row r="2103" spans="1:9" x14ac:dyDescent="0.3">
      <c r="A2103" s="5">
        <v>9101</v>
      </c>
      <c r="B2103" s="5" t="s">
        <v>3378</v>
      </c>
      <c r="C2103" s="5">
        <v>1</v>
      </c>
      <c r="D2103" s="5" t="s">
        <v>10</v>
      </c>
      <c r="E2103" t="s">
        <v>3379</v>
      </c>
      <c r="F2103" t="s">
        <v>3380</v>
      </c>
      <c r="G2103">
        <v>0</v>
      </c>
      <c r="H2103" t="s">
        <v>3381</v>
      </c>
      <c r="I2103" s="2">
        <v>12000</v>
      </c>
    </row>
    <row r="2104" spans="1:9" x14ac:dyDescent="0.3">
      <c r="A2104" s="5">
        <v>9100</v>
      </c>
      <c r="B2104" s="5" t="s">
        <v>3382</v>
      </c>
      <c r="C2104" s="5">
        <v>1</v>
      </c>
      <c r="D2104" s="5" t="s">
        <v>10</v>
      </c>
      <c r="E2104" t="s">
        <v>3383</v>
      </c>
      <c r="F2104" t="s">
        <v>3384</v>
      </c>
      <c r="G2104">
        <v>0</v>
      </c>
      <c r="H2104" t="s">
        <v>3385</v>
      </c>
      <c r="I2104" s="2">
        <v>6000</v>
      </c>
    </row>
    <row r="2105" spans="1:9" x14ac:dyDescent="0.3">
      <c r="A2105" s="5">
        <v>9100</v>
      </c>
      <c r="B2105" s="5" t="s">
        <v>3382</v>
      </c>
      <c r="C2105" s="5">
        <v>1</v>
      </c>
      <c r="D2105" s="5" t="s">
        <v>10</v>
      </c>
      <c r="E2105" t="s">
        <v>3383</v>
      </c>
      <c r="F2105" t="s">
        <v>3384</v>
      </c>
      <c r="G2105">
        <v>0</v>
      </c>
      <c r="H2105" t="s">
        <v>134</v>
      </c>
      <c r="I2105" s="2">
        <v>6000</v>
      </c>
    </row>
    <row r="2106" spans="1:9" x14ac:dyDescent="0.3">
      <c r="A2106" s="5">
        <v>9099</v>
      </c>
      <c r="B2106" s="5" t="s">
        <v>3386</v>
      </c>
      <c r="C2106" s="5">
        <v>7</v>
      </c>
      <c r="D2106" s="5" t="s">
        <v>360</v>
      </c>
      <c r="E2106" t="s">
        <v>3387</v>
      </c>
      <c r="F2106" t="s">
        <v>3388</v>
      </c>
      <c r="G2106">
        <v>0</v>
      </c>
      <c r="H2106" t="s">
        <v>3389</v>
      </c>
      <c r="I2106" s="2">
        <v>8000</v>
      </c>
    </row>
    <row r="2107" spans="1:9" x14ac:dyDescent="0.3">
      <c r="A2107" s="5">
        <v>9098</v>
      </c>
      <c r="B2107" s="5" t="s">
        <v>1348</v>
      </c>
      <c r="C2107" s="5">
        <v>1</v>
      </c>
      <c r="D2107" s="5" t="s">
        <v>10</v>
      </c>
      <c r="E2107" t="s">
        <v>3390</v>
      </c>
      <c r="F2107" t="s">
        <v>3391</v>
      </c>
      <c r="G2107">
        <v>0</v>
      </c>
      <c r="H2107" t="s">
        <v>35</v>
      </c>
      <c r="I2107" s="2">
        <v>8000</v>
      </c>
    </row>
    <row r="2108" spans="1:9" x14ac:dyDescent="0.3">
      <c r="A2108" s="5">
        <v>9097</v>
      </c>
      <c r="B2108" s="5" t="s">
        <v>3392</v>
      </c>
      <c r="C2108" s="5">
        <v>1</v>
      </c>
      <c r="D2108" s="5" t="s">
        <v>10</v>
      </c>
      <c r="E2108" t="s">
        <v>3393</v>
      </c>
      <c r="F2108" t="s">
        <v>3394</v>
      </c>
      <c r="G2108">
        <v>0</v>
      </c>
      <c r="H2108" t="s">
        <v>374</v>
      </c>
      <c r="I2108" s="2">
        <v>2500</v>
      </c>
    </row>
    <row r="2109" spans="1:9" x14ac:dyDescent="0.3">
      <c r="A2109" s="5">
        <v>9097</v>
      </c>
      <c r="B2109" s="5" t="s">
        <v>3392</v>
      </c>
      <c r="C2109" s="5">
        <v>1</v>
      </c>
      <c r="D2109" s="5" t="s">
        <v>10</v>
      </c>
      <c r="E2109" t="s">
        <v>3393</v>
      </c>
      <c r="F2109" t="s">
        <v>3394</v>
      </c>
      <c r="G2109">
        <v>0</v>
      </c>
      <c r="H2109" t="s">
        <v>3395</v>
      </c>
      <c r="I2109" s="2">
        <v>3500</v>
      </c>
    </row>
    <row r="2110" spans="1:9" x14ac:dyDescent="0.3">
      <c r="A2110" s="5">
        <v>9096</v>
      </c>
      <c r="B2110" s="5" t="s">
        <v>3396</v>
      </c>
      <c r="C2110" s="5">
        <v>1</v>
      </c>
      <c r="D2110" s="5" t="s">
        <v>10</v>
      </c>
      <c r="E2110" t="s">
        <v>3397</v>
      </c>
      <c r="F2110" t="s">
        <v>3398</v>
      </c>
      <c r="G2110">
        <v>0</v>
      </c>
      <c r="H2110" t="s">
        <v>134</v>
      </c>
      <c r="I2110" s="2">
        <v>6000</v>
      </c>
    </row>
    <row r="2111" spans="1:9" x14ac:dyDescent="0.3">
      <c r="A2111" s="5">
        <v>9096</v>
      </c>
      <c r="B2111" s="5" t="s">
        <v>3396</v>
      </c>
      <c r="C2111" s="5">
        <v>1</v>
      </c>
      <c r="D2111" s="5" t="s">
        <v>10</v>
      </c>
      <c r="E2111" t="s">
        <v>3397</v>
      </c>
      <c r="F2111" t="s">
        <v>3398</v>
      </c>
      <c r="G2111">
        <v>0</v>
      </c>
      <c r="H2111" t="s">
        <v>126</v>
      </c>
      <c r="I2111" s="2">
        <v>5000</v>
      </c>
    </row>
    <row r="2112" spans="1:9" x14ac:dyDescent="0.3">
      <c r="A2112" s="5">
        <v>9095</v>
      </c>
      <c r="B2112" s="5" t="s">
        <v>3399</v>
      </c>
      <c r="C2112" s="5">
        <v>1</v>
      </c>
      <c r="D2112" s="5" t="s">
        <v>10</v>
      </c>
      <c r="E2112" t="s">
        <v>3400</v>
      </c>
      <c r="F2112" t="s">
        <v>3401</v>
      </c>
      <c r="G2112">
        <v>0</v>
      </c>
      <c r="H2112" t="s">
        <v>71</v>
      </c>
      <c r="I2112" s="2">
        <v>6000</v>
      </c>
    </row>
    <row r="2113" spans="1:9" x14ac:dyDescent="0.3">
      <c r="A2113" s="5">
        <v>9093</v>
      </c>
      <c r="B2113" s="5" t="s">
        <v>3402</v>
      </c>
      <c r="C2113" s="5">
        <v>1</v>
      </c>
      <c r="D2113" s="5" t="s">
        <v>10</v>
      </c>
      <c r="E2113" t="s">
        <v>3403</v>
      </c>
      <c r="F2113" t="s">
        <v>3404</v>
      </c>
      <c r="G2113">
        <v>0</v>
      </c>
      <c r="H2113" t="s">
        <v>259</v>
      </c>
      <c r="I2113" s="2">
        <v>5000</v>
      </c>
    </row>
    <row r="2114" spans="1:9" x14ac:dyDescent="0.3">
      <c r="A2114" s="5">
        <v>9093</v>
      </c>
      <c r="B2114" s="5" t="s">
        <v>3402</v>
      </c>
      <c r="C2114" s="5">
        <v>1</v>
      </c>
      <c r="D2114" s="5" t="s">
        <v>10</v>
      </c>
      <c r="E2114" t="s">
        <v>3403</v>
      </c>
      <c r="F2114" t="s">
        <v>3404</v>
      </c>
      <c r="G2114">
        <v>0</v>
      </c>
      <c r="H2114" t="s">
        <v>134</v>
      </c>
      <c r="I2114" s="2">
        <v>6000</v>
      </c>
    </row>
    <row r="2115" spans="1:9" x14ac:dyDescent="0.3">
      <c r="A2115" s="5">
        <v>9092</v>
      </c>
      <c r="B2115" s="5" t="s">
        <v>3405</v>
      </c>
      <c r="C2115" s="5">
        <v>7</v>
      </c>
      <c r="D2115" s="5" t="s">
        <v>360</v>
      </c>
      <c r="E2115" t="s">
        <v>3406</v>
      </c>
      <c r="F2115" t="s">
        <v>3407</v>
      </c>
      <c r="G2115">
        <v>0</v>
      </c>
      <c r="H2115" t="s">
        <v>3389</v>
      </c>
      <c r="I2115" s="2">
        <v>7000</v>
      </c>
    </row>
    <row r="2116" spans="1:9" x14ac:dyDescent="0.3">
      <c r="A2116" s="5">
        <v>9090</v>
      </c>
      <c r="B2116" s="5" t="s">
        <v>3408</v>
      </c>
      <c r="C2116" s="5">
        <v>1</v>
      </c>
      <c r="D2116" s="5" t="s">
        <v>10</v>
      </c>
      <c r="E2116" t="s">
        <v>3409</v>
      </c>
      <c r="F2116" t="s">
        <v>3410</v>
      </c>
      <c r="G2116">
        <v>0</v>
      </c>
      <c r="H2116" t="s">
        <v>3411</v>
      </c>
      <c r="I2116" s="2">
        <v>49000</v>
      </c>
    </row>
    <row r="2117" spans="1:9" x14ac:dyDescent="0.3">
      <c r="A2117" s="5">
        <v>9090</v>
      </c>
      <c r="B2117" s="5" t="s">
        <v>3408</v>
      </c>
      <c r="C2117" s="5">
        <v>1</v>
      </c>
      <c r="D2117" s="5" t="s">
        <v>10</v>
      </c>
      <c r="E2117" t="s">
        <v>3409</v>
      </c>
      <c r="F2117" t="s">
        <v>3410</v>
      </c>
      <c r="G2117">
        <v>0</v>
      </c>
      <c r="H2117" t="s">
        <v>163</v>
      </c>
      <c r="I2117" s="2">
        <v>8000</v>
      </c>
    </row>
    <row r="2118" spans="1:9" x14ac:dyDescent="0.3">
      <c r="A2118" s="5">
        <v>9090</v>
      </c>
      <c r="B2118" s="5" t="s">
        <v>3408</v>
      </c>
      <c r="C2118" s="5">
        <v>1</v>
      </c>
      <c r="D2118" s="5" t="s">
        <v>10</v>
      </c>
      <c r="E2118" t="s">
        <v>3409</v>
      </c>
      <c r="F2118" t="s">
        <v>3410</v>
      </c>
      <c r="G2118">
        <v>0</v>
      </c>
      <c r="H2118" t="s">
        <v>3412</v>
      </c>
      <c r="I2118" s="2">
        <v>9000</v>
      </c>
    </row>
    <row r="2119" spans="1:9" x14ac:dyDescent="0.3">
      <c r="A2119" s="5">
        <v>9089</v>
      </c>
      <c r="B2119" s="5" t="s">
        <v>15</v>
      </c>
      <c r="C2119" s="5">
        <v>1</v>
      </c>
      <c r="D2119" s="5" t="s">
        <v>10</v>
      </c>
      <c r="E2119" t="s">
        <v>3413</v>
      </c>
      <c r="F2119" t="s">
        <v>3414</v>
      </c>
      <c r="G2119">
        <v>0</v>
      </c>
      <c r="H2119" t="s">
        <v>20</v>
      </c>
      <c r="I2119" s="2">
        <v>5000</v>
      </c>
    </row>
    <row r="2120" spans="1:9" x14ac:dyDescent="0.3">
      <c r="A2120" s="5">
        <v>9089</v>
      </c>
      <c r="B2120" s="5" t="s">
        <v>15</v>
      </c>
      <c r="C2120" s="5">
        <v>1</v>
      </c>
      <c r="D2120" s="5" t="s">
        <v>10</v>
      </c>
      <c r="E2120" t="s">
        <v>3413</v>
      </c>
      <c r="F2120" t="s">
        <v>3414</v>
      </c>
      <c r="G2120">
        <v>0</v>
      </c>
      <c r="H2120" t="s">
        <v>21</v>
      </c>
      <c r="I2120" s="2">
        <v>5000</v>
      </c>
    </row>
    <row r="2121" spans="1:9" x14ac:dyDescent="0.3">
      <c r="A2121" s="5">
        <v>9087</v>
      </c>
      <c r="B2121" s="5" t="s">
        <v>3415</v>
      </c>
      <c r="C2121" s="5">
        <v>1</v>
      </c>
      <c r="D2121" s="5" t="s">
        <v>10</v>
      </c>
      <c r="E2121" t="s">
        <v>3416</v>
      </c>
      <c r="F2121" t="s">
        <v>3417</v>
      </c>
      <c r="G2121">
        <v>0</v>
      </c>
      <c r="H2121" t="s">
        <v>2712</v>
      </c>
      <c r="I2121" s="2">
        <v>8000</v>
      </c>
    </row>
    <row r="2122" spans="1:9" x14ac:dyDescent="0.3">
      <c r="A2122" s="5">
        <v>9087</v>
      </c>
      <c r="B2122" s="5" t="s">
        <v>3415</v>
      </c>
      <c r="C2122" s="5">
        <v>1</v>
      </c>
      <c r="D2122" s="5" t="s">
        <v>10</v>
      </c>
      <c r="E2122" t="s">
        <v>3416</v>
      </c>
      <c r="F2122" t="s">
        <v>3417</v>
      </c>
      <c r="G2122">
        <v>0</v>
      </c>
      <c r="H2122" t="s">
        <v>139</v>
      </c>
      <c r="I2122" s="2">
        <v>6000</v>
      </c>
    </row>
    <row r="2123" spans="1:9" x14ac:dyDescent="0.3">
      <c r="A2123" s="5">
        <v>9087</v>
      </c>
      <c r="B2123" s="5" t="s">
        <v>3415</v>
      </c>
      <c r="C2123" s="5">
        <v>1</v>
      </c>
      <c r="D2123" s="5" t="s">
        <v>10</v>
      </c>
      <c r="E2123" t="s">
        <v>3416</v>
      </c>
      <c r="F2123" t="s">
        <v>3417</v>
      </c>
      <c r="G2123">
        <v>0</v>
      </c>
      <c r="H2123" t="s">
        <v>372</v>
      </c>
      <c r="I2123" s="2">
        <v>6000</v>
      </c>
    </row>
    <row r="2124" spans="1:9" x14ac:dyDescent="0.3">
      <c r="A2124" s="5">
        <v>9086</v>
      </c>
      <c r="B2124" s="5" t="s">
        <v>3418</v>
      </c>
      <c r="C2124" s="5">
        <v>1</v>
      </c>
      <c r="D2124" s="5" t="s">
        <v>10</v>
      </c>
      <c r="E2124" t="s">
        <v>3419</v>
      </c>
      <c r="F2124" t="s">
        <v>3420</v>
      </c>
      <c r="G2124">
        <v>0</v>
      </c>
      <c r="H2124" t="s">
        <v>3421</v>
      </c>
      <c r="I2124" s="2">
        <v>7000</v>
      </c>
    </row>
    <row r="2125" spans="1:9" x14ac:dyDescent="0.3">
      <c r="A2125" s="5">
        <v>9086</v>
      </c>
      <c r="B2125" s="5" t="s">
        <v>3418</v>
      </c>
      <c r="C2125" s="5">
        <v>1</v>
      </c>
      <c r="D2125" s="5" t="s">
        <v>10</v>
      </c>
      <c r="E2125" t="s">
        <v>3419</v>
      </c>
      <c r="F2125" t="s">
        <v>3420</v>
      </c>
      <c r="G2125">
        <v>0</v>
      </c>
      <c r="H2125" t="s">
        <v>153</v>
      </c>
      <c r="I2125" s="2">
        <v>8000</v>
      </c>
    </row>
    <row r="2126" spans="1:9" x14ac:dyDescent="0.3">
      <c r="A2126" s="5">
        <v>9085</v>
      </c>
      <c r="B2126" s="5" t="s">
        <v>3422</v>
      </c>
      <c r="C2126" s="5">
        <v>13</v>
      </c>
      <c r="D2126" s="5" t="s">
        <v>27</v>
      </c>
      <c r="E2126" t="s">
        <v>3423</v>
      </c>
      <c r="F2126" t="s">
        <v>3424</v>
      </c>
      <c r="G2126">
        <v>0</v>
      </c>
      <c r="H2126" t="s">
        <v>3425</v>
      </c>
      <c r="I2126" s="2">
        <v>1400</v>
      </c>
    </row>
    <row r="2127" spans="1:9" x14ac:dyDescent="0.3">
      <c r="A2127" s="5">
        <v>9084</v>
      </c>
      <c r="B2127" s="5" t="s">
        <v>3426</v>
      </c>
      <c r="C2127" s="5">
        <v>1</v>
      </c>
      <c r="D2127" s="5" t="s">
        <v>10</v>
      </c>
      <c r="E2127" t="s">
        <v>3427</v>
      </c>
      <c r="F2127" t="s">
        <v>3428</v>
      </c>
      <c r="G2127">
        <v>0</v>
      </c>
      <c r="H2127" t="s">
        <v>3344</v>
      </c>
      <c r="I2127" s="2">
        <v>5000</v>
      </c>
    </row>
    <row r="2128" spans="1:9" x14ac:dyDescent="0.3">
      <c r="A2128" s="5">
        <v>9084</v>
      </c>
      <c r="B2128" s="5" t="s">
        <v>3426</v>
      </c>
      <c r="C2128" s="5">
        <v>1</v>
      </c>
      <c r="D2128" s="5" t="s">
        <v>10</v>
      </c>
      <c r="E2128" t="s">
        <v>3427</v>
      </c>
      <c r="F2128" t="s">
        <v>3428</v>
      </c>
      <c r="G2128">
        <v>0</v>
      </c>
      <c r="H2128" t="s">
        <v>259</v>
      </c>
      <c r="I2128" s="2">
        <v>5000</v>
      </c>
    </row>
    <row r="2129" spans="1:9" x14ac:dyDescent="0.3">
      <c r="A2129" s="5">
        <v>9080</v>
      </c>
      <c r="B2129" s="5" t="s">
        <v>3429</v>
      </c>
      <c r="C2129" s="5">
        <v>7</v>
      </c>
      <c r="D2129" s="5" t="s">
        <v>360</v>
      </c>
      <c r="E2129" t="s">
        <v>3430</v>
      </c>
      <c r="F2129" t="s">
        <v>3431</v>
      </c>
      <c r="G2129">
        <v>0</v>
      </c>
      <c r="H2129" t="s">
        <v>3432</v>
      </c>
      <c r="I2129" s="2">
        <v>4000</v>
      </c>
    </row>
    <row r="2130" spans="1:9" x14ac:dyDescent="0.3">
      <c r="A2130" s="5">
        <v>9080</v>
      </c>
      <c r="B2130" s="5" t="s">
        <v>3429</v>
      </c>
      <c r="C2130" s="5">
        <v>7</v>
      </c>
      <c r="D2130" s="5" t="s">
        <v>360</v>
      </c>
      <c r="E2130" t="s">
        <v>3430</v>
      </c>
      <c r="F2130" t="s">
        <v>3431</v>
      </c>
      <c r="G2130">
        <v>0</v>
      </c>
      <c r="H2130" t="s">
        <v>3433</v>
      </c>
      <c r="I2130" s="2">
        <v>5000</v>
      </c>
    </row>
    <row r="2131" spans="1:9" x14ac:dyDescent="0.3">
      <c r="A2131" s="5">
        <v>9079</v>
      </c>
      <c r="B2131" s="5" t="s">
        <v>3434</v>
      </c>
      <c r="C2131" s="5">
        <v>7</v>
      </c>
      <c r="D2131" s="5" t="s">
        <v>360</v>
      </c>
      <c r="E2131" t="s">
        <v>3435</v>
      </c>
      <c r="F2131" t="s">
        <v>3436</v>
      </c>
      <c r="G2131">
        <v>0</v>
      </c>
      <c r="H2131" t="s">
        <v>3432</v>
      </c>
      <c r="I2131" s="2">
        <v>3500</v>
      </c>
    </row>
    <row r="2132" spans="1:9" x14ac:dyDescent="0.3">
      <c r="A2132" s="5">
        <v>9079</v>
      </c>
      <c r="B2132" s="5" t="s">
        <v>3434</v>
      </c>
      <c r="C2132" s="5">
        <v>7</v>
      </c>
      <c r="D2132" s="5" t="s">
        <v>360</v>
      </c>
      <c r="E2132" t="s">
        <v>3435</v>
      </c>
      <c r="F2132" t="s">
        <v>3436</v>
      </c>
      <c r="G2132">
        <v>0</v>
      </c>
      <c r="H2132" t="s">
        <v>3389</v>
      </c>
      <c r="I2132" s="2">
        <v>9000</v>
      </c>
    </row>
    <row r="2133" spans="1:9" x14ac:dyDescent="0.3">
      <c r="A2133" s="5">
        <v>9078</v>
      </c>
      <c r="B2133" s="5" t="s">
        <v>3437</v>
      </c>
      <c r="C2133" s="5">
        <v>7</v>
      </c>
      <c r="D2133" s="5" t="s">
        <v>360</v>
      </c>
      <c r="E2133" t="s">
        <v>3438</v>
      </c>
      <c r="F2133" t="s">
        <v>3439</v>
      </c>
      <c r="G2133">
        <v>0</v>
      </c>
      <c r="H2133" t="s">
        <v>3440</v>
      </c>
      <c r="I2133" s="2">
        <v>8000</v>
      </c>
    </row>
    <row r="2134" spans="1:9" x14ac:dyDescent="0.3">
      <c r="A2134" s="5">
        <v>9075</v>
      </c>
      <c r="B2134" s="5" t="s">
        <v>3441</v>
      </c>
      <c r="C2134" s="5">
        <v>1</v>
      </c>
      <c r="D2134" s="5" t="s">
        <v>10</v>
      </c>
      <c r="E2134" t="s">
        <v>3442</v>
      </c>
      <c r="F2134" t="s">
        <v>3443</v>
      </c>
      <c r="G2134">
        <v>0</v>
      </c>
      <c r="H2134" t="s">
        <v>134</v>
      </c>
      <c r="I2134" s="2">
        <v>7000</v>
      </c>
    </row>
    <row r="2135" spans="1:9" x14ac:dyDescent="0.3">
      <c r="A2135" s="5">
        <v>9072</v>
      </c>
      <c r="B2135" s="5" t="s">
        <v>3444</v>
      </c>
      <c r="C2135" s="5">
        <v>1</v>
      </c>
      <c r="D2135" s="5" t="s">
        <v>10</v>
      </c>
      <c r="E2135" t="s">
        <v>3445</v>
      </c>
      <c r="F2135" t="s">
        <v>3446</v>
      </c>
      <c r="G2135">
        <v>0</v>
      </c>
      <c r="H2135" t="s">
        <v>3447</v>
      </c>
      <c r="I2135" s="2">
        <v>40000</v>
      </c>
    </row>
    <row r="2136" spans="1:9" x14ac:dyDescent="0.3">
      <c r="A2136" s="5">
        <v>9071</v>
      </c>
      <c r="B2136" s="5" t="s">
        <v>3448</v>
      </c>
      <c r="C2136" s="5">
        <v>5</v>
      </c>
      <c r="D2136" s="5" t="s">
        <v>63</v>
      </c>
      <c r="E2136" t="s">
        <v>3449</v>
      </c>
      <c r="F2136" t="s">
        <v>1798</v>
      </c>
      <c r="G2136">
        <v>0</v>
      </c>
      <c r="H2136" t="s">
        <v>66</v>
      </c>
      <c r="I2136" s="2">
        <v>10000</v>
      </c>
    </row>
    <row r="2137" spans="1:9" x14ac:dyDescent="0.3">
      <c r="A2137" s="5">
        <v>9071</v>
      </c>
      <c r="B2137" s="5" t="s">
        <v>3448</v>
      </c>
      <c r="C2137" s="5">
        <v>5</v>
      </c>
      <c r="D2137" s="5" t="s">
        <v>63</v>
      </c>
      <c r="E2137" t="s">
        <v>3449</v>
      </c>
      <c r="F2137" t="s">
        <v>1798</v>
      </c>
      <c r="G2137">
        <v>0</v>
      </c>
      <c r="H2137" t="s">
        <v>67</v>
      </c>
      <c r="I2137" s="2">
        <v>9000</v>
      </c>
    </row>
    <row r="2138" spans="1:9" x14ac:dyDescent="0.3">
      <c r="A2138" s="5">
        <v>9070</v>
      </c>
      <c r="B2138" s="5" t="s">
        <v>1796</v>
      </c>
      <c r="C2138" s="5">
        <v>5</v>
      </c>
      <c r="D2138" s="5" t="s">
        <v>63</v>
      </c>
      <c r="E2138" t="s">
        <v>3450</v>
      </c>
      <c r="F2138" t="s">
        <v>816</v>
      </c>
      <c r="G2138">
        <v>0</v>
      </c>
      <c r="H2138" t="s">
        <v>563</v>
      </c>
      <c r="I2138" s="2">
        <v>5000</v>
      </c>
    </row>
    <row r="2139" spans="1:9" x14ac:dyDescent="0.3">
      <c r="A2139" s="5">
        <v>9070</v>
      </c>
      <c r="B2139" s="5" t="s">
        <v>1796</v>
      </c>
      <c r="C2139" s="5">
        <v>5</v>
      </c>
      <c r="D2139" s="5" t="s">
        <v>63</v>
      </c>
      <c r="E2139" t="s">
        <v>3450</v>
      </c>
      <c r="F2139" t="s">
        <v>816</v>
      </c>
      <c r="G2139">
        <v>0</v>
      </c>
      <c r="H2139" t="s">
        <v>66</v>
      </c>
      <c r="I2139" s="2">
        <v>5000</v>
      </c>
    </row>
    <row r="2140" spans="1:9" x14ac:dyDescent="0.3">
      <c r="A2140" s="5">
        <v>9069</v>
      </c>
      <c r="B2140" s="5" t="s">
        <v>3451</v>
      </c>
      <c r="C2140" s="5">
        <v>1</v>
      </c>
      <c r="D2140" s="5" t="s">
        <v>10</v>
      </c>
      <c r="E2140" t="s">
        <v>3452</v>
      </c>
      <c r="F2140" t="s">
        <v>3453</v>
      </c>
      <c r="G2140">
        <v>0</v>
      </c>
      <c r="H2140" t="s">
        <v>3454</v>
      </c>
      <c r="I2140" s="2">
        <v>7000</v>
      </c>
    </row>
    <row r="2141" spans="1:9" x14ac:dyDescent="0.3">
      <c r="A2141" s="5">
        <v>9069</v>
      </c>
      <c r="B2141" s="5" t="s">
        <v>3451</v>
      </c>
      <c r="C2141" s="5">
        <v>1</v>
      </c>
      <c r="D2141" s="5" t="s">
        <v>10</v>
      </c>
      <c r="E2141" t="s">
        <v>3452</v>
      </c>
      <c r="F2141" t="s">
        <v>3453</v>
      </c>
      <c r="G2141">
        <v>0</v>
      </c>
      <c r="H2141" t="s">
        <v>3455</v>
      </c>
      <c r="I2141" s="2">
        <v>11000</v>
      </c>
    </row>
    <row r="2142" spans="1:9" x14ac:dyDescent="0.3">
      <c r="A2142" s="5">
        <v>9069</v>
      </c>
      <c r="B2142" s="5" t="s">
        <v>3451</v>
      </c>
      <c r="C2142" s="5">
        <v>1</v>
      </c>
      <c r="D2142" s="5" t="s">
        <v>10</v>
      </c>
      <c r="E2142" t="s">
        <v>3452</v>
      </c>
      <c r="F2142" t="s">
        <v>3453</v>
      </c>
      <c r="G2142">
        <v>0</v>
      </c>
      <c r="H2142" t="s">
        <v>3456</v>
      </c>
      <c r="I2142" s="2">
        <v>7000</v>
      </c>
    </row>
    <row r="2143" spans="1:9" x14ac:dyDescent="0.3">
      <c r="A2143" s="5">
        <v>9068</v>
      </c>
      <c r="B2143" s="5" t="s">
        <v>3457</v>
      </c>
      <c r="C2143" s="5">
        <v>2</v>
      </c>
      <c r="D2143" s="5" t="s">
        <v>261</v>
      </c>
      <c r="E2143" t="s">
        <v>3458</v>
      </c>
      <c r="F2143" t="s">
        <v>3459</v>
      </c>
      <c r="G2143">
        <v>0</v>
      </c>
      <c r="H2143" t="s">
        <v>642</v>
      </c>
      <c r="I2143" s="2">
        <v>4000</v>
      </c>
    </row>
    <row r="2144" spans="1:9" x14ac:dyDescent="0.3">
      <c r="A2144" s="5">
        <v>9068</v>
      </c>
      <c r="B2144" s="5" t="s">
        <v>3457</v>
      </c>
      <c r="C2144" s="5">
        <v>2</v>
      </c>
      <c r="D2144" s="5" t="s">
        <v>261</v>
      </c>
      <c r="E2144" t="s">
        <v>3458</v>
      </c>
      <c r="F2144" t="s">
        <v>3459</v>
      </c>
      <c r="G2144">
        <v>0</v>
      </c>
      <c r="H2144" t="s">
        <v>265</v>
      </c>
      <c r="I2144" s="2">
        <v>4500</v>
      </c>
    </row>
    <row r="2145" spans="1:9" x14ac:dyDescent="0.3">
      <c r="A2145" s="5">
        <v>9066</v>
      </c>
      <c r="B2145" s="5" t="s">
        <v>3460</v>
      </c>
      <c r="C2145" s="5">
        <v>2</v>
      </c>
      <c r="D2145" s="5" t="s">
        <v>261</v>
      </c>
      <c r="E2145" t="s">
        <v>3461</v>
      </c>
      <c r="F2145" t="s">
        <v>3462</v>
      </c>
      <c r="G2145">
        <v>0</v>
      </c>
      <c r="H2145" t="s">
        <v>641</v>
      </c>
      <c r="I2145" s="2">
        <v>8500</v>
      </c>
    </row>
    <row r="2146" spans="1:9" x14ac:dyDescent="0.3">
      <c r="A2146" s="5">
        <v>9066</v>
      </c>
      <c r="B2146" s="5" t="s">
        <v>3460</v>
      </c>
      <c r="C2146" s="5">
        <v>2</v>
      </c>
      <c r="D2146" s="5" t="s">
        <v>261</v>
      </c>
      <c r="E2146" t="s">
        <v>3461</v>
      </c>
      <c r="F2146" t="s">
        <v>3462</v>
      </c>
      <c r="G2146">
        <v>0</v>
      </c>
      <c r="H2146" t="s">
        <v>642</v>
      </c>
      <c r="I2146" s="2">
        <v>3500</v>
      </c>
    </row>
    <row r="2147" spans="1:9" x14ac:dyDescent="0.3">
      <c r="A2147" s="5">
        <v>9065</v>
      </c>
      <c r="B2147" s="5" t="s">
        <v>3463</v>
      </c>
      <c r="C2147" s="5">
        <v>5</v>
      </c>
      <c r="D2147" s="5" t="s">
        <v>63</v>
      </c>
      <c r="E2147" t="s">
        <v>3464</v>
      </c>
      <c r="F2147" t="s">
        <v>3465</v>
      </c>
      <c r="G2147">
        <v>0</v>
      </c>
      <c r="H2147" t="s">
        <v>88</v>
      </c>
      <c r="I2147" s="2">
        <v>20000</v>
      </c>
    </row>
    <row r="2148" spans="1:9" x14ac:dyDescent="0.3">
      <c r="A2148" s="5">
        <v>9065</v>
      </c>
      <c r="B2148" s="5" t="s">
        <v>3463</v>
      </c>
      <c r="C2148" s="5">
        <v>5</v>
      </c>
      <c r="D2148" s="5" t="s">
        <v>63</v>
      </c>
      <c r="E2148" t="s">
        <v>3464</v>
      </c>
      <c r="F2148" t="s">
        <v>3465</v>
      </c>
      <c r="G2148">
        <v>0</v>
      </c>
      <c r="H2148" t="s">
        <v>67</v>
      </c>
      <c r="I2148" s="2">
        <v>5000</v>
      </c>
    </row>
    <row r="2149" spans="1:9" x14ac:dyDescent="0.3">
      <c r="A2149" s="5">
        <v>9064</v>
      </c>
      <c r="B2149" s="5" t="s">
        <v>3466</v>
      </c>
      <c r="C2149" s="5">
        <v>1</v>
      </c>
      <c r="D2149" s="5" t="s">
        <v>10</v>
      </c>
      <c r="E2149" t="s">
        <v>3467</v>
      </c>
      <c r="F2149" t="s">
        <v>3468</v>
      </c>
      <c r="G2149">
        <v>0</v>
      </c>
      <c r="H2149" t="s">
        <v>3469</v>
      </c>
      <c r="I2149" s="2">
        <v>5000</v>
      </c>
    </row>
    <row r="2150" spans="1:9" x14ac:dyDescent="0.3">
      <c r="A2150" s="5">
        <v>9064</v>
      </c>
      <c r="B2150" s="5" t="s">
        <v>3466</v>
      </c>
      <c r="C2150" s="5">
        <v>1</v>
      </c>
      <c r="D2150" s="5" t="s">
        <v>10</v>
      </c>
      <c r="E2150" t="s">
        <v>3467</v>
      </c>
      <c r="F2150" t="s">
        <v>3468</v>
      </c>
      <c r="G2150">
        <v>0</v>
      </c>
      <c r="H2150" t="s">
        <v>1524</v>
      </c>
      <c r="I2150" s="2">
        <v>13000</v>
      </c>
    </row>
    <row r="2151" spans="1:9" x14ac:dyDescent="0.3">
      <c r="A2151" s="5">
        <v>9064</v>
      </c>
      <c r="B2151" s="5" t="s">
        <v>3466</v>
      </c>
      <c r="C2151" s="5">
        <v>1</v>
      </c>
      <c r="D2151" s="5" t="s">
        <v>10</v>
      </c>
      <c r="E2151" t="s">
        <v>3467</v>
      </c>
      <c r="F2151" t="s">
        <v>3468</v>
      </c>
      <c r="G2151">
        <v>0</v>
      </c>
      <c r="H2151" t="s">
        <v>189</v>
      </c>
      <c r="I2151" s="2">
        <v>10000</v>
      </c>
    </row>
    <row r="2152" spans="1:9" x14ac:dyDescent="0.3">
      <c r="A2152" s="5">
        <v>9063</v>
      </c>
      <c r="B2152" s="5" t="s">
        <v>3470</v>
      </c>
      <c r="C2152" s="5">
        <v>1</v>
      </c>
      <c r="D2152" s="5" t="s">
        <v>10</v>
      </c>
      <c r="E2152" t="s">
        <v>3471</v>
      </c>
      <c r="F2152" t="s">
        <v>3472</v>
      </c>
      <c r="G2152">
        <v>0</v>
      </c>
      <c r="H2152" t="s">
        <v>3473</v>
      </c>
      <c r="I2152" s="2">
        <v>7000</v>
      </c>
    </row>
    <row r="2153" spans="1:9" x14ac:dyDescent="0.3">
      <c r="A2153" s="5">
        <v>9063</v>
      </c>
      <c r="B2153" s="5" t="s">
        <v>3470</v>
      </c>
      <c r="C2153" s="5">
        <v>1</v>
      </c>
      <c r="D2153" s="5" t="s">
        <v>10</v>
      </c>
      <c r="E2153" t="s">
        <v>3471</v>
      </c>
      <c r="F2153" t="s">
        <v>3472</v>
      </c>
      <c r="G2153">
        <v>0</v>
      </c>
      <c r="H2153" t="s">
        <v>3474</v>
      </c>
      <c r="I2153" s="2">
        <v>7500</v>
      </c>
    </row>
    <row r="2154" spans="1:9" x14ac:dyDescent="0.3">
      <c r="A2154" s="5">
        <v>9063</v>
      </c>
      <c r="B2154" s="5" t="s">
        <v>3470</v>
      </c>
      <c r="C2154" s="5">
        <v>1</v>
      </c>
      <c r="D2154" s="5" t="s">
        <v>10</v>
      </c>
      <c r="E2154" t="s">
        <v>3471</v>
      </c>
      <c r="F2154" t="s">
        <v>3472</v>
      </c>
      <c r="G2154">
        <v>0</v>
      </c>
      <c r="H2154" t="s">
        <v>3475</v>
      </c>
      <c r="I2154" s="2">
        <v>7500</v>
      </c>
    </row>
    <row r="2155" spans="1:9" x14ac:dyDescent="0.3">
      <c r="A2155" s="5">
        <v>9062</v>
      </c>
      <c r="B2155" s="5" t="s">
        <v>3476</v>
      </c>
      <c r="C2155" s="5">
        <v>4</v>
      </c>
      <c r="D2155" s="5" t="s">
        <v>39</v>
      </c>
      <c r="E2155" t="s">
        <v>3477</v>
      </c>
      <c r="F2155" t="s">
        <v>3478</v>
      </c>
      <c r="G2155">
        <v>0</v>
      </c>
      <c r="H2155" t="s">
        <v>3479</v>
      </c>
      <c r="I2155" s="2">
        <v>1500</v>
      </c>
    </row>
    <row r="2156" spans="1:9" x14ac:dyDescent="0.3">
      <c r="A2156" s="5">
        <v>9062</v>
      </c>
      <c r="B2156" s="5" t="s">
        <v>3476</v>
      </c>
      <c r="C2156" s="5">
        <v>4</v>
      </c>
      <c r="D2156" s="5" t="s">
        <v>39</v>
      </c>
      <c r="E2156" t="s">
        <v>3477</v>
      </c>
      <c r="F2156" t="s">
        <v>3478</v>
      </c>
      <c r="G2156">
        <v>0</v>
      </c>
      <c r="H2156" t="s">
        <v>3480</v>
      </c>
      <c r="I2156" s="2">
        <v>5000</v>
      </c>
    </row>
    <row r="2157" spans="1:9" x14ac:dyDescent="0.3">
      <c r="A2157" s="5">
        <v>9062</v>
      </c>
      <c r="B2157" s="5" t="s">
        <v>3476</v>
      </c>
      <c r="C2157" s="5">
        <v>4</v>
      </c>
      <c r="D2157" s="5" t="s">
        <v>39</v>
      </c>
      <c r="E2157" t="s">
        <v>3477</v>
      </c>
      <c r="F2157" t="s">
        <v>3478</v>
      </c>
      <c r="G2157">
        <v>0</v>
      </c>
      <c r="H2157" t="s">
        <v>3481</v>
      </c>
      <c r="I2157" s="2">
        <v>5000</v>
      </c>
    </row>
    <row r="2158" spans="1:9" x14ac:dyDescent="0.3">
      <c r="A2158" s="5">
        <v>9056</v>
      </c>
      <c r="B2158" s="5" t="s">
        <v>3482</v>
      </c>
      <c r="C2158" s="5">
        <v>1</v>
      </c>
      <c r="D2158" s="5" t="s">
        <v>10</v>
      </c>
      <c r="E2158" t="s">
        <v>3483</v>
      </c>
      <c r="F2158" t="s">
        <v>3484</v>
      </c>
      <c r="G2158">
        <v>0</v>
      </c>
      <c r="H2158" t="s">
        <v>2221</v>
      </c>
      <c r="I2158" s="2">
        <v>6000</v>
      </c>
    </row>
    <row r="2159" spans="1:9" x14ac:dyDescent="0.3">
      <c r="A2159" s="5">
        <v>9056</v>
      </c>
      <c r="B2159" s="5" t="s">
        <v>3482</v>
      </c>
      <c r="C2159" s="5">
        <v>1</v>
      </c>
      <c r="D2159" s="5" t="s">
        <v>10</v>
      </c>
      <c r="E2159" t="s">
        <v>3483</v>
      </c>
      <c r="F2159" t="s">
        <v>3484</v>
      </c>
      <c r="G2159">
        <v>0</v>
      </c>
      <c r="H2159" t="s">
        <v>126</v>
      </c>
      <c r="I2159" s="2">
        <v>6000</v>
      </c>
    </row>
    <row r="2160" spans="1:9" x14ac:dyDescent="0.3">
      <c r="A2160" s="5">
        <v>9056</v>
      </c>
      <c r="B2160" s="5" t="s">
        <v>3482</v>
      </c>
      <c r="C2160" s="5">
        <v>1</v>
      </c>
      <c r="D2160" s="5" t="s">
        <v>10</v>
      </c>
      <c r="E2160" t="s">
        <v>3483</v>
      </c>
      <c r="F2160" t="s">
        <v>3484</v>
      </c>
      <c r="G2160">
        <v>0</v>
      </c>
      <c r="H2160" t="s">
        <v>259</v>
      </c>
      <c r="I2160" s="2">
        <v>5000</v>
      </c>
    </row>
    <row r="2161" spans="1:9" x14ac:dyDescent="0.3">
      <c r="A2161" s="5">
        <v>9055</v>
      </c>
      <c r="B2161" s="5" t="s">
        <v>3485</v>
      </c>
      <c r="C2161" s="5">
        <v>1</v>
      </c>
      <c r="D2161" s="5" t="s">
        <v>10</v>
      </c>
      <c r="E2161" t="s">
        <v>3486</v>
      </c>
      <c r="F2161" t="s">
        <v>1326</v>
      </c>
      <c r="G2161">
        <v>0</v>
      </c>
      <c r="H2161" t="s">
        <v>126</v>
      </c>
      <c r="I2161" s="2">
        <v>7000</v>
      </c>
    </row>
    <row r="2162" spans="1:9" x14ac:dyDescent="0.3">
      <c r="A2162" s="5">
        <v>9055</v>
      </c>
      <c r="B2162" s="5" t="s">
        <v>3485</v>
      </c>
      <c r="C2162" s="5">
        <v>1</v>
      </c>
      <c r="D2162" s="5" t="s">
        <v>10</v>
      </c>
      <c r="E2162" t="s">
        <v>3486</v>
      </c>
      <c r="F2162" t="s">
        <v>1326</v>
      </c>
      <c r="G2162">
        <v>0</v>
      </c>
      <c r="H2162" t="s">
        <v>3487</v>
      </c>
      <c r="I2162" s="2">
        <v>8000</v>
      </c>
    </row>
    <row r="2163" spans="1:9" x14ac:dyDescent="0.3">
      <c r="A2163" s="5">
        <v>9055</v>
      </c>
      <c r="B2163" s="5" t="s">
        <v>3485</v>
      </c>
      <c r="C2163" s="5">
        <v>1</v>
      </c>
      <c r="D2163" s="5" t="s">
        <v>10</v>
      </c>
      <c r="E2163" t="s">
        <v>3486</v>
      </c>
      <c r="F2163" t="s">
        <v>1326</v>
      </c>
      <c r="G2163">
        <v>0</v>
      </c>
      <c r="H2163" t="s">
        <v>970</v>
      </c>
      <c r="I2163" s="2">
        <v>7000</v>
      </c>
    </row>
    <row r="2164" spans="1:9" x14ac:dyDescent="0.3">
      <c r="A2164" s="5">
        <v>9054</v>
      </c>
      <c r="B2164" s="5" t="s">
        <v>3488</v>
      </c>
      <c r="C2164" s="5">
        <v>1</v>
      </c>
      <c r="D2164" s="5" t="s">
        <v>10</v>
      </c>
      <c r="E2164" t="s">
        <v>3489</v>
      </c>
      <c r="F2164" t="s">
        <v>3490</v>
      </c>
      <c r="G2164">
        <v>0</v>
      </c>
      <c r="H2164" t="s">
        <v>3491</v>
      </c>
      <c r="I2164" s="2">
        <v>15000</v>
      </c>
    </row>
    <row r="2165" spans="1:9" x14ac:dyDescent="0.3">
      <c r="A2165" s="5">
        <v>9054</v>
      </c>
      <c r="B2165" s="5" t="s">
        <v>3488</v>
      </c>
      <c r="C2165" s="5">
        <v>1</v>
      </c>
      <c r="D2165" s="5" t="s">
        <v>10</v>
      </c>
      <c r="E2165" t="s">
        <v>3489</v>
      </c>
      <c r="F2165" t="s">
        <v>3490</v>
      </c>
      <c r="G2165">
        <v>0</v>
      </c>
      <c r="H2165" t="s">
        <v>3491</v>
      </c>
      <c r="I2165" s="2">
        <v>15000</v>
      </c>
    </row>
    <row r="2166" spans="1:9" x14ac:dyDescent="0.3">
      <c r="A2166" s="5">
        <v>9054</v>
      </c>
      <c r="B2166" s="5" t="s">
        <v>3488</v>
      </c>
      <c r="C2166" s="5">
        <v>1</v>
      </c>
      <c r="D2166" s="5" t="s">
        <v>10</v>
      </c>
      <c r="E2166" t="s">
        <v>3489</v>
      </c>
      <c r="F2166" t="s">
        <v>3490</v>
      </c>
      <c r="G2166">
        <v>0</v>
      </c>
      <c r="H2166" t="s">
        <v>2992</v>
      </c>
      <c r="I2166" s="2">
        <v>15000</v>
      </c>
    </row>
    <row r="2167" spans="1:9" x14ac:dyDescent="0.3">
      <c r="A2167" s="5">
        <v>9052</v>
      </c>
      <c r="B2167" s="5" t="s">
        <v>3492</v>
      </c>
      <c r="C2167" s="5">
        <v>1</v>
      </c>
      <c r="D2167" s="5" t="s">
        <v>10</v>
      </c>
      <c r="E2167" t="s">
        <v>3493</v>
      </c>
      <c r="F2167" t="s">
        <v>3494</v>
      </c>
      <c r="G2167">
        <v>0</v>
      </c>
      <c r="H2167" t="s">
        <v>175</v>
      </c>
      <c r="I2167" s="2">
        <v>4500</v>
      </c>
    </row>
    <row r="2168" spans="1:9" x14ac:dyDescent="0.3">
      <c r="A2168" s="5">
        <v>9052</v>
      </c>
      <c r="B2168" s="5" t="s">
        <v>3492</v>
      </c>
      <c r="C2168" s="5">
        <v>1</v>
      </c>
      <c r="D2168" s="5" t="s">
        <v>10</v>
      </c>
      <c r="E2168" t="s">
        <v>3493</v>
      </c>
      <c r="F2168" t="s">
        <v>3494</v>
      </c>
      <c r="G2168">
        <v>0</v>
      </c>
      <c r="H2168" t="s">
        <v>3457</v>
      </c>
      <c r="I2168" s="2">
        <v>4000</v>
      </c>
    </row>
    <row r="2169" spans="1:9" x14ac:dyDescent="0.3">
      <c r="A2169" s="5">
        <v>9052</v>
      </c>
      <c r="B2169" s="5" t="s">
        <v>3492</v>
      </c>
      <c r="C2169" s="5">
        <v>1</v>
      </c>
      <c r="D2169" s="5" t="s">
        <v>10</v>
      </c>
      <c r="E2169" t="s">
        <v>3493</v>
      </c>
      <c r="F2169" t="s">
        <v>3494</v>
      </c>
      <c r="G2169">
        <v>0</v>
      </c>
      <c r="H2169" t="s">
        <v>3492</v>
      </c>
      <c r="I2169" s="2">
        <v>4000</v>
      </c>
    </row>
    <row r="2170" spans="1:9" x14ac:dyDescent="0.3">
      <c r="A2170" s="5">
        <v>9050</v>
      </c>
      <c r="B2170" s="5" t="s">
        <v>3495</v>
      </c>
      <c r="C2170" s="5">
        <v>1</v>
      </c>
      <c r="D2170" s="5" t="s">
        <v>10</v>
      </c>
      <c r="E2170" t="s">
        <v>3496</v>
      </c>
      <c r="F2170" t="s">
        <v>3497</v>
      </c>
      <c r="G2170">
        <v>0</v>
      </c>
      <c r="H2170" t="s">
        <v>143</v>
      </c>
      <c r="I2170" s="2">
        <v>7000</v>
      </c>
    </row>
    <row r="2171" spans="1:9" x14ac:dyDescent="0.3">
      <c r="A2171" s="5">
        <v>9050</v>
      </c>
      <c r="B2171" s="5" t="s">
        <v>3495</v>
      </c>
      <c r="C2171" s="5">
        <v>1</v>
      </c>
      <c r="D2171" s="5" t="s">
        <v>10</v>
      </c>
      <c r="E2171" t="s">
        <v>3496</v>
      </c>
      <c r="F2171" t="s">
        <v>3497</v>
      </c>
      <c r="G2171">
        <v>0</v>
      </c>
      <c r="H2171" t="s">
        <v>3498</v>
      </c>
      <c r="I2171" s="2">
        <v>6000</v>
      </c>
    </row>
    <row r="2172" spans="1:9" x14ac:dyDescent="0.3">
      <c r="A2172" s="5">
        <v>9049</v>
      </c>
      <c r="B2172" s="5" t="s">
        <v>3499</v>
      </c>
      <c r="C2172" s="5">
        <v>5</v>
      </c>
      <c r="D2172" s="5" t="s">
        <v>63</v>
      </c>
      <c r="E2172" t="s">
        <v>3500</v>
      </c>
      <c r="F2172" t="s">
        <v>3501</v>
      </c>
      <c r="G2172">
        <v>0</v>
      </c>
      <c r="H2172" t="s">
        <v>2126</v>
      </c>
      <c r="I2172" s="2">
        <v>30000</v>
      </c>
    </row>
    <row r="2173" spans="1:9" x14ac:dyDescent="0.3">
      <c r="A2173" s="5">
        <v>9049</v>
      </c>
      <c r="B2173" s="5" t="s">
        <v>3499</v>
      </c>
      <c r="C2173" s="5">
        <v>5</v>
      </c>
      <c r="D2173" s="5" t="s">
        <v>63</v>
      </c>
      <c r="E2173" t="s">
        <v>3500</v>
      </c>
      <c r="F2173" t="s">
        <v>3501</v>
      </c>
      <c r="G2173">
        <v>0</v>
      </c>
      <c r="H2173" t="s">
        <v>67</v>
      </c>
      <c r="I2173" s="2">
        <v>10000</v>
      </c>
    </row>
    <row r="2174" spans="1:9" x14ac:dyDescent="0.3">
      <c r="A2174" s="5">
        <v>9049</v>
      </c>
      <c r="B2174" s="5" t="s">
        <v>3499</v>
      </c>
      <c r="C2174" s="5">
        <v>5</v>
      </c>
      <c r="D2174" s="5" t="s">
        <v>63</v>
      </c>
      <c r="E2174" t="s">
        <v>3500</v>
      </c>
      <c r="F2174" t="s">
        <v>3501</v>
      </c>
      <c r="G2174">
        <v>0</v>
      </c>
      <c r="H2174" t="s">
        <v>2126</v>
      </c>
      <c r="I2174" s="2">
        <v>25000</v>
      </c>
    </row>
    <row r="2175" spans="1:9" x14ac:dyDescent="0.3">
      <c r="A2175" s="5">
        <v>9049</v>
      </c>
      <c r="B2175" s="5" t="s">
        <v>3499</v>
      </c>
      <c r="C2175" s="5">
        <v>5</v>
      </c>
      <c r="D2175" s="5" t="s">
        <v>63</v>
      </c>
      <c r="E2175" t="s">
        <v>3500</v>
      </c>
      <c r="F2175" t="s">
        <v>3501</v>
      </c>
      <c r="G2175">
        <v>0</v>
      </c>
      <c r="H2175" t="s">
        <v>3502</v>
      </c>
      <c r="I2175" s="2">
        <v>5000</v>
      </c>
    </row>
    <row r="2176" spans="1:9" x14ac:dyDescent="0.3">
      <c r="A2176" s="5">
        <v>9049</v>
      </c>
      <c r="B2176" s="5" t="s">
        <v>3499</v>
      </c>
      <c r="C2176" s="5">
        <v>5</v>
      </c>
      <c r="D2176" s="5" t="s">
        <v>63</v>
      </c>
      <c r="E2176" t="s">
        <v>3500</v>
      </c>
      <c r="F2176" t="s">
        <v>3501</v>
      </c>
      <c r="G2176">
        <v>0</v>
      </c>
      <c r="H2176" t="s">
        <v>3503</v>
      </c>
      <c r="I2176" s="2">
        <v>5000</v>
      </c>
    </row>
    <row r="2177" spans="1:9" x14ac:dyDescent="0.3">
      <c r="A2177" s="5">
        <v>9048</v>
      </c>
      <c r="B2177" s="5" t="s">
        <v>3504</v>
      </c>
      <c r="C2177" s="5">
        <v>1</v>
      </c>
      <c r="D2177" s="5" t="s">
        <v>10</v>
      </c>
      <c r="E2177" t="s">
        <v>3505</v>
      </c>
      <c r="F2177" t="s">
        <v>3506</v>
      </c>
      <c r="G2177">
        <v>0</v>
      </c>
      <c r="H2177" t="s">
        <v>765</v>
      </c>
      <c r="I2177" s="2">
        <v>8000</v>
      </c>
    </row>
    <row r="2178" spans="1:9" x14ac:dyDescent="0.3">
      <c r="A2178" s="5">
        <v>9048</v>
      </c>
      <c r="B2178" s="5" t="s">
        <v>3504</v>
      </c>
      <c r="C2178" s="5">
        <v>1</v>
      </c>
      <c r="D2178" s="5" t="s">
        <v>10</v>
      </c>
      <c r="E2178" t="s">
        <v>3505</v>
      </c>
      <c r="F2178" t="s">
        <v>3506</v>
      </c>
      <c r="G2178">
        <v>0</v>
      </c>
      <c r="H2178" t="s">
        <v>3507</v>
      </c>
      <c r="I2178" s="2">
        <v>8000</v>
      </c>
    </row>
    <row r="2179" spans="1:9" x14ac:dyDescent="0.3">
      <c r="A2179" s="5">
        <v>9047</v>
      </c>
      <c r="B2179" s="5" t="s">
        <v>3508</v>
      </c>
      <c r="C2179" s="5">
        <v>4</v>
      </c>
      <c r="D2179" s="5" t="s">
        <v>39</v>
      </c>
      <c r="E2179" t="s">
        <v>3509</v>
      </c>
      <c r="F2179" t="s">
        <v>3510</v>
      </c>
      <c r="G2179">
        <v>0</v>
      </c>
      <c r="H2179" t="s">
        <v>3511</v>
      </c>
      <c r="I2179" s="2">
        <v>7500</v>
      </c>
    </row>
    <row r="2180" spans="1:9" x14ac:dyDescent="0.3">
      <c r="A2180" s="5">
        <v>9047</v>
      </c>
      <c r="B2180" s="5" t="s">
        <v>3508</v>
      </c>
      <c r="C2180" s="5">
        <v>4</v>
      </c>
      <c r="D2180" s="5" t="s">
        <v>39</v>
      </c>
      <c r="E2180" t="s">
        <v>3509</v>
      </c>
      <c r="F2180" t="s">
        <v>3510</v>
      </c>
      <c r="G2180">
        <v>0</v>
      </c>
      <c r="H2180" t="s">
        <v>3512</v>
      </c>
      <c r="I2180" s="2">
        <v>7000</v>
      </c>
    </row>
    <row r="2181" spans="1:9" x14ac:dyDescent="0.3">
      <c r="A2181" s="5">
        <v>9046</v>
      </c>
      <c r="B2181" s="5" t="s">
        <v>3513</v>
      </c>
      <c r="C2181" s="5">
        <v>1</v>
      </c>
      <c r="D2181" s="5" t="s">
        <v>10</v>
      </c>
      <c r="E2181" t="s">
        <v>3514</v>
      </c>
      <c r="F2181" t="s">
        <v>3515</v>
      </c>
      <c r="G2181">
        <v>0</v>
      </c>
      <c r="H2181" t="s">
        <v>3516</v>
      </c>
      <c r="I2181" s="2">
        <v>10000</v>
      </c>
    </row>
    <row r="2182" spans="1:9" x14ac:dyDescent="0.3">
      <c r="A2182" s="5">
        <v>9046</v>
      </c>
      <c r="B2182" s="5" t="s">
        <v>3513</v>
      </c>
      <c r="C2182" s="5">
        <v>1</v>
      </c>
      <c r="D2182" s="5" t="s">
        <v>10</v>
      </c>
      <c r="E2182" t="s">
        <v>3514</v>
      </c>
      <c r="F2182" t="s">
        <v>3515</v>
      </c>
      <c r="G2182">
        <v>0</v>
      </c>
      <c r="H2182" t="s">
        <v>3517</v>
      </c>
      <c r="I2182" s="2">
        <v>13000</v>
      </c>
    </row>
    <row r="2183" spans="1:9" x14ac:dyDescent="0.3">
      <c r="A2183" s="5">
        <v>9046</v>
      </c>
      <c r="B2183" s="5" t="s">
        <v>3513</v>
      </c>
      <c r="C2183" s="5">
        <v>1</v>
      </c>
      <c r="D2183" s="5" t="s">
        <v>10</v>
      </c>
      <c r="E2183" t="s">
        <v>3514</v>
      </c>
      <c r="F2183" t="s">
        <v>3515</v>
      </c>
      <c r="G2183">
        <v>0</v>
      </c>
      <c r="H2183" t="s">
        <v>3518</v>
      </c>
      <c r="I2183" s="2">
        <v>10000</v>
      </c>
    </row>
    <row r="2184" spans="1:9" x14ac:dyDescent="0.3">
      <c r="A2184" s="5">
        <v>9044</v>
      </c>
      <c r="B2184" s="5" t="s">
        <v>3519</v>
      </c>
      <c r="C2184" s="5">
        <v>2</v>
      </c>
      <c r="D2184" s="5" t="s">
        <v>261</v>
      </c>
      <c r="E2184" t="s">
        <v>3520</v>
      </c>
      <c r="F2184" t="s">
        <v>3521</v>
      </c>
      <c r="G2184">
        <v>0</v>
      </c>
      <c r="H2184" t="s">
        <v>3522</v>
      </c>
      <c r="I2184" s="2">
        <v>20000</v>
      </c>
    </row>
    <row r="2185" spans="1:9" x14ac:dyDescent="0.3">
      <c r="A2185" s="5">
        <v>9044</v>
      </c>
      <c r="B2185" s="5" t="s">
        <v>3519</v>
      </c>
      <c r="C2185" s="5">
        <v>2</v>
      </c>
      <c r="D2185" s="5" t="s">
        <v>261</v>
      </c>
      <c r="E2185" t="s">
        <v>3520</v>
      </c>
      <c r="F2185" t="s">
        <v>3521</v>
      </c>
      <c r="G2185">
        <v>0</v>
      </c>
      <c r="H2185" t="s">
        <v>3523</v>
      </c>
      <c r="I2185" s="2">
        <v>8000</v>
      </c>
    </row>
    <row r="2186" spans="1:9" x14ac:dyDescent="0.3">
      <c r="A2186" s="5">
        <v>9044</v>
      </c>
      <c r="B2186" s="5" t="s">
        <v>3519</v>
      </c>
      <c r="C2186" s="5">
        <v>2</v>
      </c>
      <c r="D2186" s="5" t="s">
        <v>261</v>
      </c>
      <c r="E2186" t="s">
        <v>3520</v>
      </c>
      <c r="F2186" t="s">
        <v>3521</v>
      </c>
      <c r="G2186">
        <v>0</v>
      </c>
      <c r="H2186" t="s">
        <v>3524</v>
      </c>
      <c r="I2186" s="2">
        <v>9000</v>
      </c>
    </row>
    <row r="2187" spans="1:9" x14ac:dyDescent="0.3">
      <c r="A2187" s="5">
        <v>9043</v>
      </c>
      <c r="B2187" s="5" t="s">
        <v>3525</v>
      </c>
      <c r="C2187" s="5">
        <v>13</v>
      </c>
      <c r="D2187" s="5" t="s">
        <v>27</v>
      </c>
      <c r="E2187" t="s">
        <v>3526</v>
      </c>
      <c r="F2187" t="s">
        <v>3527</v>
      </c>
      <c r="G2187">
        <v>0</v>
      </c>
      <c r="H2187" t="s">
        <v>3528</v>
      </c>
      <c r="I2187" s="2">
        <v>3000</v>
      </c>
    </row>
    <row r="2188" spans="1:9" x14ac:dyDescent="0.3">
      <c r="A2188" s="5">
        <v>9043</v>
      </c>
      <c r="B2188" s="5" t="s">
        <v>3525</v>
      </c>
      <c r="C2188" s="5">
        <v>13</v>
      </c>
      <c r="D2188" s="5" t="s">
        <v>27</v>
      </c>
      <c r="E2188" t="s">
        <v>3526</v>
      </c>
      <c r="F2188" t="s">
        <v>3527</v>
      </c>
      <c r="G2188">
        <v>0</v>
      </c>
      <c r="H2188" t="s">
        <v>3529</v>
      </c>
      <c r="I2188" s="2">
        <v>3000</v>
      </c>
    </row>
    <row r="2189" spans="1:9" x14ac:dyDescent="0.3">
      <c r="A2189" s="5">
        <v>9043</v>
      </c>
      <c r="B2189" s="5" t="s">
        <v>3525</v>
      </c>
      <c r="C2189" s="5">
        <v>13</v>
      </c>
      <c r="D2189" s="5" t="s">
        <v>27</v>
      </c>
      <c r="E2189" t="s">
        <v>3526</v>
      </c>
      <c r="F2189" t="s">
        <v>3527</v>
      </c>
      <c r="G2189">
        <v>0</v>
      </c>
      <c r="H2189" t="s">
        <v>3530</v>
      </c>
      <c r="I2189" s="2">
        <v>5000</v>
      </c>
    </row>
    <row r="2190" spans="1:9" x14ac:dyDescent="0.3">
      <c r="A2190" s="5">
        <v>9042</v>
      </c>
      <c r="B2190" s="5" t="s">
        <v>3531</v>
      </c>
      <c r="C2190" s="5">
        <v>5</v>
      </c>
      <c r="D2190" s="5" t="s">
        <v>63</v>
      </c>
      <c r="E2190" t="s">
        <v>3532</v>
      </c>
      <c r="F2190" t="s">
        <v>3533</v>
      </c>
      <c r="G2190">
        <v>0</v>
      </c>
      <c r="H2190" t="s">
        <v>88</v>
      </c>
      <c r="I2190" s="2">
        <v>20000</v>
      </c>
    </row>
    <row r="2191" spans="1:9" x14ac:dyDescent="0.3">
      <c r="A2191" s="5">
        <v>9042</v>
      </c>
      <c r="B2191" s="5" t="s">
        <v>3531</v>
      </c>
      <c r="C2191" s="5">
        <v>5</v>
      </c>
      <c r="D2191" s="5" t="s">
        <v>63</v>
      </c>
      <c r="E2191" t="s">
        <v>3532</v>
      </c>
      <c r="F2191" t="s">
        <v>3533</v>
      </c>
      <c r="G2191">
        <v>0</v>
      </c>
      <c r="H2191" t="s">
        <v>67</v>
      </c>
      <c r="I2191" s="2">
        <v>5000</v>
      </c>
    </row>
    <row r="2192" spans="1:9" x14ac:dyDescent="0.3">
      <c r="A2192" s="5">
        <v>9041</v>
      </c>
      <c r="B2192" s="5" t="s">
        <v>3534</v>
      </c>
      <c r="C2192" s="5">
        <v>5</v>
      </c>
      <c r="D2192" s="5" t="s">
        <v>63</v>
      </c>
      <c r="E2192" t="s">
        <v>3535</v>
      </c>
      <c r="F2192" t="s">
        <v>3536</v>
      </c>
      <c r="G2192">
        <v>0</v>
      </c>
      <c r="H2192" t="s">
        <v>88</v>
      </c>
      <c r="I2192" s="2">
        <v>25000</v>
      </c>
    </row>
    <row r="2193" spans="1:9" x14ac:dyDescent="0.3">
      <c r="A2193" s="5">
        <v>9041</v>
      </c>
      <c r="B2193" s="5" t="s">
        <v>3534</v>
      </c>
      <c r="C2193" s="5">
        <v>5</v>
      </c>
      <c r="D2193" s="5" t="s">
        <v>63</v>
      </c>
      <c r="E2193" t="s">
        <v>3535</v>
      </c>
      <c r="F2193" t="s">
        <v>3536</v>
      </c>
      <c r="G2193">
        <v>0</v>
      </c>
      <c r="H2193" t="s">
        <v>458</v>
      </c>
      <c r="I2193" s="2">
        <v>20000</v>
      </c>
    </row>
    <row r="2194" spans="1:9" x14ac:dyDescent="0.3">
      <c r="A2194" s="5">
        <v>9041</v>
      </c>
      <c r="B2194" s="5" t="s">
        <v>3534</v>
      </c>
      <c r="C2194" s="5">
        <v>5</v>
      </c>
      <c r="D2194" s="5" t="s">
        <v>63</v>
      </c>
      <c r="E2194" t="s">
        <v>3535</v>
      </c>
      <c r="F2194" t="s">
        <v>3536</v>
      </c>
      <c r="G2194">
        <v>0</v>
      </c>
      <c r="H2194" t="s">
        <v>67</v>
      </c>
      <c r="I2194" s="2">
        <v>5000</v>
      </c>
    </row>
    <row r="2195" spans="1:9" x14ac:dyDescent="0.3">
      <c r="A2195" s="5">
        <v>9040</v>
      </c>
      <c r="B2195" s="5" t="s">
        <v>3537</v>
      </c>
      <c r="C2195" s="5">
        <v>5</v>
      </c>
      <c r="D2195" s="5" t="s">
        <v>63</v>
      </c>
      <c r="E2195" t="s">
        <v>3538</v>
      </c>
      <c r="F2195" t="s">
        <v>3539</v>
      </c>
      <c r="G2195">
        <v>0</v>
      </c>
      <c r="H2195" t="s">
        <v>3540</v>
      </c>
      <c r="I2195" s="2">
        <v>12000</v>
      </c>
    </row>
    <row r="2196" spans="1:9" x14ac:dyDescent="0.3">
      <c r="A2196" s="5">
        <v>9040</v>
      </c>
      <c r="B2196" s="5" t="s">
        <v>3537</v>
      </c>
      <c r="C2196" s="5">
        <v>5</v>
      </c>
      <c r="D2196" s="5" t="s">
        <v>63</v>
      </c>
      <c r="E2196" t="s">
        <v>3538</v>
      </c>
      <c r="F2196" t="s">
        <v>3539</v>
      </c>
      <c r="G2196">
        <v>0</v>
      </c>
      <c r="H2196" t="s">
        <v>88</v>
      </c>
      <c r="I2196" s="2">
        <v>35000</v>
      </c>
    </row>
    <row r="2197" spans="1:9" x14ac:dyDescent="0.3">
      <c r="A2197" s="5">
        <v>9040</v>
      </c>
      <c r="B2197" s="5" t="s">
        <v>3537</v>
      </c>
      <c r="C2197" s="5">
        <v>5</v>
      </c>
      <c r="D2197" s="5" t="s">
        <v>63</v>
      </c>
      <c r="E2197" t="s">
        <v>3538</v>
      </c>
      <c r="F2197" t="s">
        <v>3539</v>
      </c>
      <c r="G2197">
        <v>0</v>
      </c>
      <c r="H2197" t="s">
        <v>3541</v>
      </c>
      <c r="I2197" s="2">
        <v>11000</v>
      </c>
    </row>
    <row r="2198" spans="1:9" x14ac:dyDescent="0.3">
      <c r="A2198" s="5">
        <v>9039</v>
      </c>
      <c r="B2198" s="5" t="s">
        <v>3542</v>
      </c>
      <c r="C2198" s="5">
        <v>2</v>
      </c>
      <c r="D2198" s="5" t="s">
        <v>261</v>
      </c>
      <c r="E2198" t="s">
        <v>3543</v>
      </c>
      <c r="F2198" t="s">
        <v>3544</v>
      </c>
      <c r="G2198">
        <v>0</v>
      </c>
      <c r="H2198" t="s">
        <v>265</v>
      </c>
      <c r="I2198" s="2">
        <v>4000</v>
      </c>
    </row>
    <row r="2199" spans="1:9" x14ac:dyDescent="0.3">
      <c r="A2199" s="5">
        <v>9039</v>
      </c>
      <c r="B2199" s="5" t="s">
        <v>3542</v>
      </c>
      <c r="C2199" s="5">
        <v>2</v>
      </c>
      <c r="D2199" s="5" t="s">
        <v>261</v>
      </c>
      <c r="E2199" t="s">
        <v>3543</v>
      </c>
      <c r="F2199" t="s">
        <v>3544</v>
      </c>
      <c r="G2199">
        <v>0</v>
      </c>
      <c r="H2199" t="s">
        <v>642</v>
      </c>
      <c r="I2199" s="2">
        <v>3000</v>
      </c>
    </row>
    <row r="2200" spans="1:9" x14ac:dyDescent="0.3">
      <c r="A2200" s="5">
        <v>9039</v>
      </c>
      <c r="B2200" s="5" t="s">
        <v>3542</v>
      </c>
      <c r="C2200" s="5">
        <v>2</v>
      </c>
      <c r="D2200" s="5" t="s">
        <v>261</v>
      </c>
      <c r="E2200" t="s">
        <v>3543</v>
      </c>
      <c r="F2200" t="s">
        <v>3544</v>
      </c>
      <c r="G2200">
        <v>0</v>
      </c>
      <c r="H2200" t="s">
        <v>641</v>
      </c>
      <c r="I2200" s="2">
        <v>6000</v>
      </c>
    </row>
    <row r="2201" spans="1:9" x14ac:dyDescent="0.3">
      <c r="A2201" s="5">
        <v>9038</v>
      </c>
      <c r="B2201" s="5" t="s">
        <v>3545</v>
      </c>
      <c r="C2201" s="5">
        <v>2</v>
      </c>
      <c r="D2201" s="5" t="s">
        <v>261</v>
      </c>
      <c r="E2201" t="s">
        <v>3546</v>
      </c>
      <c r="F2201" t="s">
        <v>3547</v>
      </c>
      <c r="G2201">
        <v>0</v>
      </c>
      <c r="H2201" t="s">
        <v>265</v>
      </c>
      <c r="I2201" s="2">
        <v>3000</v>
      </c>
    </row>
    <row r="2202" spans="1:9" x14ac:dyDescent="0.3">
      <c r="A2202" s="5">
        <v>9038</v>
      </c>
      <c r="B2202" s="5" t="s">
        <v>3545</v>
      </c>
      <c r="C2202" s="5">
        <v>2</v>
      </c>
      <c r="D2202" s="5" t="s">
        <v>261</v>
      </c>
      <c r="E2202" t="s">
        <v>3546</v>
      </c>
      <c r="F2202" t="s">
        <v>3547</v>
      </c>
      <c r="G2202">
        <v>0</v>
      </c>
      <c r="H2202" t="s">
        <v>642</v>
      </c>
      <c r="I2202" s="2">
        <v>2500</v>
      </c>
    </row>
    <row r="2203" spans="1:9" x14ac:dyDescent="0.3">
      <c r="A2203" s="5">
        <v>9037</v>
      </c>
      <c r="B2203" s="5" t="s">
        <v>3548</v>
      </c>
      <c r="C2203" s="5">
        <v>1</v>
      </c>
      <c r="D2203" s="5" t="s">
        <v>10</v>
      </c>
      <c r="E2203" t="s">
        <v>3549</v>
      </c>
      <c r="F2203" t="s">
        <v>3550</v>
      </c>
      <c r="G2203">
        <v>0</v>
      </c>
      <c r="H2203" t="s">
        <v>320</v>
      </c>
      <c r="I2203" s="2">
        <v>12000</v>
      </c>
    </row>
    <row r="2204" spans="1:9" x14ac:dyDescent="0.3">
      <c r="A2204" s="5">
        <v>9036</v>
      </c>
      <c r="B2204" s="5" t="s">
        <v>3551</v>
      </c>
      <c r="C2204" s="5">
        <v>1</v>
      </c>
      <c r="D2204" s="5" t="s">
        <v>10</v>
      </c>
      <c r="E2204" t="s">
        <v>3552</v>
      </c>
      <c r="F2204" t="s">
        <v>3553</v>
      </c>
      <c r="G2204">
        <v>0</v>
      </c>
      <c r="H2204" t="s">
        <v>1761</v>
      </c>
      <c r="I2204" s="2">
        <v>10000</v>
      </c>
    </row>
    <row r="2205" spans="1:9" x14ac:dyDescent="0.3">
      <c r="A2205" s="5">
        <v>9036</v>
      </c>
      <c r="B2205" s="5" t="s">
        <v>3551</v>
      </c>
      <c r="C2205" s="5">
        <v>1</v>
      </c>
      <c r="D2205" s="5" t="s">
        <v>10</v>
      </c>
      <c r="E2205" t="s">
        <v>3552</v>
      </c>
      <c r="F2205" t="s">
        <v>3553</v>
      </c>
      <c r="G2205">
        <v>0</v>
      </c>
      <c r="H2205" t="s">
        <v>217</v>
      </c>
      <c r="I2205" s="2">
        <v>5900</v>
      </c>
    </row>
    <row r="2206" spans="1:9" x14ac:dyDescent="0.3">
      <c r="A2206" s="5">
        <v>9035</v>
      </c>
      <c r="B2206" s="5" t="s">
        <v>3554</v>
      </c>
      <c r="C2206" s="5">
        <v>1</v>
      </c>
      <c r="D2206" s="5" t="s">
        <v>10</v>
      </c>
      <c r="E2206" t="s">
        <v>3555</v>
      </c>
      <c r="F2206" t="s">
        <v>3556</v>
      </c>
      <c r="G2206">
        <v>0</v>
      </c>
      <c r="H2206" t="s">
        <v>128</v>
      </c>
      <c r="I2206" s="2">
        <v>8000</v>
      </c>
    </row>
    <row r="2207" spans="1:9" x14ac:dyDescent="0.3">
      <c r="A2207" s="5">
        <v>9035</v>
      </c>
      <c r="B2207" s="5" t="s">
        <v>3554</v>
      </c>
      <c r="C2207" s="5">
        <v>1</v>
      </c>
      <c r="D2207" s="5" t="s">
        <v>10</v>
      </c>
      <c r="E2207" t="s">
        <v>3555</v>
      </c>
      <c r="F2207" t="s">
        <v>3556</v>
      </c>
      <c r="G2207">
        <v>0</v>
      </c>
      <c r="H2207" t="s">
        <v>126</v>
      </c>
      <c r="I2207" s="2">
        <v>8000</v>
      </c>
    </row>
    <row r="2208" spans="1:9" x14ac:dyDescent="0.3">
      <c r="A2208" s="5">
        <v>9035</v>
      </c>
      <c r="B2208" s="5" t="s">
        <v>3554</v>
      </c>
      <c r="C2208" s="5">
        <v>1</v>
      </c>
      <c r="D2208" s="5" t="s">
        <v>10</v>
      </c>
      <c r="E2208" t="s">
        <v>3555</v>
      </c>
      <c r="F2208" t="s">
        <v>3556</v>
      </c>
      <c r="G2208">
        <v>0</v>
      </c>
      <c r="H2208" t="s">
        <v>139</v>
      </c>
      <c r="I2208" s="2">
        <v>8000</v>
      </c>
    </row>
    <row r="2209" spans="1:9" x14ac:dyDescent="0.3">
      <c r="A2209" s="5">
        <v>9034</v>
      </c>
      <c r="B2209" s="5" t="s">
        <v>2276</v>
      </c>
      <c r="C2209" s="5">
        <v>1</v>
      </c>
      <c r="D2209" s="5" t="s">
        <v>10</v>
      </c>
      <c r="E2209" t="s">
        <v>3557</v>
      </c>
      <c r="F2209" t="s">
        <v>2278</v>
      </c>
      <c r="G2209">
        <v>0</v>
      </c>
      <c r="H2209" t="s">
        <v>139</v>
      </c>
      <c r="I2209" s="2">
        <v>4000</v>
      </c>
    </row>
    <row r="2210" spans="1:9" x14ac:dyDescent="0.3">
      <c r="A2210" s="5">
        <v>9034</v>
      </c>
      <c r="B2210" s="5" t="s">
        <v>2276</v>
      </c>
      <c r="C2210" s="5">
        <v>1</v>
      </c>
      <c r="D2210" s="5" t="s">
        <v>10</v>
      </c>
      <c r="E2210" t="s">
        <v>3557</v>
      </c>
      <c r="F2210" t="s">
        <v>2278</v>
      </c>
      <c r="G2210">
        <v>0</v>
      </c>
      <c r="H2210" t="s">
        <v>126</v>
      </c>
      <c r="I2210" s="2">
        <v>4000</v>
      </c>
    </row>
    <row r="2211" spans="1:9" x14ac:dyDescent="0.3">
      <c r="A2211" s="5">
        <v>9033</v>
      </c>
      <c r="B2211" s="5" t="s">
        <v>3558</v>
      </c>
      <c r="C2211" s="5">
        <v>1</v>
      </c>
      <c r="D2211" s="5" t="s">
        <v>10</v>
      </c>
      <c r="E2211" t="s">
        <v>3559</v>
      </c>
      <c r="F2211" t="s">
        <v>3560</v>
      </c>
      <c r="G2211">
        <v>0</v>
      </c>
      <c r="H2211" t="s">
        <v>126</v>
      </c>
      <c r="I2211" s="2">
        <v>5000</v>
      </c>
    </row>
    <row r="2212" spans="1:9" x14ac:dyDescent="0.3">
      <c r="A2212" s="5">
        <v>9033</v>
      </c>
      <c r="B2212" s="5" t="s">
        <v>3558</v>
      </c>
      <c r="C2212" s="5">
        <v>1</v>
      </c>
      <c r="D2212" s="5" t="s">
        <v>10</v>
      </c>
      <c r="E2212" t="s">
        <v>3559</v>
      </c>
      <c r="F2212" t="s">
        <v>3560</v>
      </c>
      <c r="G2212">
        <v>0</v>
      </c>
      <c r="H2212" t="s">
        <v>37</v>
      </c>
      <c r="I2212" s="2">
        <v>5000</v>
      </c>
    </row>
    <row r="2213" spans="1:9" x14ac:dyDescent="0.3">
      <c r="A2213" s="5">
        <v>9032</v>
      </c>
      <c r="B2213" s="5" t="s">
        <v>528</v>
      </c>
      <c r="C2213" s="5">
        <v>2</v>
      </c>
      <c r="D2213" s="5" t="s">
        <v>261</v>
      </c>
      <c r="E2213" t="s">
        <v>3561</v>
      </c>
      <c r="F2213" t="s">
        <v>3562</v>
      </c>
      <c r="G2213">
        <v>0</v>
      </c>
      <c r="H2213" t="s">
        <v>642</v>
      </c>
      <c r="I2213" s="2">
        <v>4000</v>
      </c>
    </row>
    <row r="2214" spans="1:9" x14ac:dyDescent="0.3">
      <c r="A2214" s="5">
        <v>9032</v>
      </c>
      <c r="B2214" s="5" t="s">
        <v>528</v>
      </c>
      <c r="C2214" s="5">
        <v>2</v>
      </c>
      <c r="D2214" s="5" t="s">
        <v>261</v>
      </c>
      <c r="E2214" t="s">
        <v>3561</v>
      </c>
      <c r="F2214" t="s">
        <v>3562</v>
      </c>
      <c r="G2214">
        <v>0</v>
      </c>
      <c r="H2214" t="s">
        <v>265</v>
      </c>
      <c r="I2214" s="2">
        <v>4500</v>
      </c>
    </row>
    <row r="2215" spans="1:9" x14ac:dyDescent="0.3">
      <c r="A2215" s="5">
        <v>9028</v>
      </c>
      <c r="B2215" s="5" t="s">
        <v>3563</v>
      </c>
      <c r="C2215" s="5">
        <v>13</v>
      </c>
      <c r="D2215" s="5" t="s">
        <v>27</v>
      </c>
      <c r="E2215" t="s">
        <v>3564</v>
      </c>
      <c r="F2215" t="s">
        <v>3565</v>
      </c>
      <c r="G2215">
        <v>0</v>
      </c>
      <c r="H2215" t="s">
        <v>3566</v>
      </c>
      <c r="I2215" s="2">
        <v>2000</v>
      </c>
    </row>
    <row r="2216" spans="1:9" x14ac:dyDescent="0.3">
      <c r="A2216" s="5">
        <v>9027</v>
      </c>
      <c r="B2216" s="5" t="s">
        <v>3567</v>
      </c>
      <c r="C2216" s="5">
        <v>1</v>
      </c>
      <c r="D2216" s="5" t="s">
        <v>10</v>
      </c>
      <c r="E2216" t="s">
        <v>3568</v>
      </c>
      <c r="F2216" t="s">
        <v>3569</v>
      </c>
      <c r="G2216">
        <v>0</v>
      </c>
      <c r="H2216" t="s">
        <v>35</v>
      </c>
      <c r="I2216" s="2">
        <v>6000</v>
      </c>
    </row>
    <row r="2217" spans="1:9" x14ac:dyDescent="0.3">
      <c r="A2217" s="5">
        <v>9027</v>
      </c>
      <c r="B2217" s="5" t="s">
        <v>3567</v>
      </c>
      <c r="C2217" s="5">
        <v>1</v>
      </c>
      <c r="D2217" s="5" t="s">
        <v>10</v>
      </c>
      <c r="E2217" t="s">
        <v>3568</v>
      </c>
      <c r="F2217" t="s">
        <v>3569</v>
      </c>
      <c r="G2217">
        <v>0</v>
      </c>
      <c r="H2217" t="s">
        <v>3132</v>
      </c>
      <c r="I2217" s="2">
        <v>5000</v>
      </c>
    </row>
    <row r="2218" spans="1:9" x14ac:dyDescent="0.3">
      <c r="A2218" s="5">
        <v>9027</v>
      </c>
      <c r="B2218" s="5" t="s">
        <v>3567</v>
      </c>
      <c r="C2218" s="5">
        <v>1</v>
      </c>
      <c r="D2218" s="5" t="s">
        <v>10</v>
      </c>
      <c r="E2218" t="s">
        <v>3568</v>
      </c>
      <c r="F2218" t="s">
        <v>3569</v>
      </c>
      <c r="G2218">
        <v>0</v>
      </c>
      <c r="H2218" t="s">
        <v>259</v>
      </c>
      <c r="I2218" s="2">
        <v>5000</v>
      </c>
    </row>
    <row r="2219" spans="1:9" x14ac:dyDescent="0.3">
      <c r="A2219" s="5">
        <v>9026</v>
      </c>
      <c r="B2219" s="5" t="s">
        <v>2176</v>
      </c>
      <c r="C2219" s="5">
        <v>5</v>
      </c>
      <c r="D2219" s="5" t="s">
        <v>63</v>
      </c>
      <c r="E2219" t="s">
        <v>3570</v>
      </c>
      <c r="G2219">
        <v>0</v>
      </c>
      <c r="H2219" t="s">
        <v>117</v>
      </c>
      <c r="I2219" s="2">
        <v>7000</v>
      </c>
    </row>
    <row r="2220" spans="1:9" x14ac:dyDescent="0.3">
      <c r="A2220" s="5">
        <v>9026</v>
      </c>
      <c r="B2220" s="5" t="s">
        <v>2176</v>
      </c>
      <c r="C2220" s="5">
        <v>5</v>
      </c>
      <c r="D2220" s="5" t="s">
        <v>63</v>
      </c>
      <c r="E2220" t="s">
        <v>3570</v>
      </c>
      <c r="G2220">
        <v>0</v>
      </c>
      <c r="H2220" t="s">
        <v>66</v>
      </c>
      <c r="I2220" s="2">
        <v>7000</v>
      </c>
    </row>
    <row r="2221" spans="1:9" x14ac:dyDescent="0.3">
      <c r="A2221" s="5">
        <v>9023</v>
      </c>
      <c r="B2221" s="5" t="s">
        <v>3571</v>
      </c>
      <c r="C2221" s="5">
        <v>1</v>
      </c>
      <c r="D2221" s="5" t="s">
        <v>10</v>
      </c>
      <c r="E2221" t="s">
        <v>3572</v>
      </c>
      <c r="F2221" t="s">
        <v>3573</v>
      </c>
      <c r="G2221">
        <v>0</v>
      </c>
      <c r="H2221" t="s">
        <v>3421</v>
      </c>
      <c r="I2221" s="2">
        <v>5500</v>
      </c>
    </row>
    <row r="2222" spans="1:9" x14ac:dyDescent="0.3">
      <c r="A2222" s="5">
        <v>9023</v>
      </c>
      <c r="B2222" s="5" t="s">
        <v>3571</v>
      </c>
      <c r="C2222" s="5">
        <v>1</v>
      </c>
      <c r="D2222" s="5" t="s">
        <v>10</v>
      </c>
      <c r="E2222" t="s">
        <v>3572</v>
      </c>
      <c r="F2222" t="s">
        <v>3573</v>
      </c>
      <c r="G2222">
        <v>0</v>
      </c>
      <c r="H2222" t="s">
        <v>3574</v>
      </c>
      <c r="I2222" s="2">
        <v>7000</v>
      </c>
    </row>
    <row r="2223" spans="1:9" x14ac:dyDescent="0.3">
      <c r="A2223" s="5">
        <v>9022</v>
      </c>
      <c r="B2223" s="5" t="s">
        <v>3575</v>
      </c>
      <c r="C2223" s="5">
        <v>1</v>
      </c>
      <c r="D2223" s="5" t="s">
        <v>10</v>
      </c>
      <c r="E2223" t="s">
        <v>3576</v>
      </c>
      <c r="F2223" t="s">
        <v>3577</v>
      </c>
      <c r="G2223">
        <v>0</v>
      </c>
      <c r="H2223" t="s">
        <v>241</v>
      </c>
      <c r="I2223" s="2">
        <v>5000</v>
      </c>
    </row>
    <row r="2224" spans="1:9" x14ac:dyDescent="0.3">
      <c r="A2224" s="5">
        <v>9021</v>
      </c>
      <c r="B2224" s="5" t="s">
        <v>3578</v>
      </c>
      <c r="C2224" s="5">
        <v>5</v>
      </c>
      <c r="D2224" s="5" t="s">
        <v>63</v>
      </c>
      <c r="E2224" t="s">
        <v>3579</v>
      </c>
      <c r="F2224" t="s">
        <v>3580</v>
      </c>
      <c r="G2224">
        <v>0</v>
      </c>
      <c r="H2224" t="s">
        <v>67</v>
      </c>
      <c r="I2224" s="2">
        <v>6000</v>
      </c>
    </row>
    <row r="2225" spans="1:9" x14ac:dyDescent="0.3">
      <c r="A2225" s="5">
        <v>9021</v>
      </c>
      <c r="B2225" s="5" t="s">
        <v>3578</v>
      </c>
      <c r="C2225" s="5">
        <v>5</v>
      </c>
      <c r="D2225" s="5" t="s">
        <v>63</v>
      </c>
      <c r="E2225" t="s">
        <v>3579</v>
      </c>
      <c r="F2225" t="s">
        <v>3580</v>
      </c>
      <c r="G2225">
        <v>0</v>
      </c>
      <c r="H2225" t="s">
        <v>88</v>
      </c>
      <c r="I2225" s="2">
        <v>15000</v>
      </c>
    </row>
    <row r="2226" spans="1:9" x14ac:dyDescent="0.3">
      <c r="A2226" s="5">
        <v>9020</v>
      </c>
      <c r="B2226" s="5" t="s">
        <v>3581</v>
      </c>
      <c r="C2226" s="5">
        <v>2</v>
      </c>
      <c r="D2226" s="5" t="s">
        <v>261</v>
      </c>
      <c r="E2226" t="s">
        <v>3582</v>
      </c>
      <c r="F2226" t="s">
        <v>3583</v>
      </c>
      <c r="G2226">
        <v>0</v>
      </c>
      <c r="H2226" t="s">
        <v>755</v>
      </c>
      <c r="I2226" s="2">
        <v>5000</v>
      </c>
    </row>
    <row r="2227" spans="1:9" x14ac:dyDescent="0.3">
      <c r="A2227" s="5">
        <v>9020</v>
      </c>
      <c r="B2227" s="5" t="s">
        <v>3581</v>
      </c>
      <c r="C2227" s="5">
        <v>2</v>
      </c>
      <c r="D2227" s="5" t="s">
        <v>261</v>
      </c>
      <c r="E2227" t="s">
        <v>3582</v>
      </c>
      <c r="F2227" t="s">
        <v>3583</v>
      </c>
      <c r="G2227">
        <v>0</v>
      </c>
      <c r="H2227" t="s">
        <v>265</v>
      </c>
      <c r="I2227" s="2">
        <v>7500</v>
      </c>
    </row>
    <row r="2228" spans="1:9" x14ac:dyDescent="0.3">
      <c r="A2228" s="5">
        <v>9020</v>
      </c>
      <c r="B2228" s="5" t="s">
        <v>3581</v>
      </c>
      <c r="C2228" s="5">
        <v>2</v>
      </c>
      <c r="D2228" s="5" t="s">
        <v>261</v>
      </c>
      <c r="E2228" t="s">
        <v>3582</v>
      </c>
      <c r="F2228" t="s">
        <v>3583</v>
      </c>
      <c r="G2228">
        <v>0</v>
      </c>
      <c r="H2228" t="s">
        <v>642</v>
      </c>
      <c r="I2228" s="2">
        <v>6500</v>
      </c>
    </row>
    <row r="2229" spans="1:9" x14ac:dyDescent="0.3">
      <c r="A2229" s="5">
        <v>9019</v>
      </c>
      <c r="B2229" s="5" t="s">
        <v>3584</v>
      </c>
      <c r="C2229" s="5">
        <v>5</v>
      </c>
      <c r="D2229" s="5" t="s">
        <v>63</v>
      </c>
      <c r="E2229" t="s">
        <v>3585</v>
      </c>
      <c r="F2229" t="s">
        <v>3586</v>
      </c>
      <c r="G2229">
        <v>0</v>
      </c>
      <c r="H2229" t="s">
        <v>3587</v>
      </c>
      <c r="I2229" s="2">
        <v>12000</v>
      </c>
    </row>
    <row r="2230" spans="1:9" x14ac:dyDescent="0.3">
      <c r="A2230" s="5">
        <v>9019</v>
      </c>
      <c r="B2230" s="5" t="s">
        <v>3584</v>
      </c>
      <c r="C2230" s="5">
        <v>5</v>
      </c>
      <c r="D2230" s="5" t="s">
        <v>63</v>
      </c>
      <c r="E2230" t="s">
        <v>3585</v>
      </c>
      <c r="F2230" t="s">
        <v>3586</v>
      </c>
      <c r="G2230">
        <v>0</v>
      </c>
      <c r="H2230" t="s">
        <v>67</v>
      </c>
      <c r="I2230" s="2">
        <v>8000</v>
      </c>
    </row>
    <row r="2231" spans="1:9" x14ac:dyDescent="0.3">
      <c r="A2231" s="5">
        <v>9018</v>
      </c>
      <c r="B2231" s="5" t="s">
        <v>3588</v>
      </c>
      <c r="C2231" s="5">
        <v>1</v>
      </c>
      <c r="D2231" s="5" t="s">
        <v>10</v>
      </c>
      <c r="E2231" t="s">
        <v>3589</v>
      </c>
      <c r="F2231" t="s">
        <v>3590</v>
      </c>
      <c r="G2231">
        <v>0</v>
      </c>
      <c r="H2231" t="s">
        <v>121</v>
      </c>
      <c r="I2231" s="2">
        <v>7000</v>
      </c>
    </row>
    <row r="2232" spans="1:9" x14ac:dyDescent="0.3">
      <c r="A2232" s="5">
        <v>9018</v>
      </c>
      <c r="B2232" s="5" t="s">
        <v>3588</v>
      </c>
      <c r="C2232" s="5">
        <v>1</v>
      </c>
      <c r="D2232" s="5" t="s">
        <v>10</v>
      </c>
      <c r="E2232" t="s">
        <v>3589</v>
      </c>
      <c r="F2232" t="s">
        <v>3590</v>
      </c>
      <c r="G2232">
        <v>0</v>
      </c>
      <c r="H2232" t="s">
        <v>21</v>
      </c>
      <c r="I2232" s="2">
        <v>7000</v>
      </c>
    </row>
    <row r="2233" spans="1:9" x14ac:dyDescent="0.3">
      <c r="A2233" s="5">
        <v>9018</v>
      </c>
      <c r="B2233" s="5" t="s">
        <v>3588</v>
      </c>
      <c r="C2233" s="5">
        <v>1</v>
      </c>
      <c r="D2233" s="5" t="s">
        <v>10</v>
      </c>
      <c r="E2233" t="s">
        <v>3589</v>
      </c>
      <c r="F2233" t="s">
        <v>3590</v>
      </c>
      <c r="G2233">
        <v>0</v>
      </c>
      <c r="H2233" t="s">
        <v>1343</v>
      </c>
      <c r="I2233" s="2">
        <v>7000</v>
      </c>
    </row>
    <row r="2234" spans="1:9" x14ac:dyDescent="0.3">
      <c r="A2234" s="5">
        <v>9017</v>
      </c>
      <c r="B2234" s="5" t="s">
        <v>3591</v>
      </c>
      <c r="C2234" s="5">
        <v>1</v>
      </c>
      <c r="D2234" s="5" t="s">
        <v>10</v>
      </c>
      <c r="E2234" t="s">
        <v>3592</v>
      </c>
      <c r="F2234" t="s">
        <v>3593</v>
      </c>
      <c r="G2234">
        <v>0</v>
      </c>
      <c r="H2234" t="s">
        <v>3594</v>
      </c>
      <c r="I2234" s="2">
        <v>9000</v>
      </c>
    </row>
    <row r="2235" spans="1:9" x14ac:dyDescent="0.3">
      <c r="A2235" s="5">
        <v>9017</v>
      </c>
      <c r="B2235" s="5" t="s">
        <v>3591</v>
      </c>
      <c r="C2235" s="5">
        <v>1</v>
      </c>
      <c r="D2235" s="5" t="s">
        <v>10</v>
      </c>
      <c r="E2235" t="s">
        <v>3592</v>
      </c>
      <c r="F2235" t="s">
        <v>3593</v>
      </c>
      <c r="G2235">
        <v>0</v>
      </c>
      <c r="H2235" t="s">
        <v>84</v>
      </c>
      <c r="I2235" s="2">
        <v>5000</v>
      </c>
    </row>
    <row r="2236" spans="1:9" x14ac:dyDescent="0.3">
      <c r="A2236" s="5">
        <v>9016</v>
      </c>
      <c r="B2236" s="5" t="s">
        <v>3595</v>
      </c>
      <c r="C2236" s="5">
        <v>2</v>
      </c>
      <c r="D2236" s="5" t="s">
        <v>261</v>
      </c>
      <c r="E2236" t="s">
        <v>3596</v>
      </c>
      <c r="F2236" t="s">
        <v>3597</v>
      </c>
      <c r="G2236">
        <v>0</v>
      </c>
      <c r="H2236" t="s">
        <v>265</v>
      </c>
      <c r="I2236" s="2">
        <v>7000</v>
      </c>
    </row>
    <row r="2237" spans="1:9" x14ac:dyDescent="0.3">
      <c r="A2237" s="5">
        <v>9016</v>
      </c>
      <c r="B2237" s="5" t="s">
        <v>3595</v>
      </c>
      <c r="C2237" s="5">
        <v>2</v>
      </c>
      <c r="D2237" s="5" t="s">
        <v>261</v>
      </c>
      <c r="E2237" t="s">
        <v>3596</v>
      </c>
      <c r="F2237" t="s">
        <v>3597</v>
      </c>
      <c r="G2237">
        <v>0</v>
      </c>
      <c r="H2237" t="s">
        <v>755</v>
      </c>
      <c r="I2237" s="2">
        <v>7000</v>
      </c>
    </row>
    <row r="2238" spans="1:9" x14ac:dyDescent="0.3">
      <c r="A2238" s="5">
        <v>9016</v>
      </c>
      <c r="B2238" s="5" t="s">
        <v>3595</v>
      </c>
      <c r="C2238" s="5">
        <v>2</v>
      </c>
      <c r="D2238" s="5" t="s">
        <v>261</v>
      </c>
      <c r="E2238" t="s">
        <v>3596</v>
      </c>
      <c r="F2238" t="s">
        <v>3597</v>
      </c>
      <c r="G2238">
        <v>0</v>
      </c>
      <c r="H2238" t="s">
        <v>642</v>
      </c>
      <c r="I2238" s="2">
        <v>6000</v>
      </c>
    </row>
    <row r="2239" spans="1:9" x14ac:dyDescent="0.3">
      <c r="A2239" s="5">
        <v>9014</v>
      </c>
      <c r="B2239" s="5" t="s">
        <v>3598</v>
      </c>
      <c r="C2239" s="5">
        <v>5</v>
      </c>
      <c r="D2239" s="5" t="s">
        <v>63</v>
      </c>
      <c r="E2239" t="s">
        <v>3599</v>
      </c>
      <c r="F2239" t="s">
        <v>3600</v>
      </c>
      <c r="G2239">
        <v>1</v>
      </c>
      <c r="H2239" t="s">
        <v>67</v>
      </c>
      <c r="I2239" s="2">
        <v>6000</v>
      </c>
    </row>
    <row r="2240" spans="1:9" x14ac:dyDescent="0.3">
      <c r="A2240" s="5">
        <v>9014</v>
      </c>
      <c r="B2240" s="5" t="s">
        <v>3598</v>
      </c>
      <c r="C2240" s="5">
        <v>5</v>
      </c>
      <c r="D2240" s="5" t="s">
        <v>63</v>
      </c>
      <c r="E2240" t="s">
        <v>3599</v>
      </c>
      <c r="F2240" t="s">
        <v>3600</v>
      </c>
      <c r="G2240">
        <v>1</v>
      </c>
      <c r="H2240" t="s">
        <v>88</v>
      </c>
      <c r="I2240" s="2">
        <v>18000</v>
      </c>
    </row>
    <row r="2241" spans="1:9" x14ac:dyDescent="0.3">
      <c r="A2241" s="5">
        <v>9013</v>
      </c>
      <c r="B2241" s="5" t="s">
        <v>3601</v>
      </c>
      <c r="C2241" s="5">
        <v>2</v>
      </c>
      <c r="D2241" s="5" t="s">
        <v>261</v>
      </c>
      <c r="E2241" t="s">
        <v>3602</v>
      </c>
      <c r="F2241" t="s">
        <v>816</v>
      </c>
      <c r="G2241">
        <v>1</v>
      </c>
      <c r="H2241" t="s">
        <v>264</v>
      </c>
      <c r="I2241" s="2">
        <v>3500</v>
      </c>
    </row>
    <row r="2242" spans="1:9" x14ac:dyDescent="0.3">
      <c r="A2242" s="5">
        <v>9013</v>
      </c>
      <c r="B2242" s="5" t="s">
        <v>3601</v>
      </c>
      <c r="C2242" s="5">
        <v>2</v>
      </c>
      <c r="D2242" s="5" t="s">
        <v>261</v>
      </c>
      <c r="E2242" t="s">
        <v>3602</v>
      </c>
      <c r="F2242" t="s">
        <v>816</v>
      </c>
      <c r="G2242">
        <v>1</v>
      </c>
      <c r="H2242" t="s">
        <v>372</v>
      </c>
      <c r="I2242" s="2">
        <v>3500</v>
      </c>
    </row>
    <row r="2243" spans="1:9" x14ac:dyDescent="0.3">
      <c r="A2243" s="5">
        <v>9012</v>
      </c>
      <c r="B2243" s="5" t="s">
        <v>3603</v>
      </c>
      <c r="C2243" s="5">
        <v>1</v>
      </c>
      <c r="D2243" s="5" t="s">
        <v>10</v>
      </c>
      <c r="E2243" t="s">
        <v>3604</v>
      </c>
      <c r="F2243" t="s">
        <v>3605</v>
      </c>
      <c r="G2243">
        <v>1</v>
      </c>
      <c r="H2243" t="s">
        <v>3606</v>
      </c>
      <c r="I2243" s="2">
        <v>10000</v>
      </c>
    </row>
    <row r="2244" spans="1:9" x14ac:dyDescent="0.3">
      <c r="A2244" s="5">
        <v>9012</v>
      </c>
      <c r="B2244" s="5" t="s">
        <v>3603</v>
      </c>
      <c r="C2244" s="5">
        <v>1</v>
      </c>
      <c r="D2244" s="5" t="s">
        <v>10</v>
      </c>
      <c r="E2244" t="s">
        <v>3604</v>
      </c>
      <c r="F2244" t="s">
        <v>3605</v>
      </c>
      <c r="G2244">
        <v>1</v>
      </c>
      <c r="H2244" t="s">
        <v>3607</v>
      </c>
      <c r="I2244" s="2">
        <v>10000</v>
      </c>
    </row>
    <row r="2245" spans="1:9" x14ac:dyDescent="0.3">
      <c r="A2245" s="5">
        <v>9009</v>
      </c>
      <c r="B2245" s="5" t="s">
        <v>3608</v>
      </c>
      <c r="C2245" s="5">
        <v>4</v>
      </c>
      <c r="D2245" s="5" t="s">
        <v>39</v>
      </c>
      <c r="E2245" t="s">
        <v>3609</v>
      </c>
      <c r="F2245" t="s">
        <v>3610</v>
      </c>
      <c r="G2245">
        <v>2</v>
      </c>
      <c r="H2245" t="s">
        <v>21</v>
      </c>
      <c r="I2245" s="2">
        <v>7000</v>
      </c>
    </row>
    <row r="2246" spans="1:9" x14ac:dyDescent="0.3">
      <c r="A2246" s="5">
        <v>9009</v>
      </c>
      <c r="B2246" s="5" t="s">
        <v>3608</v>
      </c>
      <c r="C2246" s="5">
        <v>4</v>
      </c>
      <c r="D2246" s="5" t="s">
        <v>39</v>
      </c>
      <c r="E2246" t="s">
        <v>3609</v>
      </c>
      <c r="F2246" t="s">
        <v>3610</v>
      </c>
      <c r="G2246">
        <v>2</v>
      </c>
      <c r="H2246" t="s">
        <v>521</v>
      </c>
      <c r="I2246" s="2">
        <v>7000</v>
      </c>
    </row>
    <row r="2247" spans="1:9" x14ac:dyDescent="0.3">
      <c r="A2247" s="5">
        <v>9009</v>
      </c>
      <c r="B2247" s="5" t="s">
        <v>3608</v>
      </c>
      <c r="C2247" s="5">
        <v>4</v>
      </c>
      <c r="D2247" s="5" t="s">
        <v>39</v>
      </c>
      <c r="E2247" t="s">
        <v>3609</v>
      </c>
      <c r="F2247" t="s">
        <v>3610</v>
      </c>
      <c r="G2247">
        <v>2</v>
      </c>
      <c r="H2247" t="s">
        <v>665</v>
      </c>
      <c r="I2247" s="2">
        <v>7000</v>
      </c>
    </row>
    <row r="2248" spans="1:9" x14ac:dyDescent="0.3">
      <c r="A2248" s="5">
        <v>9005</v>
      </c>
      <c r="B2248" s="5" t="s">
        <v>3611</v>
      </c>
      <c r="C2248" s="5">
        <v>2</v>
      </c>
      <c r="D2248" s="5" t="s">
        <v>261</v>
      </c>
      <c r="E2248" t="s">
        <v>3612</v>
      </c>
      <c r="F2248" t="s">
        <v>3613</v>
      </c>
      <c r="G2248">
        <v>2</v>
      </c>
      <c r="H2248" t="s">
        <v>3614</v>
      </c>
      <c r="I2248" s="2">
        <v>9000</v>
      </c>
    </row>
    <row r="2249" spans="1:9" x14ac:dyDescent="0.3">
      <c r="A2249" s="5">
        <v>9005</v>
      </c>
      <c r="B2249" s="5" t="s">
        <v>3611</v>
      </c>
      <c r="C2249" s="5">
        <v>2</v>
      </c>
      <c r="D2249" s="5" t="s">
        <v>261</v>
      </c>
      <c r="E2249" t="s">
        <v>3612</v>
      </c>
      <c r="F2249" t="s">
        <v>3613</v>
      </c>
      <c r="G2249">
        <v>2</v>
      </c>
      <c r="H2249" t="s">
        <v>3615</v>
      </c>
      <c r="I2249" s="2">
        <v>7000</v>
      </c>
    </row>
    <row r="2250" spans="1:9" x14ac:dyDescent="0.3">
      <c r="A2250" s="5">
        <v>9005</v>
      </c>
      <c r="B2250" s="5" t="s">
        <v>3611</v>
      </c>
      <c r="C2250" s="5">
        <v>2</v>
      </c>
      <c r="D2250" s="5" t="s">
        <v>261</v>
      </c>
      <c r="E2250" t="s">
        <v>3612</v>
      </c>
      <c r="F2250" t="s">
        <v>3613</v>
      </c>
      <c r="G2250">
        <v>2</v>
      </c>
      <c r="H2250" t="s">
        <v>3616</v>
      </c>
      <c r="I2250" s="2">
        <v>10000</v>
      </c>
    </row>
    <row r="2251" spans="1:9" x14ac:dyDescent="0.3">
      <c r="A2251" s="5">
        <v>9004</v>
      </c>
      <c r="B2251" s="5" t="s">
        <v>3617</v>
      </c>
      <c r="C2251" s="5">
        <v>1</v>
      </c>
      <c r="D2251" s="5" t="s">
        <v>10</v>
      </c>
      <c r="E2251" t="s">
        <v>3618</v>
      </c>
      <c r="F2251" t="s">
        <v>3619</v>
      </c>
      <c r="G2251">
        <v>2</v>
      </c>
      <c r="H2251" t="s">
        <v>3620</v>
      </c>
      <c r="I2251" s="2">
        <v>7000</v>
      </c>
    </row>
    <row r="2252" spans="1:9" x14ac:dyDescent="0.3">
      <c r="A2252" s="5">
        <v>9004</v>
      </c>
      <c r="B2252" s="5" t="s">
        <v>3617</v>
      </c>
      <c r="C2252" s="5">
        <v>1</v>
      </c>
      <c r="D2252" s="5" t="s">
        <v>10</v>
      </c>
      <c r="E2252" t="s">
        <v>3618</v>
      </c>
      <c r="F2252" t="s">
        <v>3619</v>
      </c>
      <c r="G2252">
        <v>2</v>
      </c>
      <c r="H2252" t="s">
        <v>3056</v>
      </c>
      <c r="I2252" s="2">
        <v>7000</v>
      </c>
    </row>
    <row r="2253" spans="1:9" x14ac:dyDescent="0.3">
      <c r="A2253" s="5">
        <v>9002</v>
      </c>
      <c r="B2253" s="5" t="s">
        <v>3621</v>
      </c>
      <c r="C2253" s="5">
        <v>1</v>
      </c>
      <c r="D2253" s="5" t="s">
        <v>10</v>
      </c>
      <c r="E2253" t="s">
        <v>3622</v>
      </c>
      <c r="F2253" t="s">
        <v>3623</v>
      </c>
      <c r="G2253">
        <v>2</v>
      </c>
      <c r="H2253" t="s">
        <v>875</v>
      </c>
      <c r="I2253" s="2">
        <v>7000</v>
      </c>
    </row>
    <row r="2254" spans="1:9" x14ac:dyDescent="0.3">
      <c r="A2254" s="5">
        <v>9002</v>
      </c>
      <c r="B2254" s="5" t="s">
        <v>3621</v>
      </c>
      <c r="C2254" s="5">
        <v>1</v>
      </c>
      <c r="D2254" s="5" t="s">
        <v>10</v>
      </c>
      <c r="E2254" t="s">
        <v>3622</v>
      </c>
      <c r="F2254" t="s">
        <v>3623</v>
      </c>
      <c r="G2254">
        <v>2</v>
      </c>
      <c r="H2254" t="s">
        <v>37</v>
      </c>
      <c r="I2254" s="2">
        <v>6000</v>
      </c>
    </row>
    <row r="2255" spans="1:9" x14ac:dyDescent="0.3">
      <c r="A2255" s="5">
        <v>9002</v>
      </c>
      <c r="B2255" s="5" t="s">
        <v>3621</v>
      </c>
      <c r="C2255" s="5">
        <v>1</v>
      </c>
      <c r="D2255" s="5" t="s">
        <v>10</v>
      </c>
      <c r="E2255" t="s">
        <v>3622</v>
      </c>
      <c r="F2255" t="s">
        <v>3623</v>
      </c>
      <c r="G2255">
        <v>2</v>
      </c>
      <c r="H2255" t="s">
        <v>132</v>
      </c>
      <c r="I2255" s="2">
        <v>6000</v>
      </c>
    </row>
    <row r="2256" spans="1:9" x14ac:dyDescent="0.3">
      <c r="A2256" s="5">
        <v>9000</v>
      </c>
      <c r="B2256" s="5" t="s">
        <v>3624</v>
      </c>
      <c r="C2256" s="5">
        <v>4</v>
      </c>
      <c r="D2256" s="5" t="s">
        <v>39</v>
      </c>
      <c r="E2256" t="s">
        <v>3625</v>
      </c>
      <c r="F2256" t="s">
        <v>3626</v>
      </c>
      <c r="G2256">
        <v>2</v>
      </c>
      <c r="H2256" t="s">
        <v>3627</v>
      </c>
      <c r="I2256" s="2">
        <v>8000</v>
      </c>
    </row>
    <row r="2257" spans="1:9" x14ac:dyDescent="0.3">
      <c r="A2257" s="5">
        <v>9000</v>
      </c>
      <c r="B2257" s="5" t="s">
        <v>3624</v>
      </c>
      <c r="C2257" s="5">
        <v>4</v>
      </c>
      <c r="D2257" s="5" t="s">
        <v>39</v>
      </c>
      <c r="E2257" t="s">
        <v>3625</v>
      </c>
      <c r="F2257" t="s">
        <v>3626</v>
      </c>
      <c r="G2257">
        <v>2</v>
      </c>
      <c r="H2257" t="s">
        <v>2712</v>
      </c>
      <c r="I2257" s="2">
        <v>8000</v>
      </c>
    </row>
    <row r="2258" spans="1:9" x14ac:dyDescent="0.3">
      <c r="A2258" s="5">
        <v>9000</v>
      </c>
      <c r="B2258" s="5" t="s">
        <v>3624</v>
      </c>
      <c r="C2258" s="5">
        <v>4</v>
      </c>
      <c r="D2258" s="5" t="s">
        <v>39</v>
      </c>
      <c r="E2258" t="s">
        <v>3625</v>
      </c>
      <c r="F2258" t="s">
        <v>3626</v>
      </c>
      <c r="G2258">
        <v>2</v>
      </c>
      <c r="H2258" t="s">
        <v>794</v>
      </c>
      <c r="I2258" s="2">
        <v>8000</v>
      </c>
    </row>
    <row r="2259" spans="1:9" x14ac:dyDescent="0.3">
      <c r="A2259" s="5">
        <v>8998</v>
      </c>
      <c r="B2259" s="5" t="s">
        <v>3628</v>
      </c>
      <c r="C2259" s="5">
        <v>1</v>
      </c>
      <c r="D2259" s="5" t="s">
        <v>10</v>
      </c>
      <c r="E2259" t="s">
        <v>3629</v>
      </c>
      <c r="F2259" t="s">
        <v>3630</v>
      </c>
      <c r="G2259">
        <v>3</v>
      </c>
      <c r="H2259" t="s">
        <v>139</v>
      </c>
      <c r="I2259" s="2">
        <v>7000</v>
      </c>
    </row>
    <row r="2260" spans="1:9" x14ac:dyDescent="0.3">
      <c r="A2260" s="5">
        <v>8998</v>
      </c>
      <c r="B2260" s="5" t="s">
        <v>3628</v>
      </c>
      <c r="C2260" s="5">
        <v>1</v>
      </c>
      <c r="D2260" s="5" t="s">
        <v>10</v>
      </c>
      <c r="E2260" t="s">
        <v>3629</v>
      </c>
      <c r="F2260" t="s">
        <v>3630</v>
      </c>
      <c r="G2260">
        <v>3</v>
      </c>
      <c r="H2260" t="s">
        <v>133</v>
      </c>
      <c r="I2260" s="2">
        <v>7000</v>
      </c>
    </row>
    <row r="2261" spans="1:9" x14ac:dyDescent="0.3">
      <c r="A2261" s="5">
        <v>8998</v>
      </c>
      <c r="B2261" s="5" t="s">
        <v>3628</v>
      </c>
      <c r="C2261" s="5">
        <v>1</v>
      </c>
      <c r="D2261" s="5" t="s">
        <v>10</v>
      </c>
      <c r="E2261" t="s">
        <v>3629</v>
      </c>
      <c r="F2261" t="s">
        <v>3630</v>
      </c>
      <c r="G2261">
        <v>3</v>
      </c>
      <c r="H2261" t="s">
        <v>3631</v>
      </c>
      <c r="I2261" s="2">
        <v>7000</v>
      </c>
    </row>
    <row r="2262" spans="1:9" x14ac:dyDescent="0.3">
      <c r="A2262" s="5">
        <v>8996</v>
      </c>
      <c r="B2262" s="5" t="s">
        <v>3632</v>
      </c>
      <c r="C2262" s="5">
        <v>4</v>
      </c>
      <c r="D2262" s="5" t="s">
        <v>39</v>
      </c>
      <c r="E2262" t="s">
        <v>3633</v>
      </c>
      <c r="F2262" t="s">
        <v>3634</v>
      </c>
      <c r="G2262">
        <v>2</v>
      </c>
      <c r="H2262" t="s">
        <v>342</v>
      </c>
      <c r="I2262" s="2">
        <v>2000</v>
      </c>
    </row>
    <row r="2263" spans="1:9" x14ac:dyDescent="0.3">
      <c r="A2263" s="5">
        <v>8996</v>
      </c>
      <c r="B2263" s="5" t="s">
        <v>3632</v>
      </c>
      <c r="C2263" s="5">
        <v>4</v>
      </c>
      <c r="D2263" s="5" t="s">
        <v>39</v>
      </c>
      <c r="E2263" t="s">
        <v>3633</v>
      </c>
      <c r="F2263" t="s">
        <v>3634</v>
      </c>
      <c r="G2263">
        <v>2</v>
      </c>
      <c r="H2263" t="s">
        <v>205</v>
      </c>
      <c r="I2263" s="2">
        <v>1000</v>
      </c>
    </row>
    <row r="2264" spans="1:9" x14ac:dyDescent="0.3">
      <c r="A2264" s="5">
        <v>8995</v>
      </c>
      <c r="B2264" s="5" t="s">
        <v>1151</v>
      </c>
      <c r="C2264" s="5">
        <v>1</v>
      </c>
      <c r="D2264" s="5" t="s">
        <v>10</v>
      </c>
      <c r="E2264" t="s">
        <v>3635</v>
      </c>
      <c r="F2264" t="s">
        <v>3636</v>
      </c>
      <c r="G2264">
        <v>2</v>
      </c>
      <c r="H2264" t="s">
        <v>3637</v>
      </c>
      <c r="I2264" s="2">
        <v>7000</v>
      </c>
    </row>
    <row r="2265" spans="1:9" x14ac:dyDescent="0.3">
      <c r="A2265" s="5">
        <v>8995</v>
      </c>
      <c r="B2265" s="5" t="s">
        <v>1151</v>
      </c>
      <c r="C2265" s="5">
        <v>1</v>
      </c>
      <c r="D2265" s="5" t="s">
        <v>10</v>
      </c>
      <c r="E2265" t="s">
        <v>3635</v>
      </c>
      <c r="F2265" t="s">
        <v>3636</v>
      </c>
      <c r="G2265">
        <v>2</v>
      </c>
      <c r="H2265" t="s">
        <v>1151</v>
      </c>
      <c r="I2265" s="2">
        <v>7500</v>
      </c>
    </row>
    <row r="2266" spans="1:9" x14ac:dyDescent="0.3">
      <c r="A2266" s="5">
        <v>8994</v>
      </c>
      <c r="B2266" s="5" t="s">
        <v>3638</v>
      </c>
      <c r="C2266" s="5">
        <v>1</v>
      </c>
      <c r="D2266" s="5" t="s">
        <v>10</v>
      </c>
      <c r="E2266" t="s">
        <v>3639</v>
      </c>
      <c r="F2266" t="s">
        <v>3640</v>
      </c>
      <c r="G2266">
        <v>2</v>
      </c>
      <c r="H2266" t="s">
        <v>3641</v>
      </c>
      <c r="I2266" s="2">
        <v>6600</v>
      </c>
    </row>
    <row r="2267" spans="1:9" x14ac:dyDescent="0.3">
      <c r="A2267" s="5">
        <v>8994</v>
      </c>
      <c r="B2267" s="5" t="s">
        <v>3638</v>
      </c>
      <c r="C2267" s="5">
        <v>1</v>
      </c>
      <c r="D2267" s="5" t="s">
        <v>10</v>
      </c>
      <c r="E2267" t="s">
        <v>3639</v>
      </c>
      <c r="F2267" t="s">
        <v>3640</v>
      </c>
      <c r="G2267">
        <v>2</v>
      </c>
      <c r="H2267" t="s">
        <v>3642</v>
      </c>
      <c r="I2267" s="2">
        <v>8800</v>
      </c>
    </row>
    <row r="2268" spans="1:9" x14ac:dyDescent="0.3">
      <c r="A2268" s="5">
        <v>8994</v>
      </c>
      <c r="B2268" s="5" t="s">
        <v>3638</v>
      </c>
      <c r="C2268" s="5">
        <v>1</v>
      </c>
      <c r="D2268" s="5" t="s">
        <v>10</v>
      </c>
      <c r="E2268" t="s">
        <v>3639</v>
      </c>
      <c r="F2268" t="s">
        <v>3640</v>
      </c>
      <c r="G2268">
        <v>2</v>
      </c>
      <c r="H2268" t="s">
        <v>3643</v>
      </c>
      <c r="I2268" s="2">
        <v>7700</v>
      </c>
    </row>
    <row r="2269" spans="1:9" x14ac:dyDescent="0.3">
      <c r="A2269" s="5">
        <v>8989</v>
      </c>
      <c r="B2269" s="5" t="s">
        <v>3644</v>
      </c>
      <c r="C2269" s="5">
        <v>1</v>
      </c>
      <c r="D2269" s="5" t="s">
        <v>10</v>
      </c>
      <c r="E2269" t="s">
        <v>3645</v>
      </c>
      <c r="F2269" t="s">
        <v>3646</v>
      </c>
      <c r="G2269">
        <v>2</v>
      </c>
      <c r="H2269" t="s">
        <v>57</v>
      </c>
      <c r="I2269" s="2">
        <v>8000</v>
      </c>
    </row>
    <row r="2270" spans="1:9" x14ac:dyDescent="0.3">
      <c r="A2270" s="5">
        <v>8989</v>
      </c>
      <c r="B2270" s="5" t="s">
        <v>3644</v>
      </c>
      <c r="C2270" s="5">
        <v>1</v>
      </c>
      <c r="D2270" s="5" t="s">
        <v>10</v>
      </c>
      <c r="E2270" t="s">
        <v>3645</v>
      </c>
      <c r="F2270" t="s">
        <v>3646</v>
      </c>
      <c r="G2270">
        <v>2</v>
      </c>
      <c r="H2270" t="s">
        <v>368</v>
      </c>
      <c r="I2270" s="2">
        <v>8000</v>
      </c>
    </row>
    <row r="2271" spans="1:9" x14ac:dyDescent="0.3">
      <c r="A2271" s="5">
        <v>8989</v>
      </c>
      <c r="B2271" s="5" t="s">
        <v>3644</v>
      </c>
      <c r="C2271" s="5">
        <v>1</v>
      </c>
      <c r="D2271" s="5" t="s">
        <v>10</v>
      </c>
      <c r="E2271" t="s">
        <v>3645</v>
      </c>
      <c r="F2271" t="s">
        <v>3646</v>
      </c>
      <c r="G2271">
        <v>2</v>
      </c>
      <c r="H2271" t="s">
        <v>188</v>
      </c>
      <c r="I2271" s="2">
        <v>9000</v>
      </c>
    </row>
    <row r="2272" spans="1:9" x14ac:dyDescent="0.3">
      <c r="A2272" s="5">
        <v>8988</v>
      </c>
      <c r="B2272" s="5" t="s">
        <v>3647</v>
      </c>
      <c r="C2272" s="5">
        <v>1</v>
      </c>
      <c r="D2272" s="5" t="s">
        <v>10</v>
      </c>
      <c r="E2272" t="s">
        <v>3648</v>
      </c>
      <c r="F2272" t="s">
        <v>3649</v>
      </c>
      <c r="G2272">
        <v>2</v>
      </c>
      <c r="H2272" t="s">
        <v>1042</v>
      </c>
      <c r="I2272" s="2">
        <v>3500</v>
      </c>
    </row>
    <row r="2273" spans="1:9" x14ac:dyDescent="0.3">
      <c r="A2273" s="5">
        <v>8988</v>
      </c>
      <c r="B2273" s="5" t="s">
        <v>3647</v>
      </c>
      <c r="C2273" s="5">
        <v>1</v>
      </c>
      <c r="D2273" s="5" t="s">
        <v>10</v>
      </c>
      <c r="E2273" t="s">
        <v>3648</v>
      </c>
      <c r="F2273" t="s">
        <v>3649</v>
      </c>
      <c r="G2273">
        <v>2</v>
      </c>
      <c r="H2273" t="s">
        <v>21</v>
      </c>
      <c r="I2273" s="2">
        <v>2500</v>
      </c>
    </row>
    <row r="2274" spans="1:9" x14ac:dyDescent="0.3">
      <c r="A2274" s="5">
        <v>8988</v>
      </c>
      <c r="B2274" s="5" t="s">
        <v>3647</v>
      </c>
      <c r="C2274" s="5">
        <v>1</v>
      </c>
      <c r="D2274" s="5" t="s">
        <v>10</v>
      </c>
      <c r="E2274" t="s">
        <v>3648</v>
      </c>
      <c r="F2274" t="s">
        <v>3649</v>
      </c>
      <c r="G2274">
        <v>2</v>
      </c>
      <c r="H2274" t="s">
        <v>3650</v>
      </c>
      <c r="I2274" s="2">
        <v>4000</v>
      </c>
    </row>
    <row r="2275" spans="1:9" x14ac:dyDescent="0.3">
      <c r="A2275" s="5">
        <v>8986</v>
      </c>
      <c r="B2275" s="5" t="s">
        <v>3651</v>
      </c>
      <c r="C2275" s="5">
        <v>1</v>
      </c>
      <c r="D2275" s="5" t="s">
        <v>10</v>
      </c>
      <c r="E2275" t="s">
        <v>3652</v>
      </c>
      <c r="F2275" t="s">
        <v>3653</v>
      </c>
      <c r="G2275">
        <v>2</v>
      </c>
      <c r="H2275" t="s">
        <v>3654</v>
      </c>
      <c r="I2275" s="2">
        <v>6000</v>
      </c>
    </row>
    <row r="2276" spans="1:9" x14ac:dyDescent="0.3">
      <c r="A2276" s="5">
        <v>8986</v>
      </c>
      <c r="B2276" s="5" t="s">
        <v>3651</v>
      </c>
      <c r="C2276" s="5">
        <v>1</v>
      </c>
      <c r="D2276" s="5" t="s">
        <v>10</v>
      </c>
      <c r="E2276" t="s">
        <v>3652</v>
      </c>
      <c r="F2276" t="s">
        <v>3653</v>
      </c>
      <c r="G2276">
        <v>2</v>
      </c>
      <c r="H2276" t="s">
        <v>3655</v>
      </c>
      <c r="I2276" s="2">
        <v>6000</v>
      </c>
    </row>
    <row r="2277" spans="1:9" x14ac:dyDescent="0.3">
      <c r="A2277" s="5">
        <v>8985</v>
      </c>
      <c r="B2277" s="5" t="s">
        <v>3656</v>
      </c>
      <c r="C2277" s="5">
        <v>2</v>
      </c>
      <c r="D2277" s="5" t="s">
        <v>261</v>
      </c>
      <c r="E2277" t="s">
        <v>3657</v>
      </c>
      <c r="F2277" t="s">
        <v>3658</v>
      </c>
      <c r="G2277">
        <v>2</v>
      </c>
      <c r="H2277" t="s">
        <v>642</v>
      </c>
      <c r="I2277" s="2">
        <v>6000</v>
      </c>
    </row>
    <row r="2278" spans="1:9" x14ac:dyDescent="0.3">
      <c r="A2278" s="5">
        <v>8985</v>
      </c>
      <c r="B2278" s="5" t="s">
        <v>3656</v>
      </c>
      <c r="C2278" s="5">
        <v>2</v>
      </c>
      <c r="D2278" s="5" t="s">
        <v>261</v>
      </c>
      <c r="E2278" t="s">
        <v>3657</v>
      </c>
      <c r="F2278" t="s">
        <v>3658</v>
      </c>
      <c r="G2278">
        <v>2</v>
      </c>
      <c r="H2278" t="s">
        <v>265</v>
      </c>
      <c r="I2278" s="2">
        <v>7000</v>
      </c>
    </row>
    <row r="2279" spans="1:9" x14ac:dyDescent="0.3">
      <c r="A2279" s="5">
        <v>8984</v>
      </c>
      <c r="B2279" s="5" t="s">
        <v>3659</v>
      </c>
      <c r="C2279" s="5">
        <v>1</v>
      </c>
      <c r="D2279" s="5" t="s">
        <v>10</v>
      </c>
      <c r="E2279" t="s">
        <v>3660</v>
      </c>
      <c r="F2279" t="s">
        <v>3661</v>
      </c>
      <c r="G2279">
        <v>2</v>
      </c>
      <c r="H2279" t="s">
        <v>217</v>
      </c>
      <c r="I2279" s="2">
        <v>11000</v>
      </c>
    </row>
    <row r="2280" spans="1:9" x14ac:dyDescent="0.3">
      <c r="A2280" s="5">
        <v>8984</v>
      </c>
      <c r="B2280" s="5" t="s">
        <v>3659</v>
      </c>
      <c r="C2280" s="5">
        <v>1</v>
      </c>
      <c r="D2280" s="5" t="s">
        <v>10</v>
      </c>
      <c r="E2280" t="s">
        <v>3660</v>
      </c>
      <c r="F2280" t="s">
        <v>3661</v>
      </c>
      <c r="G2280">
        <v>2</v>
      </c>
      <c r="H2280" t="s">
        <v>139</v>
      </c>
      <c r="I2280" s="2">
        <v>5000</v>
      </c>
    </row>
    <row r="2281" spans="1:9" x14ac:dyDescent="0.3">
      <c r="A2281" s="5">
        <v>8983</v>
      </c>
      <c r="B2281" s="5" t="s">
        <v>3662</v>
      </c>
      <c r="C2281" s="5">
        <v>5</v>
      </c>
      <c r="D2281" s="5" t="s">
        <v>63</v>
      </c>
      <c r="E2281" t="s">
        <v>3663</v>
      </c>
      <c r="F2281" t="s">
        <v>3664</v>
      </c>
      <c r="G2281">
        <v>2</v>
      </c>
      <c r="H2281" t="s">
        <v>1105</v>
      </c>
      <c r="I2281" s="2">
        <v>10000</v>
      </c>
    </row>
    <row r="2282" spans="1:9" x14ac:dyDescent="0.3">
      <c r="A2282" s="5">
        <v>8983</v>
      </c>
      <c r="B2282" s="5" t="s">
        <v>3662</v>
      </c>
      <c r="C2282" s="5">
        <v>5</v>
      </c>
      <c r="D2282" s="5" t="s">
        <v>63</v>
      </c>
      <c r="E2282" t="s">
        <v>3663</v>
      </c>
      <c r="F2282" t="s">
        <v>3664</v>
      </c>
      <c r="G2282">
        <v>2</v>
      </c>
      <c r="H2282" t="s">
        <v>1104</v>
      </c>
      <c r="I2282" s="2">
        <v>30000</v>
      </c>
    </row>
    <row r="2283" spans="1:9" x14ac:dyDescent="0.3">
      <c r="A2283" s="5">
        <v>8982</v>
      </c>
      <c r="B2283" s="5" t="s">
        <v>3665</v>
      </c>
      <c r="C2283" s="5">
        <v>1</v>
      </c>
      <c r="D2283" s="5" t="s">
        <v>10</v>
      </c>
      <c r="E2283" t="s">
        <v>3666</v>
      </c>
      <c r="F2283" t="s">
        <v>3667</v>
      </c>
      <c r="G2283">
        <v>2</v>
      </c>
      <c r="H2283" t="s">
        <v>229</v>
      </c>
      <c r="I2283" s="2">
        <v>5500</v>
      </c>
    </row>
    <row r="2284" spans="1:9" x14ac:dyDescent="0.3">
      <c r="A2284" s="5">
        <v>8982</v>
      </c>
      <c r="B2284" s="5" t="s">
        <v>3665</v>
      </c>
      <c r="C2284" s="5">
        <v>1</v>
      </c>
      <c r="D2284" s="5" t="s">
        <v>10</v>
      </c>
      <c r="E2284" t="s">
        <v>3666</v>
      </c>
      <c r="F2284" t="s">
        <v>3667</v>
      </c>
      <c r="G2284">
        <v>2</v>
      </c>
      <c r="H2284" t="s">
        <v>21</v>
      </c>
      <c r="I2284" s="2">
        <v>4500</v>
      </c>
    </row>
    <row r="2285" spans="1:9" x14ac:dyDescent="0.3">
      <c r="A2285" s="5">
        <v>8978</v>
      </c>
      <c r="B2285" s="5" t="s">
        <v>3668</v>
      </c>
      <c r="C2285" s="5">
        <v>1</v>
      </c>
      <c r="D2285" s="5" t="s">
        <v>10</v>
      </c>
      <c r="E2285" t="s">
        <v>3669</v>
      </c>
      <c r="F2285" t="s">
        <v>3670</v>
      </c>
      <c r="G2285">
        <v>2</v>
      </c>
      <c r="H2285" t="s">
        <v>229</v>
      </c>
      <c r="I2285" s="2">
        <v>6000</v>
      </c>
    </row>
    <row r="2286" spans="1:9" x14ac:dyDescent="0.3">
      <c r="A2286" s="5">
        <v>8978</v>
      </c>
      <c r="B2286" s="5" t="s">
        <v>3668</v>
      </c>
      <c r="C2286" s="5">
        <v>1</v>
      </c>
      <c r="D2286" s="5" t="s">
        <v>10</v>
      </c>
      <c r="E2286" t="s">
        <v>3669</v>
      </c>
      <c r="F2286" t="s">
        <v>3670</v>
      </c>
      <c r="G2286">
        <v>2</v>
      </c>
      <c r="H2286" t="s">
        <v>2312</v>
      </c>
      <c r="I2286" s="2">
        <v>12000</v>
      </c>
    </row>
    <row r="2287" spans="1:9" x14ac:dyDescent="0.3">
      <c r="A2287" s="5">
        <v>8978</v>
      </c>
      <c r="B2287" s="5" t="s">
        <v>3668</v>
      </c>
      <c r="C2287" s="5">
        <v>1</v>
      </c>
      <c r="D2287" s="5" t="s">
        <v>10</v>
      </c>
      <c r="E2287" t="s">
        <v>3669</v>
      </c>
      <c r="F2287" t="s">
        <v>3670</v>
      </c>
      <c r="G2287">
        <v>2</v>
      </c>
      <c r="H2287" t="s">
        <v>1520</v>
      </c>
      <c r="I2287" s="2">
        <v>9000</v>
      </c>
    </row>
    <row r="2288" spans="1:9" x14ac:dyDescent="0.3">
      <c r="A2288" s="5">
        <v>8976</v>
      </c>
      <c r="B2288" s="5" t="s">
        <v>3671</v>
      </c>
      <c r="C2288" s="5">
        <v>1</v>
      </c>
      <c r="D2288" s="5" t="s">
        <v>10</v>
      </c>
      <c r="E2288" t="s">
        <v>3672</v>
      </c>
      <c r="F2288" t="s">
        <v>3673</v>
      </c>
      <c r="G2288">
        <v>2</v>
      </c>
      <c r="H2288" t="s">
        <v>3674</v>
      </c>
      <c r="I2288" s="2">
        <v>9000</v>
      </c>
    </row>
    <row r="2289" spans="1:9" x14ac:dyDescent="0.3">
      <c r="A2289" s="5">
        <v>8976</v>
      </c>
      <c r="B2289" s="5" t="s">
        <v>3671</v>
      </c>
      <c r="C2289" s="5">
        <v>1</v>
      </c>
      <c r="D2289" s="5" t="s">
        <v>10</v>
      </c>
      <c r="E2289" t="s">
        <v>3672</v>
      </c>
      <c r="F2289" t="s">
        <v>3673</v>
      </c>
      <c r="G2289">
        <v>2</v>
      </c>
      <c r="H2289" t="s">
        <v>229</v>
      </c>
      <c r="I2289" s="2">
        <v>5000</v>
      </c>
    </row>
    <row r="2290" spans="1:9" x14ac:dyDescent="0.3">
      <c r="A2290" s="5">
        <v>8975</v>
      </c>
      <c r="B2290" s="5" t="s">
        <v>1286</v>
      </c>
      <c r="C2290" s="5">
        <v>1</v>
      </c>
      <c r="D2290" s="5" t="s">
        <v>10</v>
      </c>
      <c r="E2290" t="s">
        <v>3675</v>
      </c>
      <c r="F2290" t="s">
        <v>3676</v>
      </c>
      <c r="G2290">
        <v>2</v>
      </c>
      <c r="H2290" t="s">
        <v>3677</v>
      </c>
      <c r="I2290" s="2">
        <v>4000</v>
      </c>
    </row>
    <row r="2291" spans="1:9" x14ac:dyDescent="0.3">
      <c r="A2291" s="5">
        <v>8975</v>
      </c>
      <c r="B2291" s="5" t="s">
        <v>1286</v>
      </c>
      <c r="C2291" s="5">
        <v>1</v>
      </c>
      <c r="D2291" s="5" t="s">
        <v>10</v>
      </c>
      <c r="E2291" t="s">
        <v>3675</v>
      </c>
      <c r="F2291" t="s">
        <v>3676</v>
      </c>
      <c r="G2291">
        <v>2</v>
      </c>
      <c r="H2291" t="s">
        <v>37</v>
      </c>
      <c r="I2291" s="2">
        <v>5000</v>
      </c>
    </row>
    <row r="2292" spans="1:9" x14ac:dyDescent="0.3">
      <c r="A2292" s="5">
        <v>8974</v>
      </c>
      <c r="B2292" s="5" t="s">
        <v>3678</v>
      </c>
      <c r="C2292" s="5">
        <v>1</v>
      </c>
      <c r="D2292" s="5" t="s">
        <v>10</v>
      </c>
      <c r="E2292" t="s">
        <v>3679</v>
      </c>
      <c r="F2292" t="s">
        <v>3680</v>
      </c>
      <c r="G2292">
        <v>2</v>
      </c>
      <c r="H2292" t="s">
        <v>3455</v>
      </c>
      <c r="I2292" s="2">
        <v>7000</v>
      </c>
    </row>
    <row r="2293" spans="1:9" x14ac:dyDescent="0.3">
      <c r="A2293" s="5">
        <v>8974</v>
      </c>
      <c r="B2293" s="5" t="s">
        <v>3678</v>
      </c>
      <c r="C2293" s="5">
        <v>1</v>
      </c>
      <c r="D2293" s="5" t="s">
        <v>10</v>
      </c>
      <c r="E2293" t="s">
        <v>3679</v>
      </c>
      <c r="F2293" t="s">
        <v>3680</v>
      </c>
      <c r="G2293">
        <v>2</v>
      </c>
      <c r="H2293" t="s">
        <v>217</v>
      </c>
      <c r="I2293" s="2">
        <v>13000</v>
      </c>
    </row>
    <row r="2294" spans="1:9" x14ac:dyDescent="0.3">
      <c r="A2294" s="5">
        <v>8974</v>
      </c>
      <c r="B2294" s="5" t="s">
        <v>3678</v>
      </c>
      <c r="C2294" s="5">
        <v>1</v>
      </c>
      <c r="D2294" s="5" t="s">
        <v>10</v>
      </c>
      <c r="E2294" t="s">
        <v>3679</v>
      </c>
      <c r="F2294" t="s">
        <v>3680</v>
      </c>
      <c r="G2294">
        <v>2</v>
      </c>
      <c r="H2294" t="s">
        <v>2116</v>
      </c>
      <c r="I2294" s="2">
        <v>13000</v>
      </c>
    </row>
    <row r="2295" spans="1:9" x14ac:dyDescent="0.3">
      <c r="A2295" s="5">
        <v>8974</v>
      </c>
      <c r="B2295" s="5" t="s">
        <v>3678</v>
      </c>
      <c r="C2295" s="5">
        <v>1</v>
      </c>
      <c r="D2295" s="5" t="s">
        <v>10</v>
      </c>
      <c r="E2295" t="s">
        <v>3679</v>
      </c>
      <c r="F2295" t="s">
        <v>3680</v>
      </c>
      <c r="G2295">
        <v>2</v>
      </c>
      <c r="H2295" t="s">
        <v>1047</v>
      </c>
      <c r="I2295" s="2">
        <v>11000</v>
      </c>
    </row>
    <row r="2296" spans="1:9" x14ac:dyDescent="0.3">
      <c r="A2296" s="5">
        <v>8973</v>
      </c>
      <c r="B2296" s="5" t="s">
        <v>3681</v>
      </c>
      <c r="C2296" s="5">
        <v>1</v>
      </c>
      <c r="D2296" s="5" t="s">
        <v>10</v>
      </c>
      <c r="E2296" t="s">
        <v>3682</v>
      </c>
      <c r="F2296" t="s">
        <v>3683</v>
      </c>
      <c r="G2296">
        <v>2</v>
      </c>
      <c r="H2296" t="s">
        <v>3684</v>
      </c>
      <c r="I2296" s="2">
        <v>19900</v>
      </c>
    </row>
    <row r="2297" spans="1:9" x14ac:dyDescent="0.3">
      <c r="A2297" s="5">
        <v>8972</v>
      </c>
      <c r="B2297" s="5" t="s">
        <v>3685</v>
      </c>
      <c r="C2297" s="5">
        <v>1</v>
      </c>
      <c r="D2297" s="5" t="s">
        <v>10</v>
      </c>
      <c r="E2297" t="s">
        <v>3686</v>
      </c>
      <c r="F2297" t="s">
        <v>3687</v>
      </c>
      <c r="G2297">
        <v>2</v>
      </c>
      <c r="H2297" t="s">
        <v>126</v>
      </c>
      <c r="I2297" s="2">
        <v>7000</v>
      </c>
    </row>
    <row r="2298" spans="1:9" x14ac:dyDescent="0.3">
      <c r="A2298" s="5">
        <v>8972</v>
      </c>
      <c r="B2298" s="5" t="s">
        <v>3685</v>
      </c>
      <c r="C2298" s="5">
        <v>1</v>
      </c>
      <c r="D2298" s="5" t="s">
        <v>10</v>
      </c>
      <c r="E2298" t="s">
        <v>3686</v>
      </c>
      <c r="F2298" t="s">
        <v>3687</v>
      </c>
      <c r="G2298">
        <v>2</v>
      </c>
      <c r="H2298" t="s">
        <v>374</v>
      </c>
      <c r="I2298" s="2">
        <v>3000</v>
      </c>
    </row>
    <row r="2299" spans="1:9" x14ac:dyDescent="0.3">
      <c r="A2299" s="5">
        <v>8971</v>
      </c>
      <c r="B2299" s="5" t="s">
        <v>3688</v>
      </c>
      <c r="C2299" s="5">
        <v>5</v>
      </c>
      <c r="D2299" s="5" t="s">
        <v>63</v>
      </c>
      <c r="E2299" t="s">
        <v>3689</v>
      </c>
      <c r="F2299" t="s">
        <v>3690</v>
      </c>
      <c r="G2299">
        <v>2</v>
      </c>
      <c r="H2299" t="s">
        <v>67</v>
      </c>
      <c r="I2299" s="2">
        <v>5000</v>
      </c>
    </row>
    <row r="2300" spans="1:9" x14ac:dyDescent="0.3">
      <c r="A2300" s="5">
        <v>8971</v>
      </c>
      <c r="B2300" s="5" t="s">
        <v>3688</v>
      </c>
      <c r="C2300" s="5">
        <v>5</v>
      </c>
      <c r="D2300" s="5" t="s">
        <v>63</v>
      </c>
      <c r="E2300" t="s">
        <v>3689</v>
      </c>
      <c r="F2300" t="s">
        <v>3690</v>
      </c>
      <c r="G2300">
        <v>2</v>
      </c>
      <c r="H2300" t="s">
        <v>88</v>
      </c>
      <c r="I2300" s="2">
        <v>25000</v>
      </c>
    </row>
    <row r="2301" spans="1:9" x14ac:dyDescent="0.3">
      <c r="A2301" s="5">
        <v>8970</v>
      </c>
      <c r="B2301" s="5" t="s">
        <v>3691</v>
      </c>
      <c r="C2301" s="5">
        <v>3</v>
      </c>
      <c r="D2301" s="5" t="s">
        <v>44</v>
      </c>
      <c r="E2301" t="s">
        <v>3692</v>
      </c>
      <c r="G2301">
        <v>2</v>
      </c>
      <c r="H2301" t="s">
        <v>3693</v>
      </c>
      <c r="I2301" s="2">
        <v>6500</v>
      </c>
    </row>
    <row r="2302" spans="1:9" x14ac:dyDescent="0.3">
      <c r="A2302" s="5">
        <v>8969</v>
      </c>
      <c r="B2302" s="5" t="s">
        <v>3694</v>
      </c>
      <c r="C2302" s="5">
        <v>5</v>
      </c>
      <c r="D2302" s="5" t="s">
        <v>63</v>
      </c>
      <c r="E2302" t="s">
        <v>3695</v>
      </c>
      <c r="F2302" t="s">
        <v>3696</v>
      </c>
      <c r="G2302">
        <v>2</v>
      </c>
      <c r="H2302" t="s">
        <v>88</v>
      </c>
      <c r="I2302" s="2">
        <v>25000</v>
      </c>
    </row>
    <row r="2303" spans="1:9" x14ac:dyDescent="0.3">
      <c r="A2303" s="5">
        <v>8969</v>
      </c>
      <c r="B2303" s="5" t="s">
        <v>3694</v>
      </c>
      <c r="C2303" s="5">
        <v>5</v>
      </c>
      <c r="D2303" s="5" t="s">
        <v>63</v>
      </c>
      <c r="E2303" t="s">
        <v>3695</v>
      </c>
      <c r="F2303" t="s">
        <v>3696</v>
      </c>
      <c r="G2303">
        <v>2</v>
      </c>
      <c r="H2303" t="s">
        <v>67</v>
      </c>
      <c r="I2303" s="2">
        <v>10000</v>
      </c>
    </row>
    <row r="2304" spans="1:9" x14ac:dyDescent="0.3">
      <c r="A2304" s="5">
        <v>8968</v>
      </c>
      <c r="B2304" s="5" t="s">
        <v>3697</v>
      </c>
      <c r="C2304" s="5">
        <v>3</v>
      </c>
      <c r="D2304" s="5" t="s">
        <v>44</v>
      </c>
      <c r="E2304" t="s">
        <v>3698</v>
      </c>
      <c r="F2304" t="s">
        <v>3699</v>
      </c>
      <c r="G2304">
        <v>2</v>
      </c>
      <c r="H2304" t="s">
        <v>304</v>
      </c>
      <c r="I2304" s="2">
        <v>4900</v>
      </c>
    </row>
    <row r="2305" spans="1:9" x14ac:dyDescent="0.3">
      <c r="A2305" s="5">
        <v>8967</v>
      </c>
      <c r="B2305" s="5" t="s">
        <v>3700</v>
      </c>
      <c r="C2305" s="5">
        <v>1</v>
      </c>
      <c r="D2305" s="5" t="s">
        <v>10</v>
      </c>
      <c r="E2305" t="s">
        <v>3701</v>
      </c>
      <c r="F2305" t="s">
        <v>3702</v>
      </c>
      <c r="G2305">
        <v>3</v>
      </c>
      <c r="H2305" t="s">
        <v>37</v>
      </c>
      <c r="I2305" s="2">
        <v>5000</v>
      </c>
    </row>
    <row r="2306" spans="1:9" x14ac:dyDescent="0.3">
      <c r="A2306" s="5">
        <v>8967</v>
      </c>
      <c r="B2306" s="5" t="s">
        <v>3700</v>
      </c>
      <c r="C2306" s="5">
        <v>1</v>
      </c>
      <c r="D2306" s="5" t="s">
        <v>10</v>
      </c>
      <c r="E2306" t="s">
        <v>3701</v>
      </c>
      <c r="F2306" t="s">
        <v>3702</v>
      </c>
      <c r="G2306">
        <v>3</v>
      </c>
      <c r="H2306" t="s">
        <v>21</v>
      </c>
      <c r="I2306" s="2">
        <v>4000</v>
      </c>
    </row>
    <row r="2307" spans="1:9" x14ac:dyDescent="0.3">
      <c r="A2307" s="5">
        <v>8966</v>
      </c>
      <c r="B2307" s="5" t="s">
        <v>3703</v>
      </c>
      <c r="C2307" s="5">
        <v>1</v>
      </c>
      <c r="D2307" s="5" t="s">
        <v>10</v>
      </c>
      <c r="E2307" t="s">
        <v>3704</v>
      </c>
      <c r="F2307" t="s">
        <v>3705</v>
      </c>
      <c r="G2307">
        <v>2</v>
      </c>
      <c r="H2307" t="s">
        <v>352</v>
      </c>
      <c r="I2307" s="2">
        <v>5900</v>
      </c>
    </row>
    <row r="2308" spans="1:9" x14ac:dyDescent="0.3">
      <c r="A2308" s="5">
        <v>8964</v>
      </c>
      <c r="B2308" s="5" t="s">
        <v>3706</v>
      </c>
      <c r="C2308" s="5">
        <v>1</v>
      </c>
      <c r="D2308" s="5" t="s">
        <v>10</v>
      </c>
      <c r="E2308" t="s">
        <v>3707</v>
      </c>
      <c r="F2308" t="s">
        <v>3708</v>
      </c>
      <c r="G2308">
        <v>2</v>
      </c>
      <c r="H2308" t="s">
        <v>947</v>
      </c>
      <c r="I2308" s="2">
        <v>5000</v>
      </c>
    </row>
    <row r="2309" spans="1:9" x14ac:dyDescent="0.3">
      <c r="A2309" s="5">
        <v>8964</v>
      </c>
      <c r="B2309" s="5" t="s">
        <v>3706</v>
      </c>
      <c r="C2309" s="5">
        <v>1</v>
      </c>
      <c r="D2309" s="5" t="s">
        <v>10</v>
      </c>
      <c r="E2309" t="s">
        <v>3707</v>
      </c>
      <c r="F2309" t="s">
        <v>3708</v>
      </c>
      <c r="G2309">
        <v>2</v>
      </c>
      <c r="H2309" t="s">
        <v>84</v>
      </c>
      <c r="I2309" s="2">
        <v>5000</v>
      </c>
    </row>
    <row r="2310" spans="1:9" x14ac:dyDescent="0.3">
      <c r="A2310" s="5">
        <v>8964</v>
      </c>
      <c r="B2310" s="5" t="s">
        <v>3706</v>
      </c>
      <c r="C2310" s="5">
        <v>1</v>
      </c>
      <c r="D2310" s="5" t="s">
        <v>10</v>
      </c>
      <c r="E2310" t="s">
        <v>3707</v>
      </c>
      <c r="F2310" t="s">
        <v>3708</v>
      </c>
      <c r="G2310">
        <v>2</v>
      </c>
      <c r="H2310" t="s">
        <v>3709</v>
      </c>
      <c r="I2310" s="2">
        <v>7000</v>
      </c>
    </row>
    <row r="2311" spans="1:9" x14ac:dyDescent="0.3">
      <c r="A2311" s="5">
        <v>8963</v>
      </c>
      <c r="B2311" s="5" t="s">
        <v>3710</v>
      </c>
      <c r="C2311" s="5">
        <v>4</v>
      </c>
      <c r="D2311" s="5" t="s">
        <v>39</v>
      </c>
      <c r="E2311" t="s">
        <v>3711</v>
      </c>
      <c r="F2311" t="s">
        <v>3712</v>
      </c>
      <c r="G2311">
        <v>2</v>
      </c>
      <c r="H2311" t="s">
        <v>372</v>
      </c>
      <c r="I2311" s="2">
        <v>5500</v>
      </c>
    </row>
    <row r="2312" spans="1:9" x14ac:dyDescent="0.3">
      <c r="A2312" s="5">
        <v>8963</v>
      </c>
      <c r="B2312" s="5" t="s">
        <v>3710</v>
      </c>
      <c r="C2312" s="5">
        <v>4</v>
      </c>
      <c r="D2312" s="5" t="s">
        <v>39</v>
      </c>
      <c r="E2312" t="s">
        <v>3711</v>
      </c>
      <c r="F2312" t="s">
        <v>3712</v>
      </c>
      <c r="G2312">
        <v>2</v>
      </c>
      <c r="H2312" t="s">
        <v>1396</v>
      </c>
      <c r="I2312" s="2">
        <v>6500</v>
      </c>
    </row>
    <row r="2313" spans="1:9" x14ac:dyDescent="0.3">
      <c r="A2313" s="5">
        <v>8963</v>
      </c>
      <c r="B2313" s="5" t="s">
        <v>3710</v>
      </c>
      <c r="C2313" s="5">
        <v>4</v>
      </c>
      <c r="D2313" s="5" t="s">
        <v>39</v>
      </c>
      <c r="E2313" t="s">
        <v>3711</v>
      </c>
      <c r="F2313" t="s">
        <v>3712</v>
      </c>
      <c r="G2313">
        <v>2</v>
      </c>
      <c r="H2313" t="s">
        <v>258</v>
      </c>
      <c r="I2313" s="2">
        <v>3500</v>
      </c>
    </row>
    <row r="2314" spans="1:9" x14ac:dyDescent="0.3">
      <c r="A2314" s="5">
        <v>8961</v>
      </c>
      <c r="B2314" s="5" t="s">
        <v>3713</v>
      </c>
      <c r="C2314" s="5">
        <v>5</v>
      </c>
      <c r="D2314" s="5" t="s">
        <v>63</v>
      </c>
      <c r="E2314" t="s">
        <v>3714</v>
      </c>
      <c r="F2314" t="s">
        <v>74</v>
      </c>
      <c r="G2314">
        <v>2</v>
      </c>
      <c r="H2314" t="s">
        <v>3715</v>
      </c>
      <c r="I2314" s="2">
        <v>19000</v>
      </c>
    </row>
    <row r="2315" spans="1:9" x14ac:dyDescent="0.3">
      <c r="A2315" s="5">
        <v>8961</v>
      </c>
      <c r="B2315" s="5" t="s">
        <v>3713</v>
      </c>
      <c r="C2315" s="5">
        <v>5</v>
      </c>
      <c r="D2315" s="5" t="s">
        <v>63</v>
      </c>
      <c r="E2315" t="s">
        <v>3714</v>
      </c>
      <c r="F2315" t="s">
        <v>74</v>
      </c>
      <c r="G2315">
        <v>2</v>
      </c>
      <c r="H2315" t="s">
        <v>67</v>
      </c>
      <c r="I2315" s="2">
        <v>8000</v>
      </c>
    </row>
    <row r="2316" spans="1:9" x14ac:dyDescent="0.3">
      <c r="A2316" s="5">
        <v>8960</v>
      </c>
      <c r="B2316" s="5" t="s">
        <v>3716</v>
      </c>
      <c r="C2316" s="5">
        <v>5</v>
      </c>
      <c r="D2316" s="5" t="s">
        <v>63</v>
      </c>
      <c r="E2316" t="s">
        <v>3717</v>
      </c>
      <c r="F2316" t="s">
        <v>3718</v>
      </c>
      <c r="G2316">
        <v>2</v>
      </c>
      <c r="H2316" t="s">
        <v>1105</v>
      </c>
      <c r="I2316" s="2">
        <v>6000</v>
      </c>
    </row>
    <row r="2317" spans="1:9" x14ac:dyDescent="0.3">
      <c r="A2317" s="5">
        <v>8960</v>
      </c>
      <c r="B2317" s="5" t="s">
        <v>3716</v>
      </c>
      <c r="C2317" s="5">
        <v>5</v>
      </c>
      <c r="D2317" s="5" t="s">
        <v>63</v>
      </c>
      <c r="E2317" t="s">
        <v>3717</v>
      </c>
      <c r="F2317" t="s">
        <v>3718</v>
      </c>
      <c r="G2317">
        <v>2</v>
      </c>
      <c r="H2317" t="s">
        <v>1104</v>
      </c>
      <c r="I2317" s="2">
        <v>2000</v>
      </c>
    </row>
    <row r="2318" spans="1:9" x14ac:dyDescent="0.3">
      <c r="A2318" s="5">
        <v>8959</v>
      </c>
      <c r="B2318" s="5" t="s">
        <v>3719</v>
      </c>
      <c r="C2318" s="5">
        <v>7</v>
      </c>
      <c r="D2318" s="5" t="s">
        <v>360</v>
      </c>
      <c r="E2318" t="s">
        <v>3720</v>
      </c>
      <c r="F2318" t="s">
        <v>3721</v>
      </c>
      <c r="G2318">
        <v>2</v>
      </c>
      <c r="H2318" t="s">
        <v>3722</v>
      </c>
      <c r="I2318" s="2">
        <v>3000</v>
      </c>
    </row>
    <row r="2319" spans="1:9" x14ac:dyDescent="0.3">
      <c r="A2319" s="5">
        <v>8959</v>
      </c>
      <c r="B2319" s="5" t="s">
        <v>3719</v>
      </c>
      <c r="C2319" s="5">
        <v>7</v>
      </c>
      <c r="D2319" s="5" t="s">
        <v>360</v>
      </c>
      <c r="E2319" t="s">
        <v>3720</v>
      </c>
      <c r="F2319" t="s">
        <v>3721</v>
      </c>
      <c r="G2319">
        <v>2</v>
      </c>
      <c r="H2319" t="s">
        <v>3722</v>
      </c>
      <c r="I2319" s="2">
        <v>3000</v>
      </c>
    </row>
    <row r="2320" spans="1:9" x14ac:dyDescent="0.3">
      <c r="A2320" s="5">
        <v>8955</v>
      </c>
      <c r="B2320" s="5" t="s">
        <v>3723</v>
      </c>
      <c r="C2320" s="5">
        <v>1</v>
      </c>
      <c r="D2320" s="5" t="s">
        <v>10</v>
      </c>
      <c r="E2320" t="s">
        <v>3724</v>
      </c>
      <c r="F2320" t="s">
        <v>3725</v>
      </c>
      <c r="G2320">
        <v>2</v>
      </c>
      <c r="H2320" t="s">
        <v>21</v>
      </c>
      <c r="I2320" s="2">
        <v>4500</v>
      </c>
    </row>
    <row r="2321" spans="1:9" x14ac:dyDescent="0.3">
      <c r="A2321" s="5">
        <v>8955</v>
      </c>
      <c r="B2321" s="5" t="s">
        <v>3723</v>
      </c>
      <c r="C2321" s="5">
        <v>1</v>
      </c>
      <c r="D2321" s="5" t="s">
        <v>10</v>
      </c>
      <c r="E2321" t="s">
        <v>3724</v>
      </c>
      <c r="F2321" t="s">
        <v>3725</v>
      </c>
      <c r="G2321">
        <v>2</v>
      </c>
      <c r="H2321" t="s">
        <v>280</v>
      </c>
      <c r="I2321" s="2">
        <v>6500</v>
      </c>
    </row>
    <row r="2322" spans="1:9" x14ac:dyDescent="0.3">
      <c r="A2322" s="5">
        <v>8955</v>
      </c>
      <c r="B2322" s="5" t="s">
        <v>3723</v>
      </c>
      <c r="C2322" s="5">
        <v>1</v>
      </c>
      <c r="D2322" s="5" t="s">
        <v>10</v>
      </c>
      <c r="E2322" t="s">
        <v>3724</v>
      </c>
      <c r="F2322" t="s">
        <v>3725</v>
      </c>
      <c r="G2322">
        <v>2</v>
      </c>
      <c r="H2322" t="s">
        <v>20</v>
      </c>
      <c r="I2322" s="2">
        <v>5500</v>
      </c>
    </row>
    <row r="2323" spans="1:9" x14ac:dyDescent="0.3">
      <c r="A2323" s="5">
        <v>8954</v>
      </c>
      <c r="B2323" s="5" t="s">
        <v>3726</v>
      </c>
      <c r="C2323" s="5">
        <v>1</v>
      </c>
      <c r="D2323" s="5" t="s">
        <v>10</v>
      </c>
      <c r="E2323" t="s">
        <v>3727</v>
      </c>
      <c r="F2323" t="s">
        <v>3728</v>
      </c>
      <c r="G2323">
        <v>2</v>
      </c>
      <c r="H2323" t="s">
        <v>139</v>
      </c>
      <c r="I2323" s="2">
        <v>5000</v>
      </c>
    </row>
    <row r="2324" spans="1:9" x14ac:dyDescent="0.3">
      <c r="A2324" s="5">
        <v>8954</v>
      </c>
      <c r="B2324" s="5" t="s">
        <v>3726</v>
      </c>
      <c r="C2324" s="5">
        <v>1</v>
      </c>
      <c r="D2324" s="5" t="s">
        <v>10</v>
      </c>
      <c r="E2324" t="s">
        <v>3727</v>
      </c>
      <c r="F2324" t="s">
        <v>3728</v>
      </c>
      <c r="G2324">
        <v>2</v>
      </c>
      <c r="H2324" t="s">
        <v>958</v>
      </c>
      <c r="I2324" s="2">
        <v>5000</v>
      </c>
    </row>
    <row r="2325" spans="1:9" x14ac:dyDescent="0.3">
      <c r="A2325" s="5">
        <v>8954</v>
      </c>
      <c r="B2325" s="5" t="s">
        <v>3726</v>
      </c>
      <c r="C2325" s="5">
        <v>1</v>
      </c>
      <c r="D2325" s="5" t="s">
        <v>10</v>
      </c>
      <c r="E2325" t="s">
        <v>3727</v>
      </c>
      <c r="F2325" t="s">
        <v>3728</v>
      </c>
      <c r="G2325">
        <v>2</v>
      </c>
      <c r="H2325" t="s">
        <v>35</v>
      </c>
      <c r="I2325" s="2">
        <v>6000</v>
      </c>
    </row>
    <row r="2326" spans="1:9" x14ac:dyDescent="0.3">
      <c r="A2326" s="5">
        <v>8953</v>
      </c>
      <c r="B2326" s="5" t="s">
        <v>3729</v>
      </c>
      <c r="C2326" s="5">
        <v>13</v>
      </c>
      <c r="D2326" s="5" t="s">
        <v>27</v>
      </c>
      <c r="E2326" t="s">
        <v>3730</v>
      </c>
      <c r="F2326" t="s">
        <v>3731</v>
      </c>
      <c r="G2326">
        <v>2</v>
      </c>
      <c r="H2326" t="s">
        <v>3732</v>
      </c>
      <c r="I2326" s="2">
        <v>50000</v>
      </c>
    </row>
    <row r="2327" spans="1:9" x14ac:dyDescent="0.3">
      <c r="A2327" s="5">
        <v>8953</v>
      </c>
      <c r="B2327" s="5" t="s">
        <v>3729</v>
      </c>
      <c r="C2327" s="5">
        <v>13</v>
      </c>
      <c r="D2327" s="5" t="s">
        <v>27</v>
      </c>
      <c r="E2327" t="s">
        <v>3730</v>
      </c>
      <c r="F2327" t="s">
        <v>3731</v>
      </c>
      <c r="G2327">
        <v>2</v>
      </c>
      <c r="H2327" t="s">
        <v>423</v>
      </c>
      <c r="I2327" s="2">
        <v>15000</v>
      </c>
    </row>
    <row r="2328" spans="1:9" x14ac:dyDescent="0.3">
      <c r="A2328" s="5">
        <v>8953</v>
      </c>
      <c r="B2328" s="5" t="s">
        <v>3729</v>
      </c>
      <c r="C2328" s="5">
        <v>13</v>
      </c>
      <c r="D2328" s="5" t="s">
        <v>27</v>
      </c>
      <c r="E2328" t="s">
        <v>3730</v>
      </c>
      <c r="F2328" t="s">
        <v>3731</v>
      </c>
      <c r="G2328">
        <v>2</v>
      </c>
      <c r="H2328" t="s">
        <v>3733</v>
      </c>
      <c r="I2328" s="2">
        <v>50000</v>
      </c>
    </row>
    <row r="2329" spans="1:9" x14ac:dyDescent="0.3">
      <c r="A2329" s="5">
        <v>8953</v>
      </c>
      <c r="B2329" s="5" t="s">
        <v>3729</v>
      </c>
      <c r="C2329" s="5">
        <v>13</v>
      </c>
      <c r="D2329" s="5" t="s">
        <v>27</v>
      </c>
      <c r="E2329" t="s">
        <v>3730</v>
      </c>
      <c r="F2329" t="s">
        <v>3731</v>
      </c>
      <c r="G2329">
        <v>2</v>
      </c>
      <c r="H2329" t="s">
        <v>1665</v>
      </c>
      <c r="I2329" s="2">
        <v>300</v>
      </c>
    </row>
    <row r="2330" spans="1:9" x14ac:dyDescent="0.3">
      <c r="A2330" s="5">
        <v>8950</v>
      </c>
      <c r="B2330" s="5" t="s">
        <v>3734</v>
      </c>
      <c r="C2330" s="5">
        <v>1</v>
      </c>
      <c r="D2330" s="5" t="s">
        <v>10</v>
      </c>
      <c r="E2330" t="s">
        <v>3735</v>
      </c>
      <c r="F2330" t="s">
        <v>3736</v>
      </c>
      <c r="G2330">
        <v>2</v>
      </c>
      <c r="H2330" t="s">
        <v>229</v>
      </c>
      <c r="I2330" s="2">
        <v>7000</v>
      </c>
    </row>
    <row r="2331" spans="1:9" x14ac:dyDescent="0.3">
      <c r="A2331" s="5">
        <v>8950</v>
      </c>
      <c r="B2331" s="5" t="s">
        <v>3734</v>
      </c>
      <c r="C2331" s="5">
        <v>1</v>
      </c>
      <c r="D2331" s="5" t="s">
        <v>10</v>
      </c>
      <c r="E2331" t="s">
        <v>3735</v>
      </c>
      <c r="F2331" t="s">
        <v>3736</v>
      </c>
      <c r="G2331">
        <v>2</v>
      </c>
      <c r="H2331" t="s">
        <v>3606</v>
      </c>
      <c r="I2331" s="2">
        <v>14000</v>
      </c>
    </row>
    <row r="2332" spans="1:9" x14ac:dyDescent="0.3">
      <c r="A2332" s="5">
        <v>8950</v>
      </c>
      <c r="B2332" s="5" t="s">
        <v>3734</v>
      </c>
      <c r="C2332" s="5">
        <v>1</v>
      </c>
      <c r="D2332" s="5" t="s">
        <v>10</v>
      </c>
      <c r="E2332" t="s">
        <v>3735</v>
      </c>
      <c r="F2332" t="s">
        <v>3736</v>
      </c>
      <c r="G2332">
        <v>2</v>
      </c>
      <c r="H2332" t="s">
        <v>3607</v>
      </c>
      <c r="I2332" s="2">
        <v>15000</v>
      </c>
    </row>
    <row r="2333" spans="1:9" x14ac:dyDescent="0.3">
      <c r="A2333" s="5">
        <v>8950</v>
      </c>
      <c r="B2333" s="5" t="s">
        <v>3734</v>
      </c>
      <c r="C2333" s="5">
        <v>1</v>
      </c>
      <c r="D2333" s="5" t="s">
        <v>10</v>
      </c>
      <c r="E2333" t="s">
        <v>3735</v>
      </c>
      <c r="F2333" t="s">
        <v>3736</v>
      </c>
      <c r="G2333">
        <v>2</v>
      </c>
      <c r="H2333" t="s">
        <v>3737</v>
      </c>
      <c r="I2333" s="2">
        <v>10000</v>
      </c>
    </row>
    <row r="2334" spans="1:9" x14ac:dyDescent="0.3">
      <c r="A2334" s="5">
        <v>8941</v>
      </c>
      <c r="B2334" s="5" t="s">
        <v>3738</v>
      </c>
      <c r="C2334" s="5">
        <v>13</v>
      </c>
      <c r="D2334" s="5" t="s">
        <v>27</v>
      </c>
      <c r="E2334" t="s">
        <v>3739</v>
      </c>
      <c r="F2334" t="s">
        <v>3740</v>
      </c>
      <c r="G2334">
        <v>2</v>
      </c>
      <c r="H2334" t="s">
        <v>3741</v>
      </c>
      <c r="I2334" s="2">
        <v>1200</v>
      </c>
    </row>
    <row r="2335" spans="1:9" x14ac:dyDescent="0.3">
      <c r="A2335" s="5">
        <v>8940</v>
      </c>
      <c r="B2335" s="5" t="s">
        <v>3742</v>
      </c>
      <c r="C2335" s="5">
        <v>7</v>
      </c>
      <c r="D2335" s="5" t="s">
        <v>360</v>
      </c>
      <c r="E2335" t="s">
        <v>3743</v>
      </c>
      <c r="F2335" t="s">
        <v>3744</v>
      </c>
      <c r="G2335">
        <v>2</v>
      </c>
      <c r="H2335" t="s">
        <v>3745</v>
      </c>
      <c r="I2335" s="2">
        <v>6000</v>
      </c>
    </row>
    <row r="2336" spans="1:9" x14ac:dyDescent="0.3">
      <c r="A2336" s="5">
        <v>8940</v>
      </c>
      <c r="B2336" s="5" t="s">
        <v>3742</v>
      </c>
      <c r="C2336" s="5">
        <v>7</v>
      </c>
      <c r="D2336" s="5" t="s">
        <v>360</v>
      </c>
      <c r="E2336" t="s">
        <v>3743</v>
      </c>
      <c r="F2336" t="s">
        <v>3744</v>
      </c>
      <c r="G2336">
        <v>2</v>
      </c>
      <c r="H2336" t="s">
        <v>364</v>
      </c>
      <c r="I2336" s="2">
        <v>2500</v>
      </c>
    </row>
    <row r="2337" spans="1:9" x14ac:dyDescent="0.3">
      <c r="A2337" s="5">
        <v>8933</v>
      </c>
      <c r="B2337" s="5" t="s">
        <v>3746</v>
      </c>
      <c r="C2337" s="5">
        <v>1</v>
      </c>
      <c r="D2337" s="5" t="s">
        <v>10</v>
      </c>
      <c r="E2337" t="s">
        <v>3747</v>
      </c>
      <c r="G2337">
        <v>2</v>
      </c>
      <c r="H2337" t="s">
        <v>229</v>
      </c>
      <c r="I2337" s="2">
        <v>7500</v>
      </c>
    </row>
    <row r="2338" spans="1:9" x14ac:dyDescent="0.3">
      <c r="A2338" s="5">
        <v>8933</v>
      </c>
      <c r="B2338" s="5" t="s">
        <v>3746</v>
      </c>
      <c r="C2338" s="5">
        <v>1</v>
      </c>
      <c r="D2338" s="5" t="s">
        <v>10</v>
      </c>
      <c r="E2338" t="s">
        <v>3747</v>
      </c>
      <c r="G2338">
        <v>2</v>
      </c>
      <c r="H2338" t="s">
        <v>100</v>
      </c>
      <c r="I2338" s="2">
        <v>7500</v>
      </c>
    </row>
    <row r="2339" spans="1:9" x14ac:dyDescent="0.3">
      <c r="A2339" s="5">
        <v>8931</v>
      </c>
      <c r="B2339" s="5" t="s">
        <v>3748</v>
      </c>
      <c r="C2339" s="5">
        <v>5</v>
      </c>
      <c r="D2339" s="5" t="s">
        <v>63</v>
      </c>
      <c r="E2339" t="s">
        <v>3749</v>
      </c>
      <c r="G2339">
        <v>2</v>
      </c>
      <c r="H2339" t="s">
        <v>66</v>
      </c>
      <c r="I2339" s="2">
        <v>8000</v>
      </c>
    </row>
    <row r="2340" spans="1:9" x14ac:dyDescent="0.3">
      <c r="A2340" s="5">
        <v>8931</v>
      </c>
      <c r="B2340" s="5" t="s">
        <v>3748</v>
      </c>
      <c r="C2340" s="5">
        <v>5</v>
      </c>
      <c r="D2340" s="5" t="s">
        <v>63</v>
      </c>
      <c r="E2340" t="s">
        <v>3749</v>
      </c>
      <c r="G2340">
        <v>2</v>
      </c>
      <c r="H2340" t="s">
        <v>67</v>
      </c>
      <c r="I2340" s="2">
        <v>7000</v>
      </c>
    </row>
    <row r="2341" spans="1:9" x14ac:dyDescent="0.3">
      <c r="A2341" s="5">
        <v>8930</v>
      </c>
      <c r="B2341" s="5" t="s">
        <v>3750</v>
      </c>
      <c r="C2341" s="5">
        <v>1</v>
      </c>
      <c r="D2341" s="5" t="s">
        <v>10</v>
      </c>
      <c r="E2341" t="s">
        <v>3751</v>
      </c>
      <c r="F2341" t="s">
        <v>3752</v>
      </c>
      <c r="G2341">
        <v>2</v>
      </c>
      <c r="H2341" t="s">
        <v>3753</v>
      </c>
      <c r="I2341" s="2">
        <v>5000</v>
      </c>
    </row>
    <row r="2342" spans="1:9" x14ac:dyDescent="0.3">
      <c r="A2342" s="5">
        <v>8925</v>
      </c>
      <c r="B2342" s="5" t="s">
        <v>3754</v>
      </c>
      <c r="C2342" s="5">
        <v>1</v>
      </c>
      <c r="D2342" s="5" t="s">
        <v>10</v>
      </c>
      <c r="E2342" t="s">
        <v>3755</v>
      </c>
      <c r="F2342" t="s">
        <v>3756</v>
      </c>
      <c r="G2342">
        <v>2</v>
      </c>
      <c r="H2342" t="s">
        <v>3757</v>
      </c>
      <c r="I2342" s="2">
        <v>6000</v>
      </c>
    </row>
    <row r="2343" spans="1:9" x14ac:dyDescent="0.3">
      <c r="A2343" s="5">
        <v>8925</v>
      </c>
      <c r="B2343" s="5" t="s">
        <v>3754</v>
      </c>
      <c r="C2343" s="5">
        <v>1</v>
      </c>
      <c r="D2343" s="5" t="s">
        <v>10</v>
      </c>
      <c r="E2343" t="s">
        <v>3755</v>
      </c>
      <c r="F2343" t="s">
        <v>3756</v>
      </c>
      <c r="G2343">
        <v>2</v>
      </c>
      <c r="H2343" t="s">
        <v>3758</v>
      </c>
      <c r="I2343" s="2">
        <v>8000</v>
      </c>
    </row>
    <row r="2344" spans="1:9" x14ac:dyDescent="0.3">
      <c r="A2344" s="5">
        <v>8925</v>
      </c>
      <c r="B2344" s="5" t="s">
        <v>3754</v>
      </c>
      <c r="C2344" s="5">
        <v>1</v>
      </c>
      <c r="D2344" s="5" t="s">
        <v>10</v>
      </c>
      <c r="E2344" t="s">
        <v>3755</v>
      </c>
      <c r="F2344" t="s">
        <v>3756</v>
      </c>
      <c r="G2344">
        <v>2</v>
      </c>
      <c r="H2344" t="s">
        <v>3759</v>
      </c>
      <c r="I2344" s="2">
        <v>8000</v>
      </c>
    </row>
    <row r="2345" spans="1:9" x14ac:dyDescent="0.3">
      <c r="A2345" s="5">
        <v>8924</v>
      </c>
      <c r="B2345" s="5" t="s">
        <v>3760</v>
      </c>
      <c r="C2345" s="5">
        <v>5</v>
      </c>
      <c r="D2345" s="5" t="s">
        <v>63</v>
      </c>
      <c r="E2345" t="s">
        <v>3761</v>
      </c>
      <c r="F2345" t="s">
        <v>3762</v>
      </c>
      <c r="G2345">
        <v>2</v>
      </c>
      <c r="H2345" t="s">
        <v>67</v>
      </c>
      <c r="I2345" s="2">
        <v>5000</v>
      </c>
    </row>
    <row r="2346" spans="1:9" x14ac:dyDescent="0.3">
      <c r="A2346" s="5">
        <v>8924</v>
      </c>
      <c r="B2346" s="5" t="s">
        <v>3760</v>
      </c>
      <c r="C2346" s="5">
        <v>5</v>
      </c>
      <c r="D2346" s="5" t="s">
        <v>63</v>
      </c>
      <c r="E2346" t="s">
        <v>3761</v>
      </c>
      <c r="F2346" t="s">
        <v>3762</v>
      </c>
      <c r="G2346">
        <v>2</v>
      </c>
      <c r="H2346" t="s">
        <v>2126</v>
      </c>
      <c r="I2346" s="2">
        <v>15000</v>
      </c>
    </row>
    <row r="2347" spans="1:9" x14ac:dyDescent="0.3">
      <c r="A2347" s="5">
        <v>8922</v>
      </c>
      <c r="B2347" s="5" t="s">
        <v>3763</v>
      </c>
      <c r="C2347" s="5">
        <v>1</v>
      </c>
      <c r="D2347" s="5" t="s">
        <v>10</v>
      </c>
      <c r="E2347" t="s">
        <v>3764</v>
      </c>
      <c r="F2347">
        <v>0</v>
      </c>
      <c r="G2347">
        <v>2</v>
      </c>
      <c r="H2347" t="s">
        <v>3765</v>
      </c>
      <c r="I2347" s="2">
        <v>4000</v>
      </c>
    </row>
    <row r="2348" spans="1:9" x14ac:dyDescent="0.3">
      <c r="A2348" s="5">
        <v>8922</v>
      </c>
      <c r="B2348" s="5" t="s">
        <v>3763</v>
      </c>
      <c r="C2348" s="5">
        <v>1</v>
      </c>
      <c r="D2348" s="5" t="s">
        <v>10</v>
      </c>
      <c r="E2348" t="s">
        <v>3764</v>
      </c>
      <c r="F2348">
        <v>0</v>
      </c>
      <c r="G2348">
        <v>2</v>
      </c>
      <c r="H2348" t="s">
        <v>217</v>
      </c>
      <c r="I2348" s="2">
        <v>5600</v>
      </c>
    </row>
    <row r="2349" spans="1:9" x14ac:dyDescent="0.3">
      <c r="A2349" s="5">
        <v>8922</v>
      </c>
      <c r="B2349" s="5" t="s">
        <v>3763</v>
      </c>
      <c r="C2349" s="5">
        <v>1</v>
      </c>
      <c r="D2349" s="5" t="s">
        <v>10</v>
      </c>
      <c r="E2349" t="s">
        <v>3764</v>
      </c>
      <c r="F2349">
        <v>0</v>
      </c>
      <c r="G2349">
        <v>2</v>
      </c>
      <c r="H2349" t="s">
        <v>3766</v>
      </c>
      <c r="I2349" s="2">
        <v>4000</v>
      </c>
    </row>
    <row r="2350" spans="1:9" x14ac:dyDescent="0.3">
      <c r="A2350" s="5">
        <v>8916</v>
      </c>
      <c r="B2350" s="5" t="s">
        <v>3767</v>
      </c>
      <c r="C2350" s="5">
        <v>1</v>
      </c>
      <c r="D2350" s="5" t="s">
        <v>10</v>
      </c>
      <c r="E2350" t="s">
        <v>3768</v>
      </c>
      <c r="F2350" t="s">
        <v>3769</v>
      </c>
      <c r="G2350">
        <v>2</v>
      </c>
      <c r="H2350" t="s">
        <v>21</v>
      </c>
      <c r="I2350" s="2">
        <v>3500</v>
      </c>
    </row>
    <row r="2351" spans="1:9" x14ac:dyDescent="0.3">
      <c r="A2351" s="5">
        <v>8916</v>
      </c>
      <c r="B2351" s="5" t="s">
        <v>3767</v>
      </c>
      <c r="C2351" s="5">
        <v>1</v>
      </c>
      <c r="D2351" s="5" t="s">
        <v>10</v>
      </c>
      <c r="E2351" t="s">
        <v>3768</v>
      </c>
      <c r="F2351" t="s">
        <v>3769</v>
      </c>
      <c r="G2351">
        <v>2</v>
      </c>
      <c r="H2351" t="s">
        <v>84</v>
      </c>
      <c r="I2351" s="2">
        <v>4000</v>
      </c>
    </row>
    <row r="2352" spans="1:9" x14ac:dyDescent="0.3">
      <c r="A2352" s="5">
        <v>8913</v>
      </c>
      <c r="B2352" s="5" t="s">
        <v>3770</v>
      </c>
      <c r="C2352" s="5">
        <v>1</v>
      </c>
      <c r="D2352" s="5" t="s">
        <v>10</v>
      </c>
      <c r="E2352" t="s">
        <v>3771</v>
      </c>
      <c r="F2352" t="s">
        <v>3772</v>
      </c>
      <c r="G2352">
        <v>2</v>
      </c>
      <c r="H2352" t="s">
        <v>217</v>
      </c>
      <c r="I2352" s="2">
        <v>10000</v>
      </c>
    </row>
    <row r="2353" spans="1:9" x14ac:dyDescent="0.3">
      <c r="A2353" s="5">
        <v>8911</v>
      </c>
      <c r="B2353" s="5" t="s">
        <v>3773</v>
      </c>
      <c r="C2353" s="5">
        <v>1</v>
      </c>
      <c r="D2353" s="5" t="s">
        <v>10</v>
      </c>
      <c r="E2353" t="s">
        <v>3774</v>
      </c>
      <c r="F2353" t="s">
        <v>3775</v>
      </c>
      <c r="G2353">
        <v>2</v>
      </c>
      <c r="H2353" t="s">
        <v>229</v>
      </c>
      <c r="I2353" s="2">
        <v>5000</v>
      </c>
    </row>
    <row r="2354" spans="1:9" x14ac:dyDescent="0.3">
      <c r="A2354" s="5">
        <v>8910</v>
      </c>
      <c r="B2354" s="5" t="s">
        <v>3776</v>
      </c>
      <c r="C2354" s="5">
        <v>1</v>
      </c>
      <c r="D2354" s="5" t="s">
        <v>10</v>
      </c>
      <c r="E2354" t="s">
        <v>3777</v>
      </c>
      <c r="F2354" t="s">
        <v>3778</v>
      </c>
      <c r="G2354">
        <v>2</v>
      </c>
      <c r="H2354" t="s">
        <v>139</v>
      </c>
      <c r="I2354" s="2">
        <v>5000</v>
      </c>
    </row>
    <row r="2355" spans="1:9" x14ac:dyDescent="0.3">
      <c r="A2355" s="5">
        <v>8910</v>
      </c>
      <c r="B2355" s="5" t="s">
        <v>3776</v>
      </c>
      <c r="C2355" s="5">
        <v>1</v>
      </c>
      <c r="D2355" s="5" t="s">
        <v>10</v>
      </c>
      <c r="E2355" t="s">
        <v>3777</v>
      </c>
      <c r="F2355" t="s">
        <v>3778</v>
      </c>
      <c r="G2355">
        <v>2</v>
      </c>
      <c r="H2355" t="s">
        <v>229</v>
      </c>
      <c r="I2355" s="2">
        <v>7000</v>
      </c>
    </row>
    <row r="2356" spans="1:9" x14ac:dyDescent="0.3">
      <c r="A2356" s="5">
        <v>8910</v>
      </c>
      <c r="B2356" s="5" t="s">
        <v>3776</v>
      </c>
      <c r="C2356" s="5">
        <v>1</v>
      </c>
      <c r="D2356" s="5" t="s">
        <v>10</v>
      </c>
      <c r="E2356" t="s">
        <v>3777</v>
      </c>
      <c r="F2356" t="s">
        <v>3778</v>
      </c>
      <c r="G2356">
        <v>2</v>
      </c>
      <c r="H2356" t="s">
        <v>229</v>
      </c>
      <c r="I2356" s="2">
        <v>7000</v>
      </c>
    </row>
    <row r="2357" spans="1:9" x14ac:dyDescent="0.3">
      <c r="A2357" s="5">
        <v>8908</v>
      </c>
      <c r="B2357" s="5" t="s">
        <v>3779</v>
      </c>
      <c r="C2357" s="5">
        <v>1</v>
      </c>
      <c r="D2357" s="5" t="s">
        <v>10</v>
      </c>
      <c r="E2357" t="s">
        <v>3780</v>
      </c>
      <c r="F2357" t="s">
        <v>3781</v>
      </c>
      <c r="G2357">
        <v>2</v>
      </c>
      <c r="H2357" t="s">
        <v>3782</v>
      </c>
      <c r="I2357" s="2">
        <v>10000</v>
      </c>
    </row>
    <row r="2358" spans="1:9" x14ac:dyDescent="0.3">
      <c r="A2358" s="5">
        <v>8906</v>
      </c>
      <c r="B2358" s="5" t="s">
        <v>3460</v>
      </c>
      <c r="C2358" s="5">
        <v>2</v>
      </c>
      <c r="D2358" s="5" t="s">
        <v>261</v>
      </c>
      <c r="E2358" t="s">
        <v>3783</v>
      </c>
      <c r="F2358" t="s">
        <v>3784</v>
      </c>
      <c r="G2358">
        <v>2</v>
      </c>
      <c r="H2358" t="s">
        <v>3785</v>
      </c>
      <c r="I2358" s="2">
        <v>5000</v>
      </c>
    </row>
    <row r="2359" spans="1:9" x14ac:dyDescent="0.3">
      <c r="A2359" s="5">
        <v>8906</v>
      </c>
      <c r="B2359" s="5" t="s">
        <v>3460</v>
      </c>
      <c r="C2359" s="5">
        <v>2</v>
      </c>
      <c r="D2359" s="5" t="s">
        <v>261</v>
      </c>
      <c r="E2359" t="s">
        <v>3783</v>
      </c>
      <c r="F2359" t="s">
        <v>3784</v>
      </c>
      <c r="G2359">
        <v>2</v>
      </c>
      <c r="H2359" t="s">
        <v>642</v>
      </c>
      <c r="I2359" s="2">
        <v>4500</v>
      </c>
    </row>
    <row r="2360" spans="1:9" x14ac:dyDescent="0.3">
      <c r="A2360" s="5">
        <v>8906</v>
      </c>
      <c r="B2360" s="5" t="s">
        <v>3460</v>
      </c>
      <c r="C2360" s="5">
        <v>2</v>
      </c>
      <c r="D2360" s="5" t="s">
        <v>261</v>
      </c>
      <c r="E2360" t="s">
        <v>3783</v>
      </c>
      <c r="F2360" t="s">
        <v>3784</v>
      </c>
      <c r="G2360">
        <v>2</v>
      </c>
      <c r="H2360" t="s">
        <v>641</v>
      </c>
      <c r="I2360" s="2">
        <v>17000</v>
      </c>
    </row>
    <row r="2361" spans="1:9" x14ac:dyDescent="0.3">
      <c r="A2361" s="5">
        <v>8905</v>
      </c>
      <c r="B2361" s="5" t="s">
        <v>2788</v>
      </c>
      <c r="C2361" s="5">
        <v>2</v>
      </c>
      <c r="D2361" s="5" t="s">
        <v>261</v>
      </c>
      <c r="E2361" t="s">
        <v>3786</v>
      </c>
      <c r="F2361" t="s">
        <v>3787</v>
      </c>
      <c r="G2361">
        <v>2</v>
      </c>
      <c r="H2361" t="s">
        <v>641</v>
      </c>
      <c r="I2361" s="2">
        <v>9000</v>
      </c>
    </row>
    <row r="2362" spans="1:9" x14ac:dyDescent="0.3">
      <c r="A2362" s="5">
        <v>8905</v>
      </c>
      <c r="B2362" s="5" t="s">
        <v>2788</v>
      </c>
      <c r="C2362" s="5">
        <v>2</v>
      </c>
      <c r="D2362" s="5" t="s">
        <v>261</v>
      </c>
      <c r="E2362" t="s">
        <v>3786</v>
      </c>
      <c r="F2362" t="s">
        <v>3787</v>
      </c>
      <c r="G2362">
        <v>2</v>
      </c>
      <c r="H2362" t="s">
        <v>642</v>
      </c>
      <c r="I2362" s="2">
        <v>3500</v>
      </c>
    </row>
    <row r="2363" spans="1:9" x14ac:dyDescent="0.3">
      <c r="A2363" s="5">
        <v>8905</v>
      </c>
      <c r="B2363" s="5" t="s">
        <v>2788</v>
      </c>
      <c r="C2363" s="5">
        <v>2</v>
      </c>
      <c r="D2363" s="5" t="s">
        <v>261</v>
      </c>
      <c r="E2363" t="s">
        <v>3786</v>
      </c>
      <c r="F2363" t="s">
        <v>3787</v>
      </c>
      <c r="G2363">
        <v>2</v>
      </c>
      <c r="H2363" t="s">
        <v>3788</v>
      </c>
      <c r="I2363" s="2">
        <v>4000</v>
      </c>
    </row>
    <row r="2364" spans="1:9" x14ac:dyDescent="0.3">
      <c r="A2364" s="5">
        <v>8904</v>
      </c>
      <c r="B2364" s="5" t="s">
        <v>3789</v>
      </c>
      <c r="C2364" s="5">
        <v>13</v>
      </c>
      <c r="D2364" s="5" t="s">
        <v>27</v>
      </c>
      <c r="E2364" t="s">
        <v>3790</v>
      </c>
      <c r="F2364" t="s">
        <v>3791</v>
      </c>
      <c r="G2364">
        <v>3</v>
      </c>
      <c r="H2364" t="s">
        <v>1183</v>
      </c>
      <c r="I2364" s="2">
        <v>8000</v>
      </c>
    </row>
    <row r="2365" spans="1:9" x14ac:dyDescent="0.3">
      <c r="A2365" s="5">
        <v>8904</v>
      </c>
      <c r="B2365" s="5" t="s">
        <v>3789</v>
      </c>
      <c r="C2365" s="5">
        <v>13</v>
      </c>
      <c r="D2365" s="5" t="s">
        <v>27</v>
      </c>
      <c r="E2365" t="s">
        <v>3790</v>
      </c>
      <c r="F2365" t="s">
        <v>3791</v>
      </c>
      <c r="G2365">
        <v>3</v>
      </c>
      <c r="H2365" t="s">
        <v>3792</v>
      </c>
      <c r="I2365" s="2">
        <v>7000</v>
      </c>
    </row>
    <row r="2366" spans="1:9" x14ac:dyDescent="0.3">
      <c r="A2366" s="5">
        <v>8903</v>
      </c>
      <c r="B2366" s="5" t="s">
        <v>3793</v>
      </c>
      <c r="C2366" s="5">
        <v>1</v>
      </c>
      <c r="D2366" s="5" t="s">
        <v>10</v>
      </c>
      <c r="E2366" t="s">
        <v>3794</v>
      </c>
      <c r="F2366" t="s">
        <v>74</v>
      </c>
      <c r="G2366">
        <v>2</v>
      </c>
      <c r="H2366" t="s">
        <v>92</v>
      </c>
      <c r="I2366" s="2">
        <v>7000</v>
      </c>
    </row>
    <row r="2367" spans="1:9" x14ac:dyDescent="0.3">
      <c r="A2367" s="5">
        <v>8903</v>
      </c>
      <c r="B2367" s="5" t="s">
        <v>3793</v>
      </c>
      <c r="C2367" s="5">
        <v>1</v>
      </c>
      <c r="D2367" s="5" t="s">
        <v>10</v>
      </c>
      <c r="E2367" t="s">
        <v>3794</v>
      </c>
      <c r="F2367" t="s">
        <v>74</v>
      </c>
      <c r="G2367">
        <v>2</v>
      </c>
      <c r="H2367" t="s">
        <v>19</v>
      </c>
      <c r="I2367" s="2">
        <v>7000</v>
      </c>
    </row>
    <row r="2368" spans="1:9" x14ac:dyDescent="0.3">
      <c r="A2368" s="5">
        <v>8903</v>
      </c>
      <c r="B2368" s="5" t="s">
        <v>3793</v>
      </c>
      <c r="C2368" s="5">
        <v>1</v>
      </c>
      <c r="D2368" s="5" t="s">
        <v>10</v>
      </c>
      <c r="E2368" t="s">
        <v>3794</v>
      </c>
      <c r="F2368" t="s">
        <v>74</v>
      </c>
      <c r="G2368">
        <v>2</v>
      </c>
      <c r="H2368" t="s">
        <v>21</v>
      </c>
      <c r="I2368" s="2">
        <v>6000</v>
      </c>
    </row>
    <row r="2369" spans="1:9" x14ac:dyDescent="0.3">
      <c r="A2369" s="5">
        <v>8900</v>
      </c>
      <c r="B2369" s="5" t="s">
        <v>3795</v>
      </c>
      <c r="C2369" s="5">
        <v>5</v>
      </c>
      <c r="D2369" s="5" t="s">
        <v>63</v>
      </c>
      <c r="E2369" t="s">
        <v>3796</v>
      </c>
      <c r="F2369" t="s">
        <v>3797</v>
      </c>
      <c r="G2369">
        <v>2</v>
      </c>
      <c r="H2369" t="s">
        <v>1786</v>
      </c>
      <c r="I2369" s="2">
        <v>12000</v>
      </c>
    </row>
    <row r="2370" spans="1:9" x14ac:dyDescent="0.3">
      <c r="A2370" s="5">
        <v>8900</v>
      </c>
      <c r="B2370" s="5" t="s">
        <v>3795</v>
      </c>
      <c r="C2370" s="5">
        <v>5</v>
      </c>
      <c r="D2370" s="5" t="s">
        <v>63</v>
      </c>
      <c r="E2370" t="s">
        <v>3796</v>
      </c>
      <c r="F2370" t="s">
        <v>3797</v>
      </c>
      <c r="G2370">
        <v>2</v>
      </c>
      <c r="H2370" t="s">
        <v>3798</v>
      </c>
      <c r="I2370" s="2">
        <v>10000</v>
      </c>
    </row>
    <row r="2371" spans="1:9" x14ac:dyDescent="0.3">
      <c r="A2371" s="5">
        <v>8900</v>
      </c>
      <c r="B2371" s="5" t="s">
        <v>3795</v>
      </c>
      <c r="C2371" s="5">
        <v>5</v>
      </c>
      <c r="D2371" s="5" t="s">
        <v>63</v>
      </c>
      <c r="E2371" t="s">
        <v>3796</v>
      </c>
      <c r="F2371" t="s">
        <v>3797</v>
      </c>
      <c r="G2371">
        <v>2</v>
      </c>
      <c r="H2371" t="s">
        <v>88</v>
      </c>
      <c r="I2371" s="2">
        <v>40000</v>
      </c>
    </row>
    <row r="2372" spans="1:9" x14ac:dyDescent="0.3">
      <c r="A2372" s="5">
        <v>8899</v>
      </c>
      <c r="B2372" s="5" t="s">
        <v>3799</v>
      </c>
      <c r="C2372" s="5">
        <v>5</v>
      </c>
      <c r="D2372" s="5" t="s">
        <v>63</v>
      </c>
      <c r="E2372" t="s">
        <v>3800</v>
      </c>
      <c r="F2372" t="s">
        <v>74</v>
      </c>
      <c r="G2372">
        <v>2</v>
      </c>
      <c r="H2372" t="s">
        <v>67</v>
      </c>
      <c r="I2372" s="2">
        <v>9000</v>
      </c>
    </row>
    <row r="2373" spans="1:9" x14ac:dyDescent="0.3">
      <c r="A2373" s="5">
        <v>8899</v>
      </c>
      <c r="B2373" s="5" t="s">
        <v>3799</v>
      </c>
      <c r="C2373" s="5">
        <v>5</v>
      </c>
      <c r="D2373" s="5" t="s">
        <v>63</v>
      </c>
      <c r="E2373" t="s">
        <v>3800</v>
      </c>
      <c r="F2373" t="s">
        <v>74</v>
      </c>
      <c r="G2373">
        <v>2</v>
      </c>
      <c r="H2373" t="s">
        <v>67</v>
      </c>
      <c r="I2373" s="2">
        <v>9000</v>
      </c>
    </row>
    <row r="2374" spans="1:9" x14ac:dyDescent="0.3">
      <c r="A2374" s="5">
        <v>8897</v>
      </c>
      <c r="B2374" s="5" t="s">
        <v>3801</v>
      </c>
      <c r="C2374" s="5">
        <v>5</v>
      </c>
      <c r="D2374" s="5" t="s">
        <v>63</v>
      </c>
      <c r="E2374" t="s">
        <v>3802</v>
      </c>
      <c r="F2374" t="s">
        <v>3803</v>
      </c>
      <c r="G2374">
        <v>2</v>
      </c>
      <c r="H2374" t="s">
        <v>88</v>
      </c>
      <c r="I2374" s="2">
        <v>20000</v>
      </c>
    </row>
    <row r="2375" spans="1:9" x14ac:dyDescent="0.3">
      <c r="A2375" s="5">
        <v>8897</v>
      </c>
      <c r="B2375" s="5" t="s">
        <v>3801</v>
      </c>
      <c r="C2375" s="5">
        <v>5</v>
      </c>
      <c r="D2375" s="5" t="s">
        <v>63</v>
      </c>
      <c r="E2375" t="s">
        <v>3802</v>
      </c>
      <c r="F2375" t="s">
        <v>3803</v>
      </c>
      <c r="G2375">
        <v>2</v>
      </c>
      <c r="H2375" t="s">
        <v>67</v>
      </c>
      <c r="I2375" s="2">
        <v>7000</v>
      </c>
    </row>
    <row r="2376" spans="1:9" x14ac:dyDescent="0.3">
      <c r="A2376" s="5">
        <v>8896</v>
      </c>
      <c r="B2376" s="5" t="s">
        <v>3804</v>
      </c>
      <c r="C2376" s="5">
        <v>2</v>
      </c>
      <c r="D2376" s="5" t="s">
        <v>261</v>
      </c>
      <c r="E2376" t="s">
        <v>3805</v>
      </c>
      <c r="F2376" t="s">
        <v>3806</v>
      </c>
      <c r="G2376">
        <v>2</v>
      </c>
      <c r="H2376" t="s">
        <v>264</v>
      </c>
      <c r="I2376" s="2">
        <v>6000</v>
      </c>
    </row>
    <row r="2377" spans="1:9" x14ac:dyDescent="0.3">
      <c r="A2377" s="5">
        <v>8896</v>
      </c>
      <c r="B2377" s="5" t="s">
        <v>3804</v>
      </c>
      <c r="C2377" s="5">
        <v>2</v>
      </c>
      <c r="D2377" s="5" t="s">
        <v>261</v>
      </c>
      <c r="E2377" t="s">
        <v>3805</v>
      </c>
      <c r="F2377" t="s">
        <v>3806</v>
      </c>
      <c r="G2377">
        <v>2</v>
      </c>
      <c r="H2377" t="s">
        <v>641</v>
      </c>
      <c r="I2377" s="2">
        <v>15000</v>
      </c>
    </row>
    <row r="2378" spans="1:9" x14ac:dyDescent="0.3">
      <c r="A2378" s="5">
        <v>8896</v>
      </c>
      <c r="B2378" s="5" t="s">
        <v>3804</v>
      </c>
      <c r="C2378" s="5">
        <v>2</v>
      </c>
      <c r="D2378" s="5" t="s">
        <v>261</v>
      </c>
      <c r="E2378" t="s">
        <v>3805</v>
      </c>
      <c r="F2378" t="s">
        <v>3806</v>
      </c>
      <c r="G2378">
        <v>2</v>
      </c>
      <c r="H2378" t="s">
        <v>265</v>
      </c>
      <c r="I2378" s="2">
        <v>7000</v>
      </c>
    </row>
    <row r="2379" spans="1:9" x14ac:dyDescent="0.3">
      <c r="A2379" s="5">
        <v>8894</v>
      </c>
      <c r="B2379" s="5" t="s">
        <v>3807</v>
      </c>
      <c r="C2379" s="5">
        <v>1</v>
      </c>
      <c r="D2379" s="5" t="s">
        <v>10</v>
      </c>
      <c r="E2379" t="s">
        <v>3808</v>
      </c>
      <c r="F2379" t="s">
        <v>3809</v>
      </c>
      <c r="G2379">
        <v>2</v>
      </c>
      <c r="H2379" t="s">
        <v>126</v>
      </c>
      <c r="I2379" s="2">
        <v>7000</v>
      </c>
    </row>
    <row r="2380" spans="1:9" x14ac:dyDescent="0.3">
      <c r="A2380" s="5">
        <v>8894</v>
      </c>
      <c r="B2380" s="5" t="s">
        <v>3807</v>
      </c>
      <c r="C2380" s="5">
        <v>1</v>
      </c>
      <c r="D2380" s="5" t="s">
        <v>10</v>
      </c>
      <c r="E2380" t="s">
        <v>3808</v>
      </c>
      <c r="F2380" t="s">
        <v>3809</v>
      </c>
      <c r="G2380">
        <v>2</v>
      </c>
      <c r="H2380" t="s">
        <v>139</v>
      </c>
      <c r="I2380" s="2">
        <v>7000</v>
      </c>
    </row>
    <row r="2381" spans="1:9" x14ac:dyDescent="0.3">
      <c r="A2381" s="5">
        <v>8893</v>
      </c>
      <c r="B2381" s="5" t="s">
        <v>3810</v>
      </c>
      <c r="C2381" s="5">
        <v>1</v>
      </c>
      <c r="D2381" s="5" t="s">
        <v>10</v>
      </c>
      <c r="E2381" t="s">
        <v>3811</v>
      </c>
      <c r="F2381" t="s">
        <v>3812</v>
      </c>
      <c r="G2381">
        <v>2</v>
      </c>
      <c r="H2381" t="s">
        <v>3813</v>
      </c>
      <c r="I2381" s="2">
        <v>6000</v>
      </c>
    </row>
    <row r="2382" spans="1:9" x14ac:dyDescent="0.3">
      <c r="A2382" s="5">
        <v>8893</v>
      </c>
      <c r="B2382" s="5" t="s">
        <v>3810</v>
      </c>
      <c r="C2382" s="5">
        <v>1</v>
      </c>
      <c r="D2382" s="5" t="s">
        <v>10</v>
      </c>
      <c r="E2382" t="s">
        <v>3811</v>
      </c>
      <c r="F2382" t="s">
        <v>3812</v>
      </c>
      <c r="G2382">
        <v>2</v>
      </c>
      <c r="H2382" t="s">
        <v>3814</v>
      </c>
      <c r="I2382" s="2">
        <v>6000</v>
      </c>
    </row>
    <row r="2383" spans="1:9" x14ac:dyDescent="0.3">
      <c r="A2383" s="5">
        <v>8893</v>
      </c>
      <c r="B2383" s="5" t="s">
        <v>3810</v>
      </c>
      <c r="C2383" s="5">
        <v>1</v>
      </c>
      <c r="D2383" s="5" t="s">
        <v>10</v>
      </c>
      <c r="E2383" t="s">
        <v>3811</v>
      </c>
      <c r="F2383" t="s">
        <v>3812</v>
      </c>
      <c r="G2383">
        <v>2</v>
      </c>
      <c r="H2383" t="s">
        <v>3815</v>
      </c>
      <c r="I2383" s="2">
        <v>7000</v>
      </c>
    </row>
    <row r="2384" spans="1:9" x14ac:dyDescent="0.3">
      <c r="A2384" s="5">
        <v>8890</v>
      </c>
      <c r="B2384" s="5" t="s">
        <v>3816</v>
      </c>
      <c r="C2384" s="5">
        <v>3</v>
      </c>
      <c r="D2384" s="5" t="s">
        <v>44</v>
      </c>
      <c r="E2384" t="s">
        <v>3817</v>
      </c>
      <c r="F2384" t="s">
        <v>3818</v>
      </c>
      <c r="G2384">
        <v>2</v>
      </c>
      <c r="H2384" t="s">
        <v>3816</v>
      </c>
      <c r="I2384" s="2">
        <v>16000</v>
      </c>
    </row>
    <row r="2385" spans="1:9" x14ac:dyDescent="0.3">
      <c r="A2385" s="5">
        <v>8889</v>
      </c>
      <c r="B2385" s="5" t="s">
        <v>3819</v>
      </c>
      <c r="C2385" s="5">
        <v>1</v>
      </c>
      <c r="D2385" s="5" t="s">
        <v>10</v>
      </c>
      <c r="E2385" t="s">
        <v>3820</v>
      </c>
      <c r="F2385" t="s">
        <v>3821</v>
      </c>
      <c r="G2385">
        <v>2</v>
      </c>
      <c r="H2385" t="s">
        <v>126</v>
      </c>
      <c r="I2385" s="2">
        <v>6000</v>
      </c>
    </row>
    <row r="2386" spans="1:9" x14ac:dyDescent="0.3">
      <c r="A2386" s="5">
        <v>8889</v>
      </c>
      <c r="B2386" s="5" t="s">
        <v>3819</v>
      </c>
      <c r="C2386" s="5">
        <v>1</v>
      </c>
      <c r="D2386" s="5" t="s">
        <v>10</v>
      </c>
      <c r="E2386" t="s">
        <v>3820</v>
      </c>
      <c r="F2386" t="s">
        <v>3821</v>
      </c>
      <c r="G2386">
        <v>2</v>
      </c>
      <c r="H2386" t="s">
        <v>139</v>
      </c>
      <c r="I2386" s="2">
        <v>6000</v>
      </c>
    </row>
    <row r="2387" spans="1:9" x14ac:dyDescent="0.3">
      <c r="A2387" s="5">
        <v>8889</v>
      </c>
      <c r="B2387" s="5" t="s">
        <v>3819</v>
      </c>
      <c r="C2387" s="5">
        <v>1</v>
      </c>
      <c r="D2387" s="5" t="s">
        <v>10</v>
      </c>
      <c r="E2387" t="s">
        <v>3820</v>
      </c>
      <c r="F2387" t="s">
        <v>3821</v>
      </c>
      <c r="G2387">
        <v>2</v>
      </c>
      <c r="H2387" t="s">
        <v>217</v>
      </c>
      <c r="I2387" s="2">
        <v>13000</v>
      </c>
    </row>
    <row r="2388" spans="1:9" x14ac:dyDescent="0.3">
      <c r="A2388" s="5">
        <v>8889</v>
      </c>
      <c r="B2388" s="5" t="s">
        <v>3819</v>
      </c>
      <c r="C2388" s="5">
        <v>1</v>
      </c>
      <c r="D2388" s="5" t="s">
        <v>10</v>
      </c>
      <c r="E2388" t="s">
        <v>3820</v>
      </c>
      <c r="F2388" t="s">
        <v>3821</v>
      </c>
      <c r="G2388">
        <v>2</v>
      </c>
      <c r="H2388" t="s">
        <v>217</v>
      </c>
      <c r="I2388" s="2">
        <v>13000</v>
      </c>
    </row>
    <row r="2389" spans="1:9" x14ac:dyDescent="0.3">
      <c r="A2389" s="5">
        <v>8884</v>
      </c>
      <c r="B2389" s="5" t="s">
        <v>3822</v>
      </c>
      <c r="C2389" s="5">
        <v>5</v>
      </c>
      <c r="D2389" s="5" t="s">
        <v>63</v>
      </c>
      <c r="E2389" t="s">
        <v>3823</v>
      </c>
      <c r="F2389" t="s">
        <v>3824</v>
      </c>
      <c r="G2389">
        <v>2</v>
      </c>
      <c r="H2389" t="s">
        <v>67</v>
      </c>
      <c r="I2389" s="2">
        <v>10000</v>
      </c>
    </row>
    <row r="2390" spans="1:9" x14ac:dyDescent="0.3">
      <c r="A2390" s="5">
        <v>8884</v>
      </c>
      <c r="B2390" s="5" t="s">
        <v>3822</v>
      </c>
      <c r="C2390" s="5">
        <v>5</v>
      </c>
      <c r="D2390" s="5" t="s">
        <v>63</v>
      </c>
      <c r="E2390" t="s">
        <v>3823</v>
      </c>
      <c r="F2390" t="s">
        <v>3824</v>
      </c>
      <c r="G2390">
        <v>2</v>
      </c>
      <c r="H2390" t="s">
        <v>88</v>
      </c>
      <c r="I2390" s="2">
        <v>30000</v>
      </c>
    </row>
    <row r="2391" spans="1:9" x14ac:dyDescent="0.3">
      <c r="A2391" s="5">
        <v>8884</v>
      </c>
      <c r="B2391" s="5" t="s">
        <v>3822</v>
      </c>
      <c r="C2391" s="5">
        <v>5</v>
      </c>
      <c r="D2391" s="5" t="s">
        <v>63</v>
      </c>
      <c r="E2391" t="s">
        <v>3823</v>
      </c>
      <c r="F2391" t="s">
        <v>3824</v>
      </c>
      <c r="G2391">
        <v>2</v>
      </c>
      <c r="H2391" t="s">
        <v>88</v>
      </c>
      <c r="I2391" s="2">
        <v>25000</v>
      </c>
    </row>
    <row r="2392" spans="1:9" x14ac:dyDescent="0.3">
      <c r="A2392" s="5">
        <v>8881</v>
      </c>
      <c r="B2392" s="5" t="s">
        <v>3825</v>
      </c>
      <c r="C2392" s="5">
        <v>5</v>
      </c>
      <c r="D2392" s="5" t="s">
        <v>63</v>
      </c>
      <c r="E2392" t="s">
        <v>3826</v>
      </c>
      <c r="F2392" t="s">
        <v>3827</v>
      </c>
      <c r="G2392">
        <v>2</v>
      </c>
      <c r="H2392" t="s">
        <v>88</v>
      </c>
      <c r="I2392" s="2">
        <v>35000</v>
      </c>
    </row>
    <row r="2393" spans="1:9" x14ac:dyDescent="0.3">
      <c r="A2393" s="5">
        <v>8881</v>
      </c>
      <c r="B2393" s="5" t="s">
        <v>3825</v>
      </c>
      <c r="C2393" s="5">
        <v>5</v>
      </c>
      <c r="D2393" s="5" t="s">
        <v>63</v>
      </c>
      <c r="E2393" t="s">
        <v>3826</v>
      </c>
      <c r="F2393" t="s">
        <v>3827</v>
      </c>
      <c r="G2393">
        <v>2</v>
      </c>
      <c r="H2393" t="s">
        <v>67</v>
      </c>
      <c r="I2393" s="2">
        <v>11000</v>
      </c>
    </row>
    <row r="2394" spans="1:9" x14ac:dyDescent="0.3">
      <c r="A2394" s="5">
        <v>8879</v>
      </c>
      <c r="B2394" s="5" t="s">
        <v>3828</v>
      </c>
      <c r="C2394" s="5">
        <v>5</v>
      </c>
      <c r="D2394" s="5" t="s">
        <v>63</v>
      </c>
      <c r="E2394" t="s">
        <v>3829</v>
      </c>
      <c r="F2394" t="s">
        <v>3830</v>
      </c>
      <c r="G2394">
        <v>4</v>
      </c>
      <c r="H2394" t="s">
        <v>563</v>
      </c>
      <c r="I2394" s="2">
        <v>7000</v>
      </c>
    </row>
    <row r="2395" spans="1:9" x14ac:dyDescent="0.3">
      <c r="A2395" s="5">
        <v>8879</v>
      </c>
      <c r="B2395" s="5" t="s">
        <v>3828</v>
      </c>
      <c r="C2395" s="5">
        <v>5</v>
      </c>
      <c r="D2395" s="5" t="s">
        <v>63</v>
      </c>
      <c r="E2395" t="s">
        <v>3829</v>
      </c>
      <c r="F2395" t="s">
        <v>3830</v>
      </c>
      <c r="G2395">
        <v>4</v>
      </c>
      <c r="H2395" t="s">
        <v>563</v>
      </c>
      <c r="I2395" s="2">
        <v>10000</v>
      </c>
    </row>
    <row r="2396" spans="1:9" x14ac:dyDescent="0.3">
      <c r="A2396" s="5">
        <v>8867</v>
      </c>
      <c r="B2396" s="5" t="s">
        <v>3831</v>
      </c>
      <c r="C2396" s="5">
        <v>13</v>
      </c>
      <c r="D2396" s="5" t="s">
        <v>27</v>
      </c>
      <c r="E2396" t="s">
        <v>3832</v>
      </c>
      <c r="F2396" t="s">
        <v>3833</v>
      </c>
      <c r="G2396">
        <v>2</v>
      </c>
      <c r="H2396" t="s">
        <v>3834</v>
      </c>
      <c r="I2396" s="2">
        <v>60000</v>
      </c>
    </row>
    <row r="2397" spans="1:9" x14ac:dyDescent="0.3">
      <c r="A2397" s="5">
        <v>8866</v>
      </c>
      <c r="B2397" s="5" t="s">
        <v>3835</v>
      </c>
      <c r="C2397" s="5">
        <v>1</v>
      </c>
      <c r="D2397" s="5" t="s">
        <v>10</v>
      </c>
      <c r="E2397" t="s">
        <v>3836</v>
      </c>
      <c r="F2397" t="s">
        <v>3837</v>
      </c>
      <c r="G2397">
        <v>2</v>
      </c>
      <c r="H2397" t="s">
        <v>581</v>
      </c>
      <c r="I2397" s="2">
        <v>2000</v>
      </c>
    </row>
    <row r="2398" spans="1:9" x14ac:dyDescent="0.3">
      <c r="A2398" s="5">
        <v>8866</v>
      </c>
      <c r="B2398" s="5" t="s">
        <v>3835</v>
      </c>
      <c r="C2398" s="5">
        <v>1</v>
      </c>
      <c r="D2398" s="5" t="s">
        <v>10</v>
      </c>
      <c r="E2398" t="s">
        <v>3836</v>
      </c>
      <c r="F2398" t="s">
        <v>3837</v>
      </c>
      <c r="G2398">
        <v>2</v>
      </c>
      <c r="H2398" t="s">
        <v>374</v>
      </c>
      <c r="I2398" s="2">
        <v>1000</v>
      </c>
    </row>
    <row r="2399" spans="1:9" x14ac:dyDescent="0.3">
      <c r="A2399" s="5">
        <v>8865</v>
      </c>
      <c r="B2399" s="5" t="s">
        <v>3838</v>
      </c>
      <c r="C2399" s="5">
        <v>1</v>
      </c>
      <c r="D2399" s="5" t="s">
        <v>10</v>
      </c>
      <c r="E2399" t="s">
        <v>3839</v>
      </c>
      <c r="F2399" t="s">
        <v>3840</v>
      </c>
      <c r="G2399">
        <v>2</v>
      </c>
      <c r="H2399" t="s">
        <v>188</v>
      </c>
      <c r="I2399" s="2">
        <v>8000</v>
      </c>
    </row>
    <row r="2400" spans="1:9" x14ac:dyDescent="0.3">
      <c r="A2400" s="5">
        <v>8865</v>
      </c>
      <c r="B2400" s="5" t="s">
        <v>3838</v>
      </c>
      <c r="C2400" s="5">
        <v>1</v>
      </c>
      <c r="D2400" s="5" t="s">
        <v>10</v>
      </c>
      <c r="E2400" t="s">
        <v>3839</v>
      </c>
      <c r="F2400" t="s">
        <v>3840</v>
      </c>
      <c r="G2400">
        <v>2</v>
      </c>
      <c r="H2400" t="s">
        <v>188</v>
      </c>
      <c r="I2400" s="2">
        <v>8000</v>
      </c>
    </row>
    <row r="2401" spans="1:9" x14ac:dyDescent="0.3">
      <c r="A2401" s="5">
        <v>8861</v>
      </c>
      <c r="B2401" s="5" t="s">
        <v>3841</v>
      </c>
      <c r="C2401" s="5">
        <v>1</v>
      </c>
      <c r="D2401" s="5" t="s">
        <v>10</v>
      </c>
      <c r="E2401" t="s">
        <v>3842</v>
      </c>
      <c r="F2401" t="s">
        <v>3843</v>
      </c>
      <c r="G2401">
        <v>2</v>
      </c>
      <c r="H2401" t="s">
        <v>217</v>
      </c>
      <c r="I2401" s="2">
        <v>12000</v>
      </c>
    </row>
    <row r="2402" spans="1:9" x14ac:dyDescent="0.3">
      <c r="A2402" s="5">
        <v>8861</v>
      </c>
      <c r="B2402" s="5" t="s">
        <v>3841</v>
      </c>
      <c r="C2402" s="5">
        <v>1</v>
      </c>
      <c r="D2402" s="5" t="s">
        <v>10</v>
      </c>
      <c r="E2402" t="s">
        <v>3842</v>
      </c>
      <c r="F2402" t="s">
        <v>3843</v>
      </c>
      <c r="G2402">
        <v>2</v>
      </c>
      <c r="H2402" t="s">
        <v>3844</v>
      </c>
      <c r="I2402" s="2">
        <v>7900</v>
      </c>
    </row>
    <row r="2403" spans="1:9" x14ac:dyDescent="0.3">
      <c r="A2403" s="5">
        <v>8861</v>
      </c>
      <c r="B2403" s="5" t="s">
        <v>3841</v>
      </c>
      <c r="C2403" s="5">
        <v>1</v>
      </c>
      <c r="D2403" s="5" t="s">
        <v>10</v>
      </c>
      <c r="E2403" t="s">
        <v>3842</v>
      </c>
      <c r="F2403" t="s">
        <v>3843</v>
      </c>
      <c r="G2403">
        <v>2</v>
      </c>
      <c r="H2403" t="s">
        <v>217</v>
      </c>
      <c r="I2403" s="2">
        <v>7900</v>
      </c>
    </row>
    <row r="2404" spans="1:9" x14ac:dyDescent="0.3">
      <c r="A2404" s="5">
        <v>8861</v>
      </c>
      <c r="B2404" s="5" t="s">
        <v>3841</v>
      </c>
      <c r="C2404" s="5">
        <v>1</v>
      </c>
      <c r="D2404" s="5" t="s">
        <v>10</v>
      </c>
      <c r="E2404" t="s">
        <v>3842</v>
      </c>
      <c r="F2404" t="s">
        <v>3843</v>
      </c>
      <c r="G2404">
        <v>2</v>
      </c>
      <c r="H2404" t="s">
        <v>3845</v>
      </c>
      <c r="I2404" s="2">
        <v>12000</v>
      </c>
    </row>
    <row r="2405" spans="1:9" x14ac:dyDescent="0.3">
      <c r="A2405" s="5">
        <v>8860</v>
      </c>
      <c r="B2405" s="5" t="s">
        <v>3846</v>
      </c>
      <c r="C2405" s="5">
        <v>1</v>
      </c>
      <c r="D2405" s="5" t="s">
        <v>10</v>
      </c>
      <c r="E2405" t="s">
        <v>3847</v>
      </c>
      <c r="F2405" t="s">
        <v>3848</v>
      </c>
      <c r="G2405">
        <v>2</v>
      </c>
      <c r="H2405" t="s">
        <v>1043</v>
      </c>
      <c r="I2405" s="2">
        <v>3500</v>
      </c>
    </row>
    <row r="2406" spans="1:9" x14ac:dyDescent="0.3">
      <c r="A2406" s="5">
        <v>8860</v>
      </c>
      <c r="B2406" s="5" t="s">
        <v>3846</v>
      </c>
      <c r="C2406" s="5">
        <v>1</v>
      </c>
      <c r="D2406" s="5" t="s">
        <v>10</v>
      </c>
      <c r="E2406" t="s">
        <v>3847</v>
      </c>
      <c r="F2406" t="s">
        <v>3848</v>
      </c>
      <c r="G2406">
        <v>2</v>
      </c>
      <c r="H2406" t="s">
        <v>1042</v>
      </c>
      <c r="I2406" s="2">
        <v>3000</v>
      </c>
    </row>
    <row r="2407" spans="1:9" x14ac:dyDescent="0.3">
      <c r="A2407" s="5">
        <v>8852</v>
      </c>
      <c r="B2407" s="5" t="s">
        <v>3849</v>
      </c>
      <c r="C2407" s="5">
        <v>1</v>
      </c>
      <c r="D2407" s="5" t="s">
        <v>10</v>
      </c>
      <c r="E2407" t="s">
        <v>3850</v>
      </c>
      <c r="F2407" t="s">
        <v>3851</v>
      </c>
      <c r="G2407">
        <v>2</v>
      </c>
      <c r="H2407" t="s">
        <v>21</v>
      </c>
      <c r="I2407" s="2">
        <v>3000</v>
      </c>
    </row>
    <row r="2408" spans="1:9" x14ac:dyDescent="0.3">
      <c r="A2408" s="5">
        <v>8852</v>
      </c>
      <c r="B2408" s="5" t="s">
        <v>3849</v>
      </c>
      <c r="C2408" s="5">
        <v>1</v>
      </c>
      <c r="D2408" s="5" t="s">
        <v>10</v>
      </c>
      <c r="E2408" t="s">
        <v>3850</v>
      </c>
      <c r="F2408" t="s">
        <v>3851</v>
      </c>
      <c r="G2408">
        <v>2</v>
      </c>
      <c r="H2408" t="s">
        <v>1042</v>
      </c>
      <c r="I2408" s="2">
        <v>4000</v>
      </c>
    </row>
    <row r="2409" spans="1:9" x14ac:dyDescent="0.3">
      <c r="A2409" s="5">
        <v>8851</v>
      </c>
      <c r="B2409" s="5" t="s">
        <v>3852</v>
      </c>
      <c r="C2409" s="5">
        <v>1</v>
      </c>
      <c r="D2409" s="5" t="s">
        <v>10</v>
      </c>
      <c r="E2409" t="s">
        <v>3853</v>
      </c>
      <c r="F2409" t="s">
        <v>3854</v>
      </c>
      <c r="G2409">
        <v>3</v>
      </c>
      <c r="H2409" t="s">
        <v>641</v>
      </c>
      <c r="I2409" s="2">
        <v>2000</v>
      </c>
    </row>
    <row r="2410" spans="1:9" x14ac:dyDescent="0.3">
      <c r="A2410" s="5">
        <v>8851</v>
      </c>
      <c r="B2410" s="5" t="s">
        <v>3852</v>
      </c>
      <c r="C2410" s="5">
        <v>1</v>
      </c>
      <c r="D2410" s="5" t="s">
        <v>10</v>
      </c>
      <c r="E2410" t="s">
        <v>3853</v>
      </c>
      <c r="F2410" t="s">
        <v>3854</v>
      </c>
      <c r="G2410">
        <v>3</v>
      </c>
      <c r="H2410" t="s">
        <v>3855</v>
      </c>
      <c r="I2410" s="2">
        <v>2000</v>
      </c>
    </row>
    <row r="2411" spans="1:9" x14ac:dyDescent="0.3">
      <c r="A2411" s="5">
        <v>8851</v>
      </c>
      <c r="B2411" s="5" t="s">
        <v>3852</v>
      </c>
      <c r="C2411" s="5">
        <v>1</v>
      </c>
      <c r="D2411" s="5" t="s">
        <v>10</v>
      </c>
      <c r="E2411" t="s">
        <v>3853</v>
      </c>
      <c r="F2411" t="s">
        <v>3854</v>
      </c>
      <c r="G2411">
        <v>3</v>
      </c>
      <c r="H2411" t="s">
        <v>641</v>
      </c>
      <c r="I2411" s="2">
        <v>3000</v>
      </c>
    </row>
    <row r="2412" spans="1:9" x14ac:dyDescent="0.3">
      <c r="A2412" s="5">
        <v>8850</v>
      </c>
      <c r="B2412" s="5" t="s">
        <v>3856</v>
      </c>
      <c r="C2412" s="5">
        <v>1</v>
      </c>
      <c r="D2412" s="5" t="s">
        <v>10</v>
      </c>
      <c r="E2412" t="s">
        <v>3857</v>
      </c>
      <c r="F2412" t="s">
        <v>3858</v>
      </c>
      <c r="G2412">
        <v>2</v>
      </c>
      <c r="H2412" t="s">
        <v>21</v>
      </c>
      <c r="I2412" s="2">
        <v>3500</v>
      </c>
    </row>
    <row r="2413" spans="1:9" x14ac:dyDescent="0.3">
      <c r="A2413" s="5">
        <v>8850</v>
      </c>
      <c r="B2413" s="5" t="s">
        <v>3856</v>
      </c>
      <c r="C2413" s="5">
        <v>1</v>
      </c>
      <c r="D2413" s="5" t="s">
        <v>10</v>
      </c>
      <c r="E2413" t="s">
        <v>3857</v>
      </c>
      <c r="F2413" t="s">
        <v>3858</v>
      </c>
      <c r="G2413">
        <v>2</v>
      </c>
      <c r="H2413" t="s">
        <v>3859</v>
      </c>
      <c r="I2413" s="2">
        <v>4000</v>
      </c>
    </row>
    <row r="2414" spans="1:9" x14ac:dyDescent="0.3">
      <c r="A2414" s="5">
        <v>8847</v>
      </c>
      <c r="B2414" s="5" t="s">
        <v>3860</v>
      </c>
      <c r="C2414" s="5">
        <v>1</v>
      </c>
      <c r="D2414" s="5" t="s">
        <v>10</v>
      </c>
      <c r="E2414" t="s">
        <v>3861</v>
      </c>
      <c r="F2414" t="s">
        <v>3862</v>
      </c>
      <c r="G2414">
        <v>2</v>
      </c>
      <c r="H2414" t="s">
        <v>84</v>
      </c>
      <c r="I2414" s="2">
        <v>4500</v>
      </c>
    </row>
    <row r="2415" spans="1:9" x14ac:dyDescent="0.3">
      <c r="A2415" s="5">
        <v>8847</v>
      </c>
      <c r="B2415" s="5" t="s">
        <v>3860</v>
      </c>
      <c r="C2415" s="5">
        <v>1</v>
      </c>
      <c r="D2415" s="5" t="s">
        <v>10</v>
      </c>
      <c r="E2415" t="s">
        <v>3861</v>
      </c>
      <c r="F2415" t="s">
        <v>3862</v>
      </c>
      <c r="G2415">
        <v>2</v>
      </c>
      <c r="H2415" t="s">
        <v>3863</v>
      </c>
      <c r="I2415" s="2">
        <v>3500</v>
      </c>
    </row>
    <row r="2416" spans="1:9" x14ac:dyDescent="0.3">
      <c r="A2416" s="5">
        <v>8847</v>
      </c>
      <c r="B2416" s="5" t="s">
        <v>3860</v>
      </c>
      <c r="C2416" s="5">
        <v>1</v>
      </c>
      <c r="D2416" s="5" t="s">
        <v>10</v>
      </c>
      <c r="E2416" t="s">
        <v>3861</v>
      </c>
      <c r="F2416" t="s">
        <v>3862</v>
      </c>
      <c r="G2416">
        <v>2</v>
      </c>
      <c r="H2416" t="s">
        <v>3864</v>
      </c>
      <c r="I2416" s="2">
        <v>3000</v>
      </c>
    </row>
    <row r="2417" spans="1:9" x14ac:dyDescent="0.3">
      <c r="A2417" s="5">
        <v>8842</v>
      </c>
      <c r="B2417" s="5" t="s">
        <v>3865</v>
      </c>
      <c r="C2417" s="5">
        <v>1</v>
      </c>
      <c r="D2417" s="5" t="s">
        <v>10</v>
      </c>
      <c r="E2417" t="s">
        <v>3866</v>
      </c>
      <c r="F2417" t="s">
        <v>3867</v>
      </c>
      <c r="G2417">
        <v>2</v>
      </c>
      <c r="H2417" t="s">
        <v>139</v>
      </c>
      <c r="I2417" s="2">
        <v>8500</v>
      </c>
    </row>
    <row r="2418" spans="1:9" x14ac:dyDescent="0.3">
      <c r="A2418" s="5">
        <v>8842</v>
      </c>
      <c r="B2418" s="5" t="s">
        <v>3865</v>
      </c>
      <c r="C2418" s="5">
        <v>1</v>
      </c>
      <c r="D2418" s="5" t="s">
        <v>10</v>
      </c>
      <c r="E2418" t="s">
        <v>3866</v>
      </c>
      <c r="F2418" t="s">
        <v>3867</v>
      </c>
      <c r="G2418">
        <v>2</v>
      </c>
      <c r="H2418" t="s">
        <v>126</v>
      </c>
      <c r="I2418" s="2">
        <v>8500</v>
      </c>
    </row>
    <row r="2419" spans="1:9" x14ac:dyDescent="0.3">
      <c r="A2419" s="5">
        <v>8842</v>
      </c>
      <c r="B2419" s="5" t="s">
        <v>3865</v>
      </c>
      <c r="C2419" s="5">
        <v>1</v>
      </c>
      <c r="D2419" s="5" t="s">
        <v>10</v>
      </c>
      <c r="E2419" t="s">
        <v>3866</v>
      </c>
      <c r="F2419" t="s">
        <v>3867</v>
      </c>
      <c r="G2419">
        <v>2</v>
      </c>
      <c r="H2419" t="s">
        <v>372</v>
      </c>
      <c r="I2419" s="2">
        <v>7500</v>
      </c>
    </row>
    <row r="2420" spans="1:9" x14ac:dyDescent="0.3">
      <c r="A2420" s="5">
        <v>8836</v>
      </c>
      <c r="B2420" s="5" t="s">
        <v>3868</v>
      </c>
      <c r="C2420" s="5">
        <v>1</v>
      </c>
      <c r="D2420" s="5" t="s">
        <v>10</v>
      </c>
      <c r="E2420" t="s">
        <v>3869</v>
      </c>
      <c r="F2420" t="s">
        <v>3870</v>
      </c>
      <c r="G2420">
        <v>2</v>
      </c>
      <c r="H2420" t="s">
        <v>3871</v>
      </c>
      <c r="I2420" s="2">
        <v>6000</v>
      </c>
    </row>
    <row r="2421" spans="1:9" x14ac:dyDescent="0.3">
      <c r="A2421" s="5">
        <v>8836</v>
      </c>
      <c r="B2421" s="5" t="s">
        <v>3868</v>
      </c>
      <c r="C2421" s="5">
        <v>1</v>
      </c>
      <c r="D2421" s="5" t="s">
        <v>10</v>
      </c>
      <c r="E2421" t="s">
        <v>3869</v>
      </c>
      <c r="F2421" t="s">
        <v>3870</v>
      </c>
      <c r="G2421">
        <v>2</v>
      </c>
      <c r="H2421" t="s">
        <v>128</v>
      </c>
      <c r="I2421" s="2">
        <v>7000</v>
      </c>
    </row>
    <row r="2422" spans="1:9" x14ac:dyDescent="0.3">
      <c r="A2422" s="5">
        <v>8832</v>
      </c>
      <c r="B2422" s="5" t="s">
        <v>3872</v>
      </c>
      <c r="C2422" s="5">
        <v>1</v>
      </c>
      <c r="D2422" s="5" t="s">
        <v>10</v>
      </c>
      <c r="E2422" t="s">
        <v>3873</v>
      </c>
      <c r="F2422" t="s">
        <v>3874</v>
      </c>
      <c r="G2422">
        <v>2</v>
      </c>
      <c r="H2422" t="s">
        <v>3875</v>
      </c>
      <c r="I2422" s="2">
        <v>8000</v>
      </c>
    </row>
    <row r="2423" spans="1:9" x14ac:dyDescent="0.3">
      <c r="A2423" s="5">
        <v>8832</v>
      </c>
      <c r="B2423" s="5" t="s">
        <v>3872</v>
      </c>
      <c r="C2423" s="5">
        <v>1</v>
      </c>
      <c r="D2423" s="5" t="s">
        <v>10</v>
      </c>
      <c r="E2423" t="s">
        <v>3873</v>
      </c>
      <c r="F2423" t="s">
        <v>3874</v>
      </c>
      <c r="G2423">
        <v>2</v>
      </c>
      <c r="H2423" t="s">
        <v>139</v>
      </c>
      <c r="I2423" s="2">
        <v>6000</v>
      </c>
    </row>
    <row r="2424" spans="1:9" x14ac:dyDescent="0.3">
      <c r="A2424" s="5">
        <v>8832</v>
      </c>
      <c r="B2424" s="5" t="s">
        <v>3872</v>
      </c>
      <c r="C2424" s="5">
        <v>1</v>
      </c>
      <c r="D2424" s="5" t="s">
        <v>10</v>
      </c>
      <c r="E2424" t="s">
        <v>3873</v>
      </c>
      <c r="F2424" t="s">
        <v>3874</v>
      </c>
      <c r="G2424">
        <v>2</v>
      </c>
      <c r="H2424" t="s">
        <v>126</v>
      </c>
      <c r="I2424" s="2">
        <v>5000</v>
      </c>
    </row>
    <row r="2425" spans="1:9" x14ac:dyDescent="0.3">
      <c r="A2425" s="5">
        <v>8829</v>
      </c>
      <c r="B2425" s="5" t="s">
        <v>3876</v>
      </c>
      <c r="C2425" s="5">
        <v>7</v>
      </c>
      <c r="D2425" s="5" t="s">
        <v>360</v>
      </c>
      <c r="E2425" t="s">
        <v>3877</v>
      </c>
      <c r="F2425" t="s">
        <v>3878</v>
      </c>
      <c r="G2425">
        <v>2</v>
      </c>
      <c r="H2425" t="s">
        <v>3879</v>
      </c>
      <c r="I2425" s="2">
        <v>8000</v>
      </c>
    </row>
    <row r="2426" spans="1:9" x14ac:dyDescent="0.3">
      <c r="A2426" s="5">
        <v>8826</v>
      </c>
      <c r="B2426" s="5" t="s">
        <v>3880</v>
      </c>
      <c r="C2426" s="5">
        <v>5</v>
      </c>
      <c r="D2426" s="5" t="s">
        <v>63</v>
      </c>
      <c r="E2426" t="s">
        <v>3881</v>
      </c>
      <c r="F2426" t="s">
        <v>3882</v>
      </c>
      <c r="G2426">
        <v>2</v>
      </c>
      <c r="H2426" t="s">
        <v>88</v>
      </c>
      <c r="I2426" s="2">
        <v>25000</v>
      </c>
    </row>
    <row r="2427" spans="1:9" x14ac:dyDescent="0.3">
      <c r="A2427" s="5">
        <v>8826</v>
      </c>
      <c r="B2427" s="5" t="s">
        <v>3880</v>
      </c>
      <c r="C2427" s="5">
        <v>5</v>
      </c>
      <c r="D2427" s="5" t="s">
        <v>63</v>
      </c>
      <c r="E2427" t="s">
        <v>3881</v>
      </c>
      <c r="F2427" t="s">
        <v>3882</v>
      </c>
      <c r="G2427">
        <v>2</v>
      </c>
      <c r="H2427" t="s">
        <v>88</v>
      </c>
      <c r="I2427" s="2">
        <v>20000</v>
      </c>
    </row>
    <row r="2428" spans="1:9" x14ac:dyDescent="0.3">
      <c r="A2428" s="5">
        <v>8826</v>
      </c>
      <c r="B2428" s="5" t="s">
        <v>3880</v>
      </c>
      <c r="C2428" s="5">
        <v>5</v>
      </c>
      <c r="D2428" s="5" t="s">
        <v>63</v>
      </c>
      <c r="E2428" t="s">
        <v>3881</v>
      </c>
      <c r="F2428" t="s">
        <v>3882</v>
      </c>
      <c r="G2428">
        <v>2</v>
      </c>
      <c r="H2428" t="s">
        <v>67</v>
      </c>
      <c r="I2428" s="2">
        <v>8000</v>
      </c>
    </row>
    <row r="2429" spans="1:9" x14ac:dyDescent="0.3">
      <c r="A2429" s="5">
        <v>8825</v>
      </c>
      <c r="B2429" s="5" t="s">
        <v>3883</v>
      </c>
      <c r="C2429" s="5">
        <v>1</v>
      </c>
      <c r="D2429" s="5" t="s">
        <v>10</v>
      </c>
      <c r="E2429" t="s">
        <v>3884</v>
      </c>
      <c r="F2429" t="s">
        <v>3885</v>
      </c>
      <c r="G2429">
        <v>2</v>
      </c>
      <c r="H2429" t="s">
        <v>143</v>
      </c>
      <c r="I2429" s="2">
        <v>6000</v>
      </c>
    </row>
    <row r="2430" spans="1:9" x14ac:dyDescent="0.3">
      <c r="A2430" s="5">
        <v>8824</v>
      </c>
      <c r="B2430" s="5" t="s">
        <v>3886</v>
      </c>
      <c r="C2430" s="5">
        <v>5</v>
      </c>
      <c r="D2430" s="5" t="s">
        <v>63</v>
      </c>
      <c r="E2430" t="s">
        <v>3887</v>
      </c>
      <c r="F2430" t="s">
        <v>3888</v>
      </c>
      <c r="G2430">
        <v>4</v>
      </c>
      <c r="H2430" t="s">
        <v>67</v>
      </c>
      <c r="I2430" s="2">
        <v>7000</v>
      </c>
    </row>
    <row r="2431" spans="1:9" x14ac:dyDescent="0.3">
      <c r="A2431" s="5">
        <v>8824</v>
      </c>
      <c r="B2431" s="5" t="s">
        <v>3886</v>
      </c>
      <c r="C2431" s="5">
        <v>5</v>
      </c>
      <c r="D2431" s="5" t="s">
        <v>63</v>
      </c>
      <c r="E2431" t="s">
        <v>3887</v>
      </c>
      <c r="F2431" t="s">
        <v>3888</v>
      </c>
      <c r="G2431">
        <v>4</v>
      </c>
      <c r="H2431" t="s">
        <v>88</v>
      </c>
      <c r="I2431" s="2">
        <v>20000</v>
      </c>
    </row>
    <row r="2432" spans="1:9" x14ac:dyDescent="0.3">
      <c r="A2432" s="5">
        <v>8821</v>
      </c>
      <c r="B2432" s="5" t="s">
        <v>1861</v>
      </c>
      <c r="C2432" s="5">
        <v>1</v>
      </c>
      <c r="D2432" s="5" t="s">
        <v>10</v>
      </c>
      <c r="E2432" t="s">
        <v>3889</v>
      </c>
      <c r="F2432" t="s">
        <v>1863</v>
      </c>
      <c r="G2432">
        <v>2</v>
      </c>
      <c r="H2432" t="s">
        <v>21</v>
      </c>
      <c r="I2432" s="2">
        <v>4000</v>
      </c>
    </row>
    <row r="2433" spans="1:9" x14ac:dyDescent="0.3">
      <c r="A2433" s="5">
        <v>8821</v>
      </c>
      <c r="B2433" s="5" t="s">
        <v>1861</v>
      </c>
      <c r="C2433" s="5">
        <v>1</v>
      </c>
      <c r="D2433" s="5" t="s">
        <v>10</v>
      </c>
      <c r="E2433" t="s">
        <v>3889</v>
      </c>
      <c r="F2433" t="s">
        <v>1863</v>
      </c>
      <c r="G2433">
        <v>2</v>
      </c>
      <c r="H2433" t="s">
        <v>175</v>
      </c>
      <c r="I2433" s="2">
        <v>4000</v>
      </c>
    </row>
    <row r="2434" spans="1:9" x14ac:dyDescent="0.3">
      <c r="A2434" s="5">
        <v>8821</v>
      </c>
      <c r="B2434" s="5" t="s">
        <v>1861</v>
      </c>
      <c r="C2434" s="5">
        <v>1</v>
      </c>
      <c r="D2434" s="5" t="s">
        <v>10</v>
      </c>
      <c r="E2434" t="s">
        <v>3889</v>
      </c>
      <c r="F2434" t="s">
        <v>1863</v>
      </c>
      <c r="G2434">
        <v>2</v>
      </c>
      <c r="H2434" t="s">
        <v>229</v>
      </c>
      <c r="I2434" s="2">
        <v>5000</v>
      </c>
    </row>
    <row r="2435" spans="1:9" x14ac:dyDescent="0.3">
      <c r="A2435" s="5">
        <v>8818</v>
      </c>
      <c r="B2435" s="5" t="s">
        <v>3890</v>
      </c>
      <c r="C2435" s="5">
        <v>1</v>
      </c>
      <c r="D2435" s="5" t="s">
        <v>10</v>
      </c>
      <c r="E2435" t="s">
        <v>3891</v>
      </c>
      <c r="F2435" t="s">
        <v>3892</v>
      </c>
      <c r="G2435">
        <v>3</v>
      </c>
      <c r="H2435" t="s">
        <v>3893</v>
      </c>
      <c r="I2435" s="2">
        <v>23000</v>
      </c>
    </row>
    <row r="2436" spans="1:9" x14ac:dyDescent="0.3">
      <c r="A2436" s="5">
        <v>8818</v>
      </c>
      <c r="B2436" s="5" t="s">
        <v>3890</v>
      </c>
      <c r="C2436" s="5">
        <v>1</v>
      </c>
      <c r="D2436" s="5" t="s">
        <v>10</v>
      </c>
      <c r="E2436" t="s">
        <v>3891</v>
      </c>
      <c r="F2436" t="s">
        <v>3892</v>
      </c>
      <c r="G2436">
        <v>3</v>
      </c>
      <c r="H2436" t="s">
        <v>3894</v>
      </c>
      <c r="I2436" s="2">
        <v>7000</v>
      </c>
    </row>
    <row r="2437" spans="1:9" x14ac:dyDescent="0.3">
      <c r="A2437" s="5">
        <v>8818</v>
      </c>
      <c r="B2437" s="5" t="s">
        <v>3890</v>
      </c>
      <c r="C2437" s="5">
        <v>1</v>
      </c>
      <c r="D2437" s="5" t="s">
        <v>10</v>
      </c>
      <c r="E2437" t="s">
        <v>3891</v>
      </c>
      <c r="F2437" t="s">
        <v>3892</v>
      </c>
      <c r="G2437">
        <v>3</v>
      </c>
      <c r="H2437" t="s">
        <v>3895</v>
      </c>
      <c r="I2437" s="2">
        <v>9000</v>
      </c>
    </row>
    <row r="2438" spans="1:9" x14ac:dyDescent="0.3">
      <c r="A2438" s="5">
        <v>8817</v>
      </c>
      <c r="B2438" s="5" t="s">
        <v>3896</v>
      </c>
      <c r="C2438" s="5">
        <v>1</v>
      </c>
      <c r="D2438" s="5" t="s">
        <v>10</v>
      </c>
      <c r="E2438" t="s">
        <v>3897</v>
      </c>
      <c r="F2438" t="s">
        <v>3898</v>
      </c>
      <c r="G2438">
        <v>2</v>
      </c>
      <c r="H2438" t="s">
        <v>1206</v>
      </c>
      <c r="I2438" s="2">
        <v>8000</v>
      </c>
    </row>
    <row r="2439" spans="1:9" x14ac:dyDescent="0.3">
      <c r="A2439" s="5">
        <v>8817</v>
      </c>
      <c r="B2439" s="5" t="s">
        <v>3896</v>
      </c>
      <c r="C2439" s="5">
        <v>1</v>
      </c>
      <c r="D2439" s="5" t="s">
        <v>10</v>
      </c>
      <c r="E2439" t="s">
        <v>3897</v>
      </c>
      <c r="F2439" t="s">
        <v>3898</v>
      </c>
      <c r="G2439">
        <v>2</v>
      </c>
      <c r="H2439" t="s">
        <v>3899</v>
      </c>
      <c r="I2439" s="2">
        <v>8000</v>
      </c>
    </row>
    <row r="2440" spans="1:9" x14ac:dyDescent="0.3">
      <c r="A2440" s="5">
        <v>8817</v>
      </c>
      <c r="B2440" s="5" t="s">
        <v>3896</v>
      </c>
      <c r="C2440" s="5">
        <v>1</v>
      </c>
      <c r="D2440" s="5" t="s">
        <v>10</v>
      </c>
      <c r="E2440" t="s">
        <v>3897</v>
      </c>
      <c r="F2440" t="s">
        <v>3898</v>
      </c>
      <c r="G2440">
        <v>2</v>
      </c>
      <c r="H2440" t="s">
        <v>159</v>
      </c>
      <c r="I2440" s="2">
        <v>8000</v>
      </c>
    </row>
    <row r="2441" spans="1:9" x14ac:dyDescent="0.3">
      <c r="A2441" s="5">
        <v>8816</v>
      </c>
      <c r="B2441" s="5" t="s">
        <v>3900</v>
      </c>
      <c r="C2441" s="5">
        <v>5</v>
      </c>
      <c r="D2441" s="5" t="s">
        <v>63</v>
      </c>
      <c r="E2441" t="s">
        <v>3901</v>
      </c>
      <c r="F2441" t="s">
        <v>3902</v>
      </c>
      <c r="G2441">
        <v>3</v>
      </c>
      <c r="H2441" t="s">
        <v>2142</v>
      </c>
      <c r="I2441" s="2">
        <v>8000</v>
      </c>
    </row>
    <row r="2442" spans="1:9" x14ac:dyDescent="0.3">
      <c r="A2442" s="5">
        <v>8816</v>
      </c>
      <c r="B2442" s="5" t="s">
        <v>3900</v>
      </c>
      <c r="C2442" s="5">
        <v>5</v>
      </c>
      <c r="D2442" s="5" t="s">
        <v>63</v>
      </c>
      <c r="E2442" t="s">
        <v>3901</v>
      </c>
      <c r="F2442" t="s">
        <v>3902</v>
      </c>
      <c r="G2442">
        <v>3</v>
      </c>
      <c r="H2442" t="s">
        <v>2143</v>
      </c>
      <c r="I2442" s="2">
        <v>15000</v>
      </c>
    </row>
    <row r="2443" spans="1:9" x14ac:dyDescent="0.3">
      <c r="A2443" s="5">
        <v>8816</v>
      </c>
      <c r="B2443" s="5" t="s">
        <v>3900</v>
      </c>
      <c r="C2443" s="5">
        <v>5</v>
      </c>
      <c r="D2443" s="5" t="s">
        <v>63</v>
      </c>
      <c r="E2443" t="s">
        <v>3901</v>
      </c>
      <c r="F2443" t="s">
        <v>3902</v>
      </c>
      <c r="G2443">
        <v>3</v>
      </c>
      <c r="H2443" t="s">
        <v>88</v>
      </c>
      <c r="I2443" s="2">
        <v>40000</v>
      </c>
    </row>
    <row r="2444" spans="1:9" x14ac:dyDescent="0.3">
      <c r="A2444" s="5">
        <v>8815</v>
      </c>
      <c r="B2444" s="5" t="s">
        <v>3903</v>
      </c>
      <c r="C2444" s="5">
        <v>5</v>
      </c>
      <c r="D2444" s="5" t="s">
        <v>63</v>
      </c>
      <c r="E2444" t="s">
        <v>3904</v>
      </c>
      <c r="F2444" t="s">
        <v>3905</v>
      </c>
      <c r="G2444">
        <v>2</v>
      </c>
      <c r="H2444" t="s">
        <v>67</v>
      </c>
      <c r="I2444" s="2">
        <v>7000</v>
      </c>
    </row>
    <row r="2445" spans="1:9" x14ac:dyDescent="0.3">
      <c r="A2445" s="5">
        <v>8815</v>
      </c>
      <c r="B2445" s="5" t="s">
        <v>3903</v>
      </c>
      <c r="C2445" s="5">
        <v>5</v>
      </c>
      <c r="D2445" s="5" t="s">
        <v>63</v>
      </c>
      <c r="E2445" t="s">
        <v>3904</v>
      </c>
      <c r="F2445" t="s">
        <v>3905</v>
      </c>
      <c r="G2445">
        <v>2</v>
      </c>
      <c r="H2445" t="s">
        <v>1285</v>
      </c>
      <c r="I2445" s="2">
        <v>25000</v>
      </c>
    </row>
    <row r="2446" spans="1:9" x14ac:dyDescent="0.3">
      <c r="A2446" s="5">
        <v>8812</v>
      </c>
      <c r="B2446" s="5" t="s">
        <v>3906</v>
      </c>
      <c r="C2446" s="5">
        <v>1</v>
      </c>
      <c r="D2446" s="5" t="s">
        <v>10</v>
      </c>
      <c r="E2446" t="s">
        <v>3907</v>
      </c>
      <c r="F2446" t="s">
        <v>3908</v>
      </c>
      <c r="G2446">
        <v>2</v>
      </c>
      <c r="H2446" t="s">
        <v>1042</v>
      </c>
      <c r="I2446" s="2">
        <v>7000</v>
      </c>
    </row>
    <row r="2447" spans="1:9" x14ac:dyDescent="0.3">
      <c r="A2447" s="5">
        <v>8812</v>
      </c>
      <c r="B2447" s="5" t="s">
        <v>3906</v>
      </c>
      <c r="C2447" s="5">
        <v>1</v>
      </c>
      <c r="D2447" s="5" t="s">
        <v>10</v>
      </c>
      <c r="E2447" t="s">
        <v>3907</v>
      </c>
      <c r="F2447" t="s">
        <v>3908</v>
      </c>
      <c r="G2447">
        <v>2</v>
      </c>
      <c r="H2447" t="s">
        <v>1047</v>
      </c>
      <c r="I2447" s="2">
        <v>14000</v>
      </c>
    </row>
    <row r="2448" spans="1:9" x14ac:dyDescent="0.3">
      <c r="A2448" s="5">
        <v>8809</v>
      </c>
      <c r="B2448" s="5" t="s">
        <v>3909</v>
      </c>
      <c r="C2448" s="5">
        <v>1</v>
      </c>
      <c r="D2448" s="5" t="s">
        <v>10</v>
      </c>
      <c r="E2448" t="s">
        <v>3910</v>
      </c>
      <c r="F2448" t="s">
        <v>3911</v>
      </c>
      <c r="G2448">
        <v>2</v>
      </c>
      <c r="H2448" t="s">
        <v>1042</v>
      </c>
      <c r="I2448" s="2">
        <v>8000</v>
      </c>
    </row>
    <row r="2449" spans="1:9" x14ac:dyDescent="0.3">
      <c r="A2449" s="5">
        <v>8809</v>
      </c>
      <c r="B2449" s="5" t="s">
        <v>3909</v>
      </c>
      <c r="C2449" s="5">
        <v>1</v>
      </c>
      <c r="D2449" s="5" t="s">
        <v>10</v>
      </c>
      <c r="E2449" t="s">
        <v>3910</v>
      </c>
      <c r="F2449" t="s">
        <v>3911</v>
      </c>
      <c r="G2449">
        <v>2</v>
      </c>
      <c r="H2449" t="s">
        <v>139</v>
      </c>
      <c r="I2449" s="2">
        <v>8000</v>
      </c>
    </row>
    <row r="2450" spans="1:9" x14ac:dyDescent="0.3">
      <c r="A2450" s="5">
        <v>8807</v>
      </c>
      <c r="B2450" s="5" t="s">
        <v>3912</v>
      </c>
      <c r="C2450" s="5">
        <v>3</v>
      </c>
      <c r="D2450" s="5" t="s">
        <v>44</v>
      </c>
      <c r="E2450" t="s">
        <v>3913</v>
      </c>
      <c r="F2450" t="s">
        <v>3914</v>
      </c>
      <c r="G2450">
        <v>2</v>
      </c>
      <c r="H2450" t="s">
        <v>304</v>
      </c>
      <c r="I2450" s="2">
        <v>7500</v>
      </c>
    </row>
    <row r="2451" spans="1:9" x14ac:dyDescent="0.3">
      <c r="A2451" s="5">
        <v>8806</v>
      </c>
      <c r="B2451" s="5" t="s">
        <v>3915</v>
      </c>
      <c r="C2451" s="5">
        <v>1</v>
      </c>
      <c r="D2451" s="5" t="s">
        <v>10</v>
      </c>
      <c r="E2451" t="s">
        <v>3916</v>
      </c>
      <c r="F2451" t="s">
        <v>3917</v>
      </c>
      <c r="G2451">
        <v>2</v>
      </c>
      <c r="H2451" t="s">
        <v>3918</v>
      </c>
      <c r="I2451" s="2">
        <v>6000</v>
      </c>
    </row>
    <row r="2452" spans="1:9" x14ac:dyDescent="0.3">
      <c r="A2452" s="5">
        <v>8806</v>
      </c>
      <c r="B2452" s="5" t="s">
        <v>3915</v>
      </c>
      <c r="C2452" s="5">
        <v>1</v>
      </c>
      <c r="D2452" s="5" t="s">
        <v>10</v>
      </c>
      <c r="E2452" t="s">
        <v>3916</v>
      </c>
      <c r="F2452" t="s">
        <v>3917</v>
      </c>
      <c r="G2452">
        <v>2</v>
      </c>
      <c r="H2452" t="s">
        <v>1524</v>
      </c>
      <c r="I2452" s="2">
        <v>14000</v>
      </c>
    </row>
    <row r="2453" spans="1:9" x14ac:dyDescent="0.3">
      <c r="A2453" s="5">
        <v>8806</v>
      </c>
      <c r="B2453" s="5" t="s">
        <v>3915</v>
      </c>
      <c r="C2453" s="5">
        <v>1</v>
      </c>
      <c r="D2453" s="5" t="s">
        <v>10</v>
      </c>
      <c r="E2453" t="s">
        <v>3916</v>
      </c>
      <c r="F2453" t="s">
        <v>3917</v>
      </c>
      <c r="G2453">
        <v>2</v>
      </c>
      <c r="H2453" t="s">
        <v>13</v>
      </c>
      <c r="I2453" s="2">
        <v>12600</v>
      </c>
    </row>
    <row r="2454" spans="1:9" x14ac:dyDescent="0.3">
      <c r="A2454" s="5">
        <v>8806</v>
      </c>
      <c r="B2454" s="5" t="s">
        <v>3915</v>
      </c>
      <c r="C2454" s="5">
        <v>1</v>
      </c>
      <c r="D2454" s="5" t="s">
        <v>10</v>
      </c>
      <c r="E2454" t="s">
        <v>3916</v>
      </c>
      <c r="F2454" t="s">
        <v>3917</v>
      </c>
      <c r="G2454">
        <v>2</v>
      </c>
      <c r="H2454" t="s">
        <v>3284</v>
      </c>
      <c r="I2454" s="2">
        <v>6000</v>
      </c>
    </row>
    <row r="2455" spans="1:9" x14ac:dyDescent="0.3">
      <c r="A2455" s="5">
        <v>8805</v>
      </c>
      <c r="B2455" s="5" t="s">
        <v>3919</v>
      </c>
      <c r="C2455" s="5">
        <v>1</v>
      </c>
      <c r="D2455" s="5" t="s">
        <v>10</v>
      </c>
      <c r="E2455" t="s">
        <v>3920</v>
      </c>
      <c r="F2455" t="s">
        <v>3921</v>
      </c>
      <c r="G2455">
        <v>2</v>
      </c>
      <c r="H2455" t="s">
        <v>304</v>
      </c>
      <c r="I2455" s="2">
        <v>3000</v>
      </c>
    </row>
    <row r="2456" spans="1:9" x14ac:dyDescent="0.3">
      <c r="A2456" s="5">
        <v>8800</v>
      </c>
      <c r="B2456" s="5" t="s">
        <v>3922</v>
      </c>
      <c r="C2456" s="5">
        <v>1</v>
      </c>
      <c r="D2456" s="5" t="s">
        <v>10</v>
      </c>
      <c r="E2456" t="s">
        <v>3923</v>
      </c>
      <c r="F2456" t="s">
        <v>3924</v>
      </c>
      <c r="G2456">
        <v>3</v>
      </c>
      <c r="H2456" t="s">
        <v>37</v>
      </c>
      <c r="I2456" s="2">
        <v>4000</v>
      </c>
    </row>
    <row r="2457" spans="1:9" x14ac:dyDescent="0.3">
      <c r="A2457" s="5">
        <v>8799</v>
      </c>
      <c r="B2457" s="5" t="s">
        <v>3925</v>
      </c>
      <c r="C2457" s="5">
        <v>1</v>
      </c>
      <c r="D2457" s="5" t="s">
        <v>10</v>
      </c>
      <c r="E2457" t="s">
        <v>3926</v>
      </c>
      <c r="F2457" t="s">
        <v>3927</v>
      </c>
      <c r="G2457">
        <v>2</v>
      </c>
      <c r="H2457" t="s">
        <v>188</v>
      </c>
      <c r="I2457" s="2">
        <v>6000</v>
      </c>
    </row>
    <row r="2458" spans="1:9" x14ac:dyDescent="0.3">
      <c r="A2458" s="5">
        <v>8799</v>
      </c>
      <c r="B2458" s="5" t="s">
        <v>3925</v>
      </c>
      <c r="C2458" s="5">
        <v>1</v>
      </c>
      <c r="D2458" s="5" t="s">
        <v>10</v>
      </c>
      <c r="E2458" t="s">
        <v>3926</v>
      </c>
      <c r="F2458" t="s">
        <v>3927</v>
      </c>
      <c r="G2458">
        <v>2</v>
      </c>
      <c r="H2458" t="s">
        <v>3284</v>
      </c>
      <c r="I2458" s="2">
        <v>8000</v>
      </c>
    </row>
    <row r="2459" spans="1:9" x14ac:dyDescent="0.3">
      <c r="A2459" s="5">
        <v>8796</v>
      </c>
      <c r="B2459" s="5" t="s">
        <v>206</v>
      </c>
      <c r="C2459" s="5">
        <v>1</v>
      </c>
      <c r="D2459" s="5" t="s">
        <v>10</v>
      </c>
      <c r="E2459" t="s">
        <v>3928</v>
      </c>
      <c r="F2459" t="s">
        <v>3929</v>
      </c>
      <c r="G2459">
        <v>2</v>
      </c>
      <c r="H2459" t="s">
        <v>229</v>
      </c>
      <c r="I2459" s="2">
        <v>4500</v>
      </c>
    </row>
    <row r="2460" spans="1:9" x14ac:dyDescent="0.3">
      <c r="A2460" s="5">
        <v>8796</v>
      </c>
      <c r="B2460" s="5" t="s">
        <v>206</v>
      </c>
      <c r="C2460" s="5">
        <v>1</v>
      </c>
      <c r="D2460" s="5" t="s">
        <v>10</v>
      </c>
      <c r="E2460" t="s">
        <v>3928</v>
      </c>
      <c r="F2460" t="s">
        <v>3929</v>
      </c>
      <c r="G2460">
        <v>2</v>
      </c>
      <c r="H2460" t="s">
        <v>21</v>
      </c>
      <c r="I2460" s="2">
        <v>4500</v>
      </c>
    </row>
    <row r="2461" spans="1:9" x14ac:dyDescent="0.3">
      <c r="A2461" s="5">
        <v>8795</v>
      </c>
      <c r="B2461" s="5" t="s">
        <v>3930</v>
      </c>
      <c r="C2461" s="5">
        <v>5</v>
      </c>
      <c r="D2461" s="5" t="s">
        <v>63</v>
      </c>
      <c r="E2461" t="s">
        <v>3931</v>
      </c>
      <c r="F2461" t="s">
        <v>3932</v>
      </c>
      <c r="G2461">
        <v>2</v>
      </c>
      <c r="H2461" t="s">
        <v>88</v>
      </c>
      <c r="I2461" s="2">
        <v>20000</v>
      </c>
    </row>
    <row r="2462" spans="1:9" x14ac:dyDescent="0.3">
      <c r="A2462" s="5">
        <v>8795</v>
      </c>
      <c r="B2462" s="5" t="s">
        <v>3930</v>
      </c>
      <c r="C2462" s="5">
        <v>5</v>
      </c>
      <c r="D2462" s="5" t="s">
        <v>63</v>
      </c>
      <c r="E2462" t="s">
        <v>3931</v>
      </c>
      <c r="F2462" t="s">
        <v>3932</v>
      </c>
      <c r="G2462">
        <v>2</v>
      </c>
      <c r="H2462" t="s">
        <v>67</v>
      </c>
      <c r="I2462" s="2">
        <v>5000</v>
      </c>
    </row>
    <row r="2463" spans="1:9" x14ac:dyDescent="0.3">
      <c r="A2463" s="5">
        <v>8794</v>
      </c>
      <c r="B2463" s="5" t="s">
        <v>3933</v>
      </c>
      <c r="C2463" s="5">
        <v>1</v>
      </c>
      <c r="D2463" s="5" t="s">
        <v>10</v>
      </c>
      <c r="E2463" t="s">
        <v>3934</v>
      </c>
      <c r="F2463" t="s">
        <v>3935</v>
      </c>
      <c r="G2463">
        <v>2</v>
      </c>
      <c r="H2463" t="s">
        <v>3936</v>
      </c>
      <c r="I2463" s="2">
        <v>2000</v>
      </c>
    </row>
    <row r="2464" spans="1:9" x14ac:dyDescent="0.3">
      <c r="A2464" s="5">
        <v>8794</v>
      </c>
      <c r="B2464" s="5" t="s">
        <v>3933</v>
      </c>
      <c r="C2464" s="5">
        <v>1</v>
      </c>
      <c r="D2464" s="5" t="s">
        <v>10</v>
      </c>
      <c r="E2464" t="s">
        <v>3934</v>
      </c>
      <c r="F2464" t="s">
        <v>3935</v>
      </c>
      <c r="G2464">
        <v>2</v>
      </c>
      <c r="H2464" t="s">
        <v>126</v>
      </c>
      <c r="I2464" s="2">
        <v>5000</v>
      </c>
    </row>
    <row r="2465" spans="1:9" x14ac:dyDescent="0.3">
      <c r="A2465" s="5">
        <v>8794</v>
      </c>
      <c r="B2465" s="5" t="s">
        <v>3933</v>
      </c>
      <c r="C2465" s="5">
        <v>1</v>
      </c>
      <c r="D2465" s="5" t="s">
        <v>10</v>
      </c>
      <c r="E2465" t="s">
        <v>3934</v>
      </c>
      <c r="F2465" t="s">
        <v>3935</v>
      </c>
      <c r="G2465">
        <v>2</v>
      </c>
      <c r="H2465" t="s">
        <v>3937</v>
      </c>
      <c r="I2465" s="2">
        <v>4000</v>
      </c>
    </row>
    <row r="2466" spans="1:9" x14ac:dyDescent="0.3">
      <c r="A2466" s="5">
        <v>8791</v>
      </c>
      <c r="B2466" s="5" t="s">
        <v>3938</v>
      </c>
      <c r="C2466" s="5">
        <v>5</v>
      </c>
      <c r="D2466" s="5" t="s">
        <v>63</v>
      </c>
      <c r="E2466" t="s">
        <v>3939</v>
      </c>
      <c r="F2466" t="s">
        <v>3940</v>
      </c>
      <c r="G2466">
        <v>2</v>
      </c>
      <c r="H2466" t="s">
        <v>67</v>
      </c>
      <c r="I2466" s="2">
        <v>10000</v>
      </c>
    </row>
    <row r="2467" spans="1:9" x14ac:dyDescent="0.3">
      <c r="A2467" s="5">
        <v>8791</v>
      </c>
      <c r="B2467" s="5" t="s">
        <v>3938</v>
      </c>
      <c r="C2467" s="5">
        <v>5</v>
      </c>
      <c r="D2467" s="5" t="s">
        <v>63</v>
      </c>
      <c r="E2467" t="s">
        <v>3939</v>
      </c>
      <c r="F2467" t="s">
        <v>3940</v>
      </c>
      <c r="G2467">
        <v>2</v>
      </c>
      <c r="H2467" t="s">
        <v>88</v>
      </c>
      <c r="I2467" s="2">
        <v>25000</v>
      </c>
    </row>
    <row r="2468" spans="1:9" x14ac:dyDescent="0.3">
      <c r="A2468" s="5">
        <v>8787</v>
      </c>
      <c r="B2468" s="5" t="s">
        <v>3941</v>
      </c>
      <c r="C2468" s="5">
        <v>1</v>
      </c>
      <c r="D2468" s="5" t="s">
        <v>10</v>
      </c>
      <c r="E2468" t="s">
        <v>3942</v>
      </c>
      <c r="F2468" t="s">
        <v>3943</v>
      </c>
      <c r="G2468">
        <v>2</v>
      </c>
      <c r="H2468" t="s">
        <v>229</v>
      </c>
      <c r="I2468" s="2">
        <v>4500</v>
      </c>
    </row>
    <row r="2469" spans="1:9" x14ac:dyDescent="0.3">
      <c r="A2469" s="5">
        <v>8787</v>
      </c>
      <c r="B2469" s="5" t="s">
        <v>3941</v>
      </c>
      <c r="C2469" s="5">
        <v>1</v>
      </c>
      <c r="D2469" s="5" t="s">
        <v>10</v>
      </c>
      <c r="E2469" t="s">
        <v>3942</v>
      </c>
      <c r="F2469" t="s">
        <v>3943</v>
      </c>
      <c r="G2469">
        <v>2</v>
      </c>
      <c r="H2469" t="s">
        <v>21</v>
      </c>
      <c r="I2469" s="2">
        <v>4000</v>
      </c>
    </row>
    <row r="2470" spans="1:9" x14ac:dyDescent="0.3">
      <c r="A2470" s="5">
        <v>8786</v>
      </c>
      <c r="B2470" s="5" t="s">
        <v>3944</v>
      </c>
      <c r="C2470" s="5">
        <v>1</v>
      </c>
      <c r="D2470" s="5" t="s">
        <v>10</v>
      </c>
      <c r="E2470" t="s">
        <v>3945</v>
      </c>
      <c r="F2470" t="s">
        <v>3946</v>
      </c>
      <c r="G2470">
        <v>2</v>
      </c>
      <c r="H2470" t="s">
        <v>37</v>
      </c>
      <c r="I2470" s="2">
        <v>4000</v>
      </c>
    </row>
    <row r="2471" spans="1:9" x14ac:dyDescent="0.3">
      <c r="A2471" s="5">
        <v>8785</v>
      </c>
      <c r="B2471" s="5" t="s">
        <v>3947</v>
      </c>
      <c r="C2471" s="5">
        <v>1</v>
      </c>
      <c r="D2471" s="5" t="s">
        <v>10</v>
      </c>
      <c r="E2471" t="s">
        <v>3948</v>
      </c>
      <c r="F2471" t="s">
        <v>3949</v>
      </c>
      <c r="G2471">
        <v>2</v>
      </c>
      <c r="H2471" t="s">
        <v>229</v>
      </c>
      <c r="I2471" s="2">
        <v>5000</v>
      </c>
    </row>
    <row r="2472" spans="1:9" x14ac:dyDescent="0.3">
      <c r="A2472" s="5">
        <v>8785</v>
      </c>
      <c r="B2472" s="5" t="s">
        <v>3947</v>
      </c>
      <c r="C2472" s="5">
        <v>1</v>
      </c>
      <c r="D2472" s="5" t="s">
        <v>10</v>
      </c>
      <c r="E2472" t="s">
        <v>3948</v>
      </c>
      <c r="F2472" t="s">
        <v>3949</v>
      </c>
      <c r="G2472">
        <v>2</v>
      </c>
      <c r="H2472" t="s">
        <v>189</v>
      </c>
      <c r="I2472" s="2">
        <v>6000</v>
      </c>
    </row>
    <row r="2473" spans="1:9" x14ac:dyDescent="0.3">
      <c r="A2473" s="5">
        <v>8785</v>
      </c>
      <c r="B2473" s="5" t="s">
        <v>3947</v>
      </c>
      <c r="C2473" s="5">
        <v>1</v>
      </c>
      <c r="D2473" s="5" t="s">
        <v>10</v>
      </c>
      <c r="E2473" t="s">
        <v>3948</v>
      </c>
      <c r="F2473" t="s">
        <v>3949</v>
      </c>
      <c r="G2473">
        <v>2</v>
      </c>
      <c r="H2473" t="s">
        <v>37</v>
      </c>
      <c r="I2473" s="2">
        <v>5000</v>
      </c>
    </row>
    <row r="2474" spans="1:9" x14ac:dyDescent="0.3">
      <c r="A2474" s="5">
        <v>8734</v>
      </c>
      <c r="B2474" s="5" t="s">
        <v>3950</v>
      </c>
      <c r="C2474" s="5">
        <v>1</v>
      </c>
      <c r="D2474" s="5" t="s">
        <v>10</v>
      </c>
      <c r="E2474" t="s">
        <v>3951</v>
      </c>
      <c r="F2474" t="s">
        <v>3952</v>
      </c>
      <c r="G2474">
        <v>2</v>
      </c>
      <c r="H2474" t="s">
        <v>188</v>
      </c>
      <c r="I2474" s="2">
        <v>6000</v>
      </c>
    </row>
    <row r="2475" spans="1:9" x14ac:dyDescent="0.3">
      <c r="A2475" s="5">
        <v>8734</v>
      </c>
      <c r="B2475" s="5" t="s">
        <v>3950</v>
      </c>
      <c r="C2475" s="5">
        <v>1</v>
      </c>
      <c r="D2475" s="5" t="s">
        <v>10</v>
      </c>
      <c r="E2475" t="s">
        <v>3951</v>
      </c>
      <c r="F2475" t="s">
        <v>3952</v>
      </c>
      <c r="G2475">
        <v>2</v>
      </c>
      <c r="H2475" t="s">
        <v>3953</v>
      </c>
      <c r="I2475" s="2">
        <v>13000</v>
      </c>
    </row>
    <row r="2476" spans="1:9" x14ac:dyDescent="0.3">
      <c r="A2476" s="5">
        <v>8734</v>
      </c>
      <c r="B2476" s="5" t="s">
        <v>3950</v>
      </c>
      <c r="C2476" s="5">
        <v>1</v>
      </c>
      <c r="D2476" s="5" t="s">
        <v>10</v>
      </c>
      <c r="E2476" t="s">
        <v>3951</v>
      </c>
      <c r="F2476" t="s">
        <v>3952</v>
      </c>
      <c r="G2476">
        <v>2</v>
      </c>
      <c r="H2476" t="s">
        <v>188</v>
      </c>
      <c r="I2476" s="2">
        <v>6000</v>
      </c>
    </row>
    <row r="2477" spans="1:9" x14ac:dyDescent="0.3">
      <c r="A2477" s="5">
        <v>8734</v>
      </c>
      <c r="B2477" s="5" t="s">
        <v>3950</v>
      </c>
      <c r="C2477" s="5">
        <v>1</v>
      </c>
      <c r="D2477" s="5" t="s">
        <v>10</v>
      </c>
      <c r="E2477" t="s">
        <v>3951</v>
      </c>
      <c r="F2477" t="s">
        <v>3952</v>
      </c>
      <c r="G2477">
        <v>2</v>
      </c>
      <c r="H2477" t="s">
        <v>2528</v>
      </c>
      <c r="I2477" s="2">
        <v>13000</v>
      </c>
    </row>
    <row r="2478" spans="1:9" x14ac:dyDescent="0.3">
      <c r="A2478" s="5">
        <v>8732</v>
      </c>
      <c r="B2478" s="5" t="s">
        <v>3954</v>
      </c>
      <c r="C2478" s="5">
        <v>1</v>
      </c>
      <c r="D2478" s="5" t="s">
        <v>10</v>
      </c>
      <c r="E2478" t="s">
        <v>3955</v>
      </c>
      <c r="F2478" t="s">
        <v>3956</v>
      </c>
      <c r="G2478">
        <v>3</v>
      </c>
      <c r="H2478" t="s">
        <v>352</v>
      </c>
      <c r="I2478" s="2">
        <v>10000</v>
      </c>
    </row>
    <row r="2479" spans="1:9" x14ac:dyDescent="0.3">
      <c r="A2479" s="5">
        <v>8732</v>
      </c>
      <c r="B2479" s="5" t="s">
        <v>3954</v>
      </c>
      <c r="C2479" s="5">
        <v>1</v>
      </c>
      <c r="D2479" s="5" t="s">
        <v>10</v>
      </c>
      <c r="E2479" t="s">
        <v>3955</v>
      </c>
      <c r="F2479" t="s">
        <v>3956</v>
      </c>
      <c r="G2479">
        <v>3</v>
      </c>
      <c r="H2479" t="s">
        <v>3957</v>
      </c>
      <c r="I2479" s="2">
        <v>15000</v>
      </c>
    </row>
    <row r="2480" spans="1:9" x14ac:dyDescent="0.3">
      <c r="A2480" s="5">
        <v>8732</v>
      </c>
      <c r="B2480" s="5" t="s">
        <v>3954</v>
      </c>
      <c r="C2480" s="5">
        <v>1</v>
      </c>
      <c r="D2480" s="5" t="s">
        <v>10</v>
      </c>
      <c r="E2480" t="s">
        <v>3955</v>
      </c>
      <c r="F2480" t="s">
        <v>3956</v>
      </c>
      <c r="G2480">
        <v>3</v>
      </c>
      <c r="H2480" t="s">
        <v>1364</v>
      </c>
      <c r="I2480" s="2">
        <v>6000</v>
      </c>
    </row>
    <row r="2481" spans="1:9" x14ac:dyDescent="0.3">
      <c r="A2481" s="5">
        <v>8732</v>
      </c>
      <c r="B2481" s="5" t="s">
        <v>3954</v>
      </c>
      <c r="C2481" s="5">
        <v>1</v>
      </c>
      <c r="D2481" s="5" t="s">
        <v>10</v>
      </c>
      <c r="E2481" t="s">
        <v>3955</v>
      </c>
      <c r="F2481" t="s">
        <v>3956</v>
      </c>
      <c r="G2481">
        <v>3</v>
      </c>
      <c r="H2481" t="s">
        <v>229</v>
      </c>
      <c r="I2481" s="2">
        <v>6000</v>
      </c>
    </row>
    <row r="2482" spans="1:9" x14ac:dyDescent="0.3">
      <c r="A2482" s="5">
        <v>8730</v>
      </c>
      <c r="B2482" s="5" t="s">
        <v>3958</v>
      </c>
      <c r="C2482" s="5">
        <v>1</v>
      </c>
      <c r="D2482" s="5" t="s">
        <v>10</v>
      </c>
      <c r="E2482" t="s">
        <v>3959</v>
      </c>
      <c r="F2482" t="s">
        <v>3960</v>
      </c>
      <c r="G2482">
        <v>3</v>
      </c>
      <c r="H2482" t="s">
        <v>3961</v>
      </c>
      <c r="I2482" s="2">
        <v>38000</v>
      </c>
    </row>
    <row r="2483" spans="1:9" x14ac:dyDescent="0.3">
      <c r="A2483" s="5">
        <v>8730</v>
      </c>
      <c r="B2483" s="5" t="s">
        <v>3958</v>
      </c>
      <c r="C2483" s="5">
        <v>1</v>
      </c>
      <c r="D2483" s="5" t="s">
        <v>10</v>
      </c>
      <c r="E2483" t="s">
        <v>3959</v>
      </c>
      <c r="F2483" t="s">
        <v>3960</v>
      </c>
      <c r="G2483">
        <v>3</v>
      </c>
      <c r="H2483" t="s">
        <v>217</v>
      </c>
      <c r="I2483" s="2">
        <v>10000</v>
      </c>
    </row>
    <row r="2484" spans="1:9" x14ac:dyDescent="0.3">
      <c r="A2484" s="5">
        <v>8730</v>
      </c>
      <c r="B2484" s="5" t="s">
        <v>3958</v>
      </c>
      <c r="C2484" s="5">
        <v>1</v>
      </c>
      <c r="D2484" s="5" t="s">
        <v>10</v>
      </c>
      <c r="E2484" t="s">
        <v>3959</v>
      </c>
      <c r="F2484" t="s">
        <v>3960</v>
      </c>
      <c r="G2484">
        <v>3</v>
      </c>
      <c r="H2484" t="s">
        <v>3962</v>
      </c>
      <c r="I2484" s="2">
        <v>38000</v>
      </c>
    </row>
    <row r="2485" spans="1:9" x14ac:dyDescent="0.3">
      <c r="A2485" s="5">
        <v>8728</v>
      </c>
      <c r="B2485" s="5" t="s">
        <v>3963</v>
      </c>
      <c r="C2485" s="5">
        <v>1</v>
      </c>
      <c r="D2485" s="5" t="s">
        <v>10</v>
      </c>
      <c r="E2485" t="s">
        <v>3964</v>
      </c>
      <c r="F2485" t="s">
        <v>3965</v>
      </c>
      <c r="G2485">
        <v>3</v>
      </c>
      <c r="H2485" t="s">
        <v>374</v>
      </c>
      <c r="I2485" s="2">
        <v>2000</v>
      </c>
    </row>
    <row r="2486" spans="1:9" x14ac:dyDescent="0.3">
      <c r="A2486" s="5">
        <v>8728</v>
      </c>
      <c r="B2486" s="5" t="s">
        <v>3963</v>
      </c>
      <c r="C2486" s="5">
        <v>1</v>
      </c>
      <c r="D2486" s="5" t="s">
        <v>10</v>
      </c>
      <c r="E2486" t="s">
        <v>3964</v>
      </c>
      <c r="F2486" t="s">
        <v>3965</v>
      </c>
      <c r="G2486">
        <v>3</v>
      </c>
      <c r="H2486" t="s">
        <v>794</v>
      </c>
      <c r="I2486" s="2">
        <v>5000</v>
      </c>
    </row>
    <row r="2487" spans="1:9" x14ac:dyDescent="0.3">
      <c r="A2487" s="5">
        <v>8728</v>
      </c>
      <c r="B2487" s="5" t="s">
        <v>3963</v>
      </c>
      <c r="C2487" s="5">
        <v>1</v>
      </c>
      <c r="D2487" s="5" t="s">
        <v>10</v>
      </c>
      <c r="E2487" t="s">
        <v>3964</v>
      </c>
      <c r="F2487" t="s">
        <v>3965</v>
      </c>
      <c r="G2487">
        <v>3</v>
      </c>
      <c r="H2487" t="s">
        <v>581</v>
      </c>
      <c r="I2487" s="2">
        <v>3000</v>
      </c>
    </row>
    <row r="2488" spans="1:9" x14ac:dyDescent="0.3">
      <c r="A2488" s="5">
        <v>8727</v>
      </c>
      <c r="B2488" s="5" t="s">
        <v>3966</v>
      </c>
      <c r="C2488" s="5">
        <v>5</v>
      </c>
      <c r="D2488" s="5" t="s">
        <v>63</v>
      </c>
      <c r="E2488" t="s">
        <v>3967</v>
      </c>
      <c r="F2488" t="s">
        <v>3968</v>
      </c>
      <c r="G2488">
        <v>3</v>
      </c>
      <c r="H2488" t="s">
        <v>67</v>
      </c>
      <c r="I2488" s="2">
        <v>9000</v>
      </c>
    </row>
    <row r="2489" spans="1:9" x14ac:dyDescent="0.3">
      <c r="A2489" s="5">
        <v>8727</v>
      </c>
      <c r="B2489" s="5" t="s">
        <v>3966</v>
      </c>
      <c r="C2489" s="5">
        <v>5</v>
      </c>
      <c r="D2489" s="5" t="s">
        <v>63</v>
      </c>
      <c r="E2489" t="s">
        <v>3967</v>
      </c>
      <c r="F2489" t="s">
        <v>3968</v>
      </c>
      <c r="G2489">
        <v>3</v>
      </c>
      <c r="H2489" t="s">
        <v>3969</v>
      </c>
      <c r="I2489" s="2">
        <v>6000</v>
      </c>
    </row>
    <row r="2490" spans="1:9" x14ac:dyDescent="0.3">
      <c r="A2490" s="5">
        <v>8727</v>
      </c>
      <c r="B2490" s="5" t="s">
        <v>3966</v>
      </c>
      <c r="C2490" s="5">
        <v>5</v>
      </c>
      <c r="D2490" s="5" t="s">
        <v>63</v>
      </c>
      <c r="E2490" t="s">
        <v>3967</v>
      </c>
      <c r="F2490" t="s">
        <v>3968</v>
      </c>
      <c r="G2490">
        <v>3</v>
      </c>
      <c r="H2490" t="s">
        <v>3970</v>
      </c>
      <c r="I2490" s="2">
        <v>11000</v>
      </c>
    </row>
    <row r="2491" spans="1:9" x14ac:dyDescent="0.3">
      <c r="A2491" s="5">
        <v>8724</v>
      </c>
      <c r="B2491" s="5" t="s">
        <v>3971</v>
      </c>
      <c r="C2491" s="5">
        <v>1</v>
      </c>
      <c r="D2491" s="5" t="s">
        <v>10</v>
      </c>
      <c r="E2491" t="s">
        <v>3972</v>
      </c>
      <c r="F2491" t="s">
        <v>3973</v>
      </c>
      <c r="G2491">
        <v>5</v>
      </c>
      <c r="H2491" t="s">
        <v>581</v>
      </c>
      <c r="I2491" s="2">
        <v>3500</v>
      </c>
    </row>
    <row r="2492" spans="1:9" x14ac:dyDescent="0.3">
      <c r="A2492" s="5">
        <v>8724</v>
      </c>
      <c r="B2492" s="5" t="s">
        <v>3971</v>
      </c>
      <c r="C2492" s="5">
        <v>1</v>
      </c>
      <c r="D2492" s="5" t="s">
        <v>10</v>
      </c>
      <c r="E2492" t="s">
        <v>3972</v>
      </c>
      <c r="F2492" t="s">
        <v>3973</v>
      </c>
      <c r="G2492">
        <v>5</v>
      </c>
      <c r="H2492" t="s">
        <v>304</v>
      </c>
      <c r="I2492" s="2">
        <v>5000</v>
      </c>
    </row>
    <row r="2493" spans="1:9" x14ac:dyDescent="0.3">
      <c r="A2493" s="5">
        <v>8724</v>
      </c>
      <c r="B2493" s="5" t="s">
        <v>3971</v>
      </c>
      <c r="C2493" s="5">
        <v>1</v>
      </c>
      <c r="D2493" s="5" t="s">
        <v>10</v>
      </c>
      <c r="E2493" t="s">
        <v>3972</v>
      </c>
      <c r="F2493" t="s">
        <v>3973</v>
      </c>
      <c r="G2493">
        <v>5</v>
      </c>
      <c r="H2493" t="s">
        <v>374</v>
      </c>
      <c r="I2493" s="2">
        <v>1500</v>
      </c>
    </row>
    <row r="2494" spans="1:9" x14ac:dyDescent="0.3">
      <c r="A2494" s="5">
        <v>8721</v>
      </c>
      <c r="B2494" s="5" t="s">
        <v>3974</v>
      </c>
      <c r="C2494" s="5">
        <v>2</v>
      </c>
      <c r="D2494" s="5" t="s">
        <v>261</v>
      </c>
      <c r="E2494" t="s">
        <v>3975</v>
      </c>
      <c r="F2494" t="s">
        <v>3976</v>
      </c>
      <c r="G2494">
        <v>3</v>
      </c>
      <c r="H2494" t="s">
        <v>265</v>
      </c>
      <c r="I2494" s="2">
        <v>6000</v>
      </c>
    </row>
    <row r="2495" spans="1:9" x14ac:dyDescent="0.3">
      <c r="A2495" s="5">
        <v>8721</v>
      </c>
      <c r="B2495" s="5" t="s">
        <v>3974</v>
      </c>
      <c r="C2495" s="5">
        <v>2</v>
      </c>
      <c r="D2495" s="5" t="s">
        <v>261</v>
      </c>
      <c r="E2495" t="s">
        <v>3975</v>
      </c>
      <c r="F2495" t="s">
        <v>3976</v>
      </c>
      <c r="G2495">
        <v>3</v>
      </c>
      <c r="H2495" t="s">
        <v>264</v>
      </c>
      <c r="I2495" s="2">
        <v>5000</v>
      </c>
    </row>
    <row r="2496" spans="1:9" x14ac:dyDescent="0.3">
      <c r="A2496" s="5">
        <v>8720</v>
      </c>
      <c r="B2496" s="5" t="s">
        <v>3977</v>
      </c>
      <c r="C2496" s="5">
        <v>1</v>
      </c>
      <c r="D2496" s="5" t="s">
        <v>10</v>
      </c>
      <c r="E2496" t="s">
        <v>3978</v>
      </c>
      <c r="F2496" t="s">
        <v>3979</v>
      </c>
      <c r="G2496">
        <v>3</v>
      </c>
      <c r="H2496" t="s">
        <v>126</v>
      </c>
      <c r="I2496" s="2">
        <v>5000</v>
      </c>
    </row>
    <row r="2497" spans="1:9" x14ac:dyDescent="0.3">
      <c r="A2497" s="5">
        <v>8720</v>
      </c>
      <c r="B2497" s="5" t="s">
        <v>3977</v>
      </c>
      <c r="C2497" s="5">
        <v>1</v>
      </c>
      <c r="D2497" s="5" t="s">
        <v>10</v>
      </c>
      <c r="E2497" t="s">
        <v>3978</v>
      </c>
      <c r="F2497" t="s">
        <v>3979</v>
      </c>
      <c r="G2497">
        <v>3</v>
      </c>
      <c r="H2497" t="s">
        <v>139</v>
      </c>
      <c r="I2497" s="2">
        <v>5000</v>
      </c>
    </row>
    <row r="2498" spans="1:9" x14ac:dyDescent="0.3">
      <c r="A2498" s="5">
        <v>8720</v>
      </c>
      <c r="B2498" s="5" t="s">
        <v>3977</v>
      </c>
      <c r="C2498" s="5">
        <v>1</v>
      </c>
      <c r="D2498" s="5" t="s">
        <v>10</v>
      </c>
      <c r="E2498" t="s">
        <v>3978</v>
      </c>
      <c r="F2498" t="s">
        <v>3979</v>
      </c>
      <c r="G2498">
        <v>3</v>
      </c>
      <c r="H2498" t="s">
        <v>217</v>
      </c>
      <c r="I2498" s="2">
        <v>10000</v>
      </c>
    </row>
    <row r="2499" spans="1:9" x14ac:dyDescent="0.3">
      <c r="A2499" s="5">
        <v>8712</v>
      </c>
      <c r="B2499" s="5" t="s">
        <v>3980</v>
      </c>
      <c r="C2499" s="5">
        <v>1</v>
      </c>
      <c r="D2499" s="5" t="s">
        <v>10</v>
      </c>
      <c r="E2499" t="s">
        <v>3981</v>
      </c>
      <c r="F2499" t="s">
        <v>3982</v>
      </c>
      <c r="G2499">
        <v>3</v>
      </c>
      <c r="H2499" t="s">
        <v>3983</v>
      </c>
      <c r="I2499" s="2">
        <v>6000</v>
      </c>
    </row>
    <row r="2500" spans="1:9" x14ac:dyDescent="0.3">
      <c r="A2500" s="5">
        <v>8712</v>
      </c>
      <c r="B2500" s="5" t="s">
        <v>3980</v>
      </c>
      <c r="C2500" s="5">
        <v>1</v>
      </c>
      <c r="D2500" s="5" t="s">
        <v>10</v>
      </c>
      <c r="E2500" t="s">
        <v>3981</v>
      </c>
      <c r="F2500" t="s">
        <v>3982</v>
      </c>
      <c r="G2500">
        <v>3</v>
      </c>
      <c r="H2500" t="s">
        <v>126</v>
      </c>
      <c r="I2500" s="2">
        <v>6000</v>
      </c>
    </row>
    <row r="2501" spans="1:9" x14ac:dyDescent="0.3">
      <c r="A2501" s="5">
        <v>8709</v>
      </c>
      <c r="B2501" s="5" t="s">
        <v>3984</v>
      </c>
      <c r="C2501" s="5">
        <v>1</v>
      </c>
      <c r="D2501" s="5" t="s">
        <v>10</v>
      </c>
      <c r="E2501" t="s">
        <v>3985</v>
      </c>
      <c r="F2501" t="s">
        <v>3986</v>
      </c>
      <c r="G2501">
        <v>2</v>
      </c>
      <c r="H2501" t="s">
        <v>3987</v>
      </c>
      <c r="I2501" s="2">
        <v>7000</v>
      </c>
    </row>
    <row r="2502" spans="1:9" x14ac:dyDescent="0.3">
      <c r="A2502" s="5">
        <v>8709</v>
      </c>
      <c r="B2502" s="5" t="s">
        <v>3984</v>
      </c>
      <c r="C2502" s="5">
        <v>1</v>
      </c>
      <c r="D2502" s="5" t="s">
        <v>10</v>
      </c>
      <c r="E2502" t="s">
        <v>3985</v>
      </c>
      <c r="F2502" t="s">
        <v>3986</v>
      </c>
      <c r="G2502">
        <v>2</v>
      </c>
      <c r="H2502" t="s">
        <v>1412</v>
      </c>
      <c r="I2502" s="2">
        <v>9000</v>
      </c>
    </row>
    <row r="2503" spans="1:9" x14ac:dyDescent="0.3">
      <c r="A2503" s="5">
        <v>8709</v>
      </c>
      <c r="B2503" s="5" t="s">
        <v>3984</v>
      </c>
      <c r="C2503" s="5">
        <v>1</v>
      </c>
      <c r="D2503" s="5" t="s">
        <v>10</v>
      </c>
      <c r="E2503" t="s">
        <v>3985</v>
      </c>
      <c r="F2503" t="s">
        <v>3986</v>
      </c>
      <c r="G2503">
        <v>2</v>
      </c>
      <c r="H2503" t="s">
        <v>3988</v>
      </c>
      <c r="I2503" s="2">
        <v>7500</v>
      </c>
    </row>
    <row r="2504" spans="1:9" x14ac:dyDescent="0.3">
      <c r="A2504" s="5">
        <v>8709</v>
      </c>
      <c r="B2504" s="5" t="s">
        <v>3984</v>
      </c>
      <c r="C2504" s="5">
        <v>1</v>
      </c>
      <c r="D2504" s="5" t="s">
        <v>10</v>
      </c>
      <c r="E2504" t="s">
        <v>3985</v>
      </c>
      <c r="F2504" t="s">
        <v>3986</v>
      </c>
      <c r="G2504">
        <v>2</v>
      </c>
      <c r="H2504" t="s">
        <v>139</v>
      </c>
      <c r="I2504" s="2">
        <v>7500</v>
      </c>
    </row>
    <row r="2505" spans="1:9" x14ac:dyDescent="0.3">
      <c r="A2505" s="5">
        <v>8709</v>
      </c>
      <c r="B2505" s="5" t="s">
        <v>3984</v>
      </c>
      <c r="C2505" s="5">
        <v>1</v>
      </c>
      <c r="D2505" s="5" t="s">
        <v>10</v>
      </c>
      <c r="E2505" t="s">
        <v>3985</v>
      </c>
      <c r="F2505" t="s">
        <v>3986</v>
      </c>
      <c r="G2505">
        <v>2</v>
      </c>
      <c r="H2505" t="s">
        <v>3989</v>
      </c>
      <c r="I2505" s="2">
        <v>8500</v>
      </c>
    </row>
    <row r="2506" spans="1:9" x14ac:dyDescent="0.3">
      <c r="A2506" s="5">
        <v>8709</v>
      </c>
      <c r="B2506" s="5" t="s">
        <v>3984</v>
      </c>
      <c r="C2506" s="5">
        <v>1</v>
      </c>
      <c r="D2506" s="5" t="s">
        <v>10</v>
      </c>
      <c r="E2506" t="s">
        <v>3985</v>
      </c>
      <c r="F2506" t="s">
        <v>3986</v>
      </c>
      <c r="G2506">
        <v>2</v>
      </c>
      <c r="H2506" t="s">
        <v>3990</v>
      </c>
      <c r="I2506" s="2">
        <v>8500</v>
      </c>
    </row>
    <row r="2507" spans="1:9" x14ac:dyDescent="0.3">
      <c r="A2507" s="5">
        <v>8709</v>
      </c>
      <c r="B2507" s="5" t="s">
        <v>3984</v>
      </c>
      <c r="C2507" s="5">
        <v>1</v>
      </c>
      <c r="D2507" s="5" t="s">
        <v>10</v>
      </c>
      <c r="E2507" t="s">
        <v>3985</v>
      </c>
      <c r="F2507" t="s">
        <v>3986</v>
      </c>
      <c r="G2507">
        <v>2</v>
      </c>
      <c r="H2507" t="s">
        <v>3991</v>
      </c>
      <c r="I2507" s="2">
        <v>8500</v>
      </c>
    </row>
    <row r="2508" spans="1:9" x14ac:dyDescent="0.3">
      <c r="A2508" s="5">
        <v>8709</v>
      </c>
      <c r="B2508" s="5" t="s">
        <v>3984</v>
      </c>
      <c r="C2508" s="5">
        <v>1</v>
      </c>
      <c r="D2508" s="5" t="s">
        <v>10</v>
      </c>
      <c r="E2508" t="s">
        <v>3985</v>
      </c>
      <c r="F2508" t="s">
        <v>3986</v>
      </c>
      <c r="G2508">
        <v>2</v>
      </c>
      <c r="H2508" t="s">
        <v>3992</v>
      </c>
      <c r="I2508" s="2">
        <v>8500</v>
      </c>
    </row>
    <row r="2509" spans="1:9" x14ac:dyDescent="0.3">
      <c r="A2509" s="5">
        <v>8709</v>
      </c>
      <c r="B2509" s="5" t="s">
        <v>3984</v>
      </c>
      <c r="C2509" s="5">
        <v>1</v>
      </c>
      <c r="D2509" s="5" t="s">
        <v>10</v>
      </c>
      <c r="E2509" t="s">
        <v>3985</v>
      </c>
      <c r="F2509" t="s">
        <v>3986</v>
      </c>
      <c r="G2509">
        <v>2</v>
      </c>
      <c r="H2509" t="s">
        <v>403</v>
      </c>
      <c r="I2509" s="2">
        <v>8500</v>
      </c>
    </row>
    <row r="2510" spans="1:9" x14ac:dyDescent="0.3">
      <c r="A2510" s="5">
        <v>8709</v>
      </c>
      <c r="B2510" s="5" t="s">
        <v>3984</v>
      </c>
      <c r="C2510" s="5">
        <v>1</v>
      </c>
      <c r="D2510" s="5" t="s">
        <v>10</v>
      </c>
      <c r="E2510" t="s">
        <v>3985</v>
      </c>
      <c r="F2510" t="s">
        <v>3986</v>
      </c>
      <c r="G2510">
        <v>2</v>
      </c>
      <c r="H2510" t="s">
        <v>3993</v>
      </c>
      <c r="I2510" s="2">
        <v>8500</v>
      </c>
    </row>
    <row r="2511" spans="1:9" x14ac:dyDescent="0.3">
      <c r="A2511" s="5">
        <v>8709</v>
      </c>
      <c r="B2511" s="5" t="s">
        <v>3984</v>
      </c>
      <c r="C2511" s="5">
        <v>1</v>
      </c>
      <c r="D2511" s="5" t="s">
        <v>10</v>
      </c>
      <c r="E2511" t="s">
        <v>3985</v>
      </c>
      <c r="F2511" t="s">
        <v>3986</v>
      </c>
      <c r="G2511">
        <v>2</v>
      </c>
      <c r="H2511" t="s">
        <v>126</v>
      </c>
      <c r="I2511" s="2">
        <v>9000</v>
      </c>
    </row>
    <row r="2512" spans="1:9" x14ac:dyDescent="0.3">
      <c r="A2512" s="5">
        <v>8707</v>
      </c>
      <c r="B2512" s="5" t="s">
        <v>3994</v>
      </c>
      <c r="C2512" s="5">
        <v>1</v>
      </c>
      <c r="D2512" s="5" t="s">
        <v>10</v>
      </c>
      <c r="E2512" t="s">
        <v>3995</v>
      </c>
      <c r="F2512" t="s">
        <v>3996</v>
      </c>
      <c r="G2512">
        <v>2</v>
      </c>
      <c r="H2512" t="s">
        <v>187</v>
      </c>
      <c r="I2512" s="2">
        <v>8000</v>
      </c>
    </row>
    <row r="2513" spans="1:9" x14ac:dyDescent="0.3">
      <c r="A2513" s="5">
        <v>8707</v>
      </c>
      <c r="B2513" s="5" t="s">
        <v>3994</v>
      </c>
      <c r="C2513" s="5">
        <v>1</v>
      </c>
      <c r="D2513" s="5" t="s">
        <v>10</v>
      </c>
      <c r="E2513" t="s">
        <v>3995</v>
      </c>
      <c r="F2513" t="s">
        <v>3996</v>
      </c>
      <c r="G2513">
        <v>2</v>
      </c>
      <c r="H2513" t="s">
        <v>126</v>
      </c>
      <c r="I2513" s="2">
        <v>8000</v>
      </c>
    </row>
    <row r="2514" spans="1:9" x14ac:dyDescent="0.3">
      <c r="A2514" s="5">
        <v>8707</v>
      </c>
      <c r="B2514" s="5" t="s">
        <v>3994</v>
      </c>
      <c r="C2514" s="5">
        <v>1</v>
      </c>
      <c r="D2514" s="5" t="s">
        <v>10</v>
      </c>
      <c r="E2514" t="s">
        <v>3995</v>
      </c>
      <c r="F2514" t="s">
        <v>3996</v>
      </c>
      <c r="G2514">
        <v>2</v>
      </c>
      <c r="H2514" t="s">
        <v>149</v>
      </c>
      <c r="I2514" s="2">
        <v>8000</v>
      </c>
    </row>
    <row r="2515" spans="1:9" x14ac:dyDescent="0.3">
      <c r="A2515" s="5">
        <v>8707</v>
      </c>
      <c r="B2515" s="5" t="s">
        <v>3994</v>
      </c>
      <c r="C2515" s="5">
        <v>1</v>
      </c>
      <c r="D2515" s="5" t="s">
        <v>10</v>
      </c>
      <c r="E2515" t="s">
        <v>3995</v>
      </c>
      <c r="F2515" t="s">
        <v>3996</v>
      </c>
      <c r="G2515">
        <v>2</v>
      </c>
      <c r="H2515" t="s">
        <v>929</v>
      </c>
      <c r="I2515" s="2">
        <v>8000</v>
      </c>
    </row>
    <row r="2516" spans="1:9" x14ac:dyDescent="0.3">
      <c r="A2516" s="5">
        <v>8700</v>
      </c>
      <c r="B2516" s="5" t="s">
        <v>3997</v>
      </c>
      <c r="C2516" s="5">
        <v>1</v>
      </c>
      <c r="D2516" s="5" t="s">
        <v>10</v>
      </c>
      <c r="E2516" t="s">
        <v>3998</v>
      </c>
      <c r="F2516" t="s">
        <v>3999</v>
      </c>
      <c r="G2516">
        <v>2</v>
      </c>
      <c r="H2516" t="s">
        <v>139</v>
      </c>
      <c r="I2516" s="2">
        <v>6000</v>
      </c>
    </row>
    <row r="2517" spans="1:9" x14ac:dyDescent="0.3">
      <c r="A2517" s="5">
        <v>8700</v>
      </c>
      <c r="B2517" s="5" t="s">
        <v>3997</v>
      </c>
      <c r="C2517" s="5">
        <v>1</v>
      </c>
      <c r="D2517" s="5" t="s">
        <v>10</v>
      </c>
      <c r="E2517" t="s">
        <v>3998</v>
      </c>
      <c r="F2517" t="s">
        <v>3999</v>
      </c>
      <c r="G2517">
        <v>2</v>
      </c>
      <c r="H2517" t="s">
        <v>229</v>
      </c>
      <c r="I2517" s="2">
        <v>6000</v>
      </c>
    </row>
    <row r="2518" spans="1:9" x14ac:dyDescent="0.3">
      <c r="A2518" s="5">
        <v>8700</v>
      </c>
      <c r="B2518" s="5" t="s">
        <v>3997</v>
      </c>
      <c r="C2518" s="5">
        <v>1</v>
      </c>
      <c r="D2518" s="5" t="s">
        <v>10</v>
      </c>
      <c r="E2518" t="s">
        <v>3998</v>
      </c>
      <c r="F2518" t="s">
        <v>3999</v>
      </c>
      <c r="G2518">
        <v>2</v>
      </c>
      <c r="H2518" t="s">
        <v>35</v>
      </c>
      <c r="I2518" s="2">
        <v>8000</v>
      </c>
    </row>
    <row r="2519" spans="1:9" x14ac:dyDescent="0.3">
      <c r="A2519" s="5">
        <v>8700</v>
      </c>
      <c r="B2519" s="5" t="s">
        <v>3997</v>
      </c>
      <c r="C2519" s="5">
        <v>1</v>
      </c>
      <c r="D2519" s="5" t="s">
        <v>10</v>
      </c>
      <c r="E2519" t="s">
        <v>3998</v>
      </c>
      <c r="F2519" t="s">
        <v>3999</v>
      </c>
      <c r="G2519">
        <v>2</v>
      </c>
      <c r="H2519" t="s">
        <v>139</v>
      </c>
      <c r="I2519" s="2">
        <v>5000</v>
      </c>
    </row>
    <row r="2520" spans="1:9" x14ac:dyDescent="0.3">
      <c r="A2520" s="5">
        <v>8697</v>
      </c>
      <c r="B2520" s="5" t="s">
        <v>4000</v>
      </c>
      <c r="C2520" s="5">
        <v>1</v>
      </c>
      <c r="D2520" s="5" t="s">
        <v>10</v>
      </c>
      <c r="E2520" t="s">
        <v>4001</v>
      </c>
      <c r="F2520" t="s">
        <v>4002</v>
      </c>
      <c r="G2520">
        <v>7</v>
      </c>
      <c r="H2520" t="s">
        <v>879</v>
      </c>
      <c r="I2520" s="2">
        <v>5000</v>
      </c>
    </row>
    <row r="2521" spans="1:9" x14ac:dyDescent="0.3">
      <c r="A2521" s="5">
        <v>8697</v>
      </c>
      <c r="B2521" s="5" t="s">
        <v>4000</v>
      </c>
      <c r="C2521" s="5">
        <v>1</v>
      </c>
      <c r="D2521" s="5" t="s">
        <v>10</v>
      </c>
      <c r="E2521" t="s">
        <v>4001</v>
      </c>
      <c r="F2521" t="s">
        <v>4002</v>
      </c>
      <c r="G2521">
        <v>7</v>
      </c>
      <c r="H2521" t="s">
        <v>1042</v>
      </c>
      <c r="I2521" s="2">
        <v>4500</v>
      </c>
    </row>
    <row r="2522" spans="1:9" x14ac:dyDescent="0.3">
      <c r="A2522" s="5">
        <v>8695</v>
      </c>
      <c r="B2522" s="5" t="s">
        <v>3126</v>
      </c>
      <c r="C2522" s="5">
        <v>1</v>
      </c>
      <c r="D2522" s="5" t="s">
        <v>10</v>
      </c>
      <c r="E2522" t="s">
        <v>4003</v>
      </c>
      <c r="F2522" t="s">
        <v>4004</v>
      </c>
      <c r="G2522">
        <v>2</v>
      </c>
      <c r="H2522" t="s">
        <v>139</v>
      </c>
      <c r="I2522" s="2">
        <v>1000</v>
      </c>
    </row>
    <row r="2523" spans="1:9" x14ac:dyDescent="0.3">
      <c r="A2523" s="5">
        <v>8695</v>
      </c>
      <c r="B2523" s="5" t="s">
        <v>3126</v>
      </c>
      <c r="C2523" s="5">
        <v>1</v>
      </c>
      <c r="D2523" s="5" t="s">
        <v>10</v>
      </c>
      <c r="E2523" t="s">
        <v>4003</v>
      </c>
      <c r="F2523" t="s">
        <v>4004</v>
      </c>
      <c r="G2523">
        <v>2</v>
      </c>
      <c r="H2523" t="s">
        <v>2528</v>
      </c>
      <c r="I2523" s="2">
        <v>14000</v>
      </c>
    </row>
    <row r="2524" spans="1:9" x14ac:dyDescent="0.3">
      <c r="A2524" s="5">
        <v>8695</v>
      </c>
      <c r="B2524" s="5" t="s">
        <v>3126</v>
      </c>
      <c r="C2524" s="5">
        <v>1</v>
      </c>
      <c r="D2524" s="5" t="s">
        <v>10</v>
      </c>
      <c r="E2524" t="s">
        <v>4003</v>
      </c>
      <c r="F2524" t="s">
        <v>4004</v>
      </c>
      <c r="G2524">
        <v>2</v>
      </c>
      <c r="H2524" t="s">
        <v>4005</v>
      </c>
      <c r="I2524" s="2">
        <v>14000</v>
      </c>
    </row>
    <row r="2525" spans="1:9" x14ac:dyDescent="0.3">
      <c r="A2525" s="5">
        <v>8691</v>
      </c>
      <c r="B2525" s="5" t="s">
        <v>4006</v>
      </c>
      <c r="C2525" s="5">
        <v>1</v>
      </c>
      <c r="D2525" s="5" t="s">
        <v>10</v>
      </c>
      <c r="E2525" t="s">
        <v>4007</v>
      </c>
      <c r="F2525" t="s">
        <v>4008</v>
      </c>
      <c r="G2525">
        <v>2</v>
      </c>
      <c r="H2525" t="s">
        <v>4009</v>
      </c>
      <c r="I2525" s="2">
        <v>10000</v>
      </c>
    </row>
    <row r="2526" spans="1:9" x14ac:dyDescent="0.3">
      <c r="A2526" s="5">
        <v>8691</v>
      </c>
      <c r="B2526" s="5" t="s">
        <v>4006</v>
      </c>
      <c r="C2526" s="5">
        <v>1</v>
      </c>
      <c r="D2526" s="5" t="s">
        <v>10</v>
      </c>
      <c r="E2526" t="s">
        <v>4007</v>
      </c>
      <c r="F2526" t="s">
        <v>4008</v>
      </c>
      <c r="G2526">
        <v>2</v>
      </c>
      <c r="H2526" t="s">
        <v>4010</v>
      </c>
      <c r="I2526" s="2">
        <v>5000</v>
      </c>
    </row>
    <row r="2527" spans="1:9" x14ac:dyDescent="0.3">
      <c r="A2527" s="5">
        <v>8689</v>
      </c>
      <c r="B2527" s="5" t="s">
        <v>4011</v>
      </c>
      <c r="C2527" s="5">
        <v>1</v>
      </c>
      <c r="D2527" s="5" t="s">
        <v>10</v>
      </c>
      <c r="E2527" t="s">
        <v>4012</v>
      </c>
      <c r="F2527" t="s">
        <v>4013</v>
      </c>
      <c r="G2527">
        <v>3</v>
      </c>
      <c r="H2527" t="s">
        <v>794</v>
      </c>
      <c r="I2527" s="2">
        <v>6500</v>
      </c>
    </row>
    <row r="2528" spans="1:9" x14ac:dyDescent="0.3">
      <c r="A2528" s="5">
        <v>8689</v>
      </c>
      <c r="B2528" s="5" t="s">
        <v>4011</v>
      </c>
      <c r="C2528" s="5">
        <v>1</v>
      </c>
      <c r="D2528" s="5" t="s">
        <v>10</v>
      </c>
      <c r="E2528" t="s">
        <v>4012</v>
      </c>
      <c r="F2528" t="s">
        <v>4013</v>
      </c>
      <c r="G2528">
        <v>3</v>
      </c>
      <c r="H2528" t="s">
        <v>229</v>
      </c>
      <c r="I2528" s="2">
        <v>6000</v>
      </c>
    </row>
    <row r="2529" spans="1:9" x14ac:dyDescent="0.3">
      <c r="A2529" s="5">
        <v>8689</v>
      </c>
      <c r="B2529" s="5" t="s">
        <v>4011</v>
      </c>
      <c r="C2529" s="5">
        <v>1</v>
      </c>
      <c r="D2529" s="5" t="s">
        <v>10</v>
      </c>
      <c r="E2529" t="s">
        <v>4012</v>
      </c>
      <c r="F2529" t="s">
        <v>4013</v>
      </c>
      <c r="G2529">
        <v>3</v>
      </c>
      <c r="H2529" t="s">
        <v>2712</v>
      </c>
      <c r="I2529" s="2">
        <v>6500</v>
      </c>
    </row>
    <row r="2530" spans="1:9" x14ac:dyDescent="0.3">
      <c r="A2530" s="5">
        <v>8687</v>
      </c>
      <c r="B2530" s="5" t="s">
        <v>4014</v>
      </c>
      <c r="C2530" s="5">
        <v>1</v>
      </c>
      <c r="D2530" s="5" t="s">
        <v>10</v>
      </c>
      <c r="E2530" t="s">
        <v>4015</v>
      </c>
      <c r="F2530" t="s">
        <v>4016</v>
      </c>
      <c r="G2530">
        <v>3</v>
      </c>
      <c r="H2530" t="s">
        <v>929</v>
      </c>
      <c r="I2530" s="2">
        <v>6000</v>
      </c>
    </row>
    <row r="2531" spans="1:9" x14ac:dyDescent="0.3">
      <c r="A2531" s="5">
        <v>8687</v>
      </c>
      <c r="B2531" s="5" t="s">
        <v>4014</v>
      </c>
      <c r="C2531" s="5">
        <v>1</v>
      </c>
      <c r="D2531" s="5" t="s">
        <v>10</v>
      </c>
      <c r="E2531" t="s">
        <v>4015</v>
      </c>
      <c r="F2531" t="s">
        <v>4016</v>
      </c>
      <c r="G2531">
        <v>3</v>
      </c>
      <c r="H2531" t="s">
        <v>1042</v>
      </c>
      <c r="I2531" s="2">
        <v>7000</v>
      </c>
    </row>
    <row r="2532" spans="1:9" x14ac:dyDescent="0.3">
      <c r="A2532" s="5">
        <v>8687</v>
      </c>
      <c r="B2532" s="5" t="s">
        <v>4014</v>
      </c>
      <c r="C2532" s="5">
        <v>1</v>
      </c>
      <c r="D2532" s="5" t="s">
        <v>10</v>
      </c>
      <c r="E2532" t="s">
        <v>4015</v>
      </c>
      <c r="F2532" t="s">
        <v>4016</v>
      </c>
      <c r="G2532">
        <v>3</v>
      </c>
      <c r="H2532" t="s">
        <v>929</v>
      </c>
      <c r="I2532" s="2">
        <v>8000</v>
      </c>
    </row>
    <row r="2533" spans="1:9" x14ac:dyDescent="0.3">
      <c r="A2533" s="5">
        <v>8686</v>
      </c>
      <c r="B2533" s="5" t="s">
        <v>4017</v>
      </c>
      <c r="C2533" s="5">
        <v>2</v>
      </c>
      <c r="D2533" s="5" t="s">
        <v>261</v>
      </c>
      <c r="E2533" t="s">
        <v>4018</v>
      </c>
      <c r="F2533" t="s">
        <v>4019</v>
      </c>
      <c r="G2533">
        <v>3</v>
      </c>
      <c r="H2533" t="s">
        <v>265</v>
      </c>
      <c r="I2533" s="2">
        <v>8000</v>
      </c>
    </row>
    <row r="2534" spans="1:9" x14ac:dyDescent="0.3">
      <c r="A2534" s="5">
        <v>8686</v>
      </c>
      <c r="B2534" s="5" t="s">
        <v>4017</v>
      </c>
      <c r="C2534" s="5">
        <v>2</v>
      </c>
      <c r="D2534" s="5" t="s">
        <v>261</v>
      </c>
      <c r="E2534" t="s">
        <v>4018</v>
      </c>
      <c r="F2534" t="s">
        <v>4019</v>
      </c>
      <c r="G2534">
        <v>3</v>
      </c>
      <c r="H2534" t="s">
        <v>4020</v>
      </c>
      <c r="I2534" s="2">
        <v>6500</v>
      </c>
    </row>
    <row r="2535" spans="1:9" x14ac:dyDescent="0.3">
      <c r="A2535" s="5">
        <v>8685</v>
      </c>
      <c r="B2535" s="5" t="s">
        <v>4021</v>
      </c>
      <c r="C2535" s="5">
        <v>1</v>
      </c>
      <c r="D2535" s="5" t="s">
        <v>10</v>
      </c>
      <c r="E2535" t="s">
        <v>4022</v>
      </c>
      <c r="F2535" t="s">
        <v>4023</v>
      </c>
      <c r="G2535">
        <v>3</v>
      </c>
      <c r="H2535" t="s">
        <v>4024</v>
      </c>
      <c r="I2535" s="2">
        <v>9000</v>
      </c>
    </row>
    <row r="2536" spans="1:9" x14ac:dyDescent="0.3">
      <c r="A2536" s="5">
        <v>8685</v>
      </c>
      <c r="B2536" s="5" t="s">
        <v>4021</v>
      </c>
      <c r="C2536" s="5">
        <v>1</v>
      </c>
      <c r="D2536" s="5" t="s">
        <v>10</v>
      </c>
      <c r="E2536" t="s">
        <v>4022</v>
      </c>
      <c r="F2536" t="s">
        <v>4023</v>
      </c>
      <c r="G2536">
        <v>3</v>
      </c>
      <c r="H2536" t="s">
        <v>229</v>
      </c>
      <c r="I2536" s="2">
        <v>9000</v>
      </c>
    </row>
    <row r="2537" spans="1:9" x14ac:dyDescent="0.3">
      <c r="A2537" s="5">
        <v>8685</v>
      </c>
      <c r="B2537" s="5" t="s">
        <v>4021</v>
      </c>
      <c r="C2537" s="5">
        <v>1</v>
      </c>
      <c r="D2537" s="5" t="s">
        <v>10</v>
      </c>
      <c r="E2537" t="s">
        <v>4022</v>
      </c>
      <c r="F2537" t="s">
        <v>4023</v>
      </c>
      <c r="G2537">
        <v>3</v>
      </c>
      <c r="H2537" t="s">
        <v>189</v>
      </c>
      <c r="I2537" s="2">
        <v>13000</v>
      </c>
    </row>
    <row r="2538" spans="1:9" x14ac:dyDescent="0.3">
      <c r="A2538" s="5">
        <v>8682</v>
      </c>
      <c r="B2538" s="5" t="s">
        <v>4025</v>
      </c>
      <c r="C2538" s="5">
        <v>1</v>
      </c>
      <c r="D2538" s="5" t="s">
        <v>10</v>
      </c>
      <c r="E2538" t="s">
        <v>4026</v>
      </c>
      <c r="F2538" t="s">
        <v>4027</v>
      </c>
      <c r="G2538">
        <v>3</v>
      </c>
      <c r="H2538" t="s">
        <v>217</v>
      </c>
      <c r="I2538" s="2">
        <v>10000</v>
      </c>
    </row>
    <row r="2539" spans="1:9" x14ac:dyDescent="0.3">
      <c r="A2539" s="5">
        <v>8682</v>
      </c>
      <c r="B2539" s="5" t="s">
        <v>4025</v>
      </c>
      <c r="C2539" s="5">
        <v>1</v>
      </c>
      <c r="D2539" s="5" t="s">
        <v>10</v>
      </c>
      <c r="E2539" t="s">
        <v>4026</v>
      </c>
      <c r="F2539" t="s">
        <v>4027</v>
      </c>
      <c r="G2539">
        <v>3</v>
      </c>
      <c r="H2539" t="s">
        <v>4028</v>
      </c>
      <c r="I2539" s="2">
        <v>8000</v>
      </c>
    </row>
    <row r="2540" spans="1:9" x14ac:dyDescent="0.3">
      <c r="A2540" s="5">
        <v>8682</v>
      </c>
      <c r="B2540" s="5" t="s">
        <v>4025</v>
      </c>
      <c r="C2540" s="5">
        <v>1</v>
      </c>
      <c r="D2540" s="5" t="s">
        <v>10</v>
      </c>
      <c r="E2540" t="s">
        <v>4026</v>
      </c>
      <c r="F2540" t="s">
        <v>4027</v>
      </c>
      <c r="G2540">
        <v>3</v>
      </c>
      <c r="H2540" t="s">
        <v>229</v>
      </c>
      <c r="I2540" s="2">
        <v>6000</v>
      </c>
    </row>
    <row r="2541" spans="1:9" x14ac:dyDescent="0.3">
      <c r="A2541" s="5">
        <v>8681</v>
      </c>
      <c r="B2541" s="5" t="s">
        <v>3062</v>
      </c>
      <c r="C2541" s="5">
        <v>1</v>
      </c>
      <c r="D2541" s="5" t="s">
        <v>10</v>
      </c>
      <c r="E2541" t="s">
        <v>4029</v>
      </c>
      <c r="F2541" t="s">
        <v>4030</v>
      </c>
      <c r="G2541">
        <v>3</v>
      </c>
      <c r="H2541" t="s">
        <v>4031</v>
      </c>
      <c r="I2541" s="2">
        <v>8000</v>
      </c>
    </row>
    <row r="2542" spans="1:9" x14ac:dyDescent="0.3">
      <c r="A2542" s="5">
        <v>8681</v>
      </c>
      <c r="B2542" s="5" t="s">
        <v>3062</v>
      </c>
      <c r="C2542" s="5">
        <v>1</v>
      </c>
      <c r="D2542" s="5" t="s">
        <v>10</v>
      </c>
      <c r="E2542" t="s">
        <v>4029</v>
      </c>
      <c r="F2542" t="s">
        <v>4030</v>
      </c>
      <c r="G2542">
        <v>3</v>
      </c>
      <c r="H2542" t="s">
        <v>403</v>
      </c>
      <c r="I2542" s="2">
        <v>8000</v>
      </c>
    </row>
    <row r="2543" spans="1:9" x14ac:dyDescent="0.3">
      <c r="A2543" s="5">
        <v>8681</v>
      </c>
      <c r="B2543" s="5" t="s">
        <v>3062</v>
      </c>
      <c r="C2543" s="5">
        <v>1</v>
      </c>
      <c r="D2543" s="5" t="s">
        <v>10</v>
      </c>
      <c r="E2543" t="s">
        <v>4029</v>
      </c>
      <c r="F2543" t="s">
        <v>4030</v>
      </c>
      <c r="G2543">
        <v>3</v>
      </c>
      <c r="H2543" t="s">
        <v>133</v>
      </c>
      <c r="I2543" s="2">
        <v>8000</v>
      </c>
    </row>
    <row r="2544" spans="1:9" x14ac:dyDescent="0.3">
      <c r="A2544" s="5">
        <v>8680</v>
      </c>
      <c r="B2544" s="5" t="s">
        <v>4032</v>
      </c>
      <c r="C2544" s="5">
        <v>1</v>
      </c>
      <c r="D2544" s="5" t="s">
        <v>10</v>
      </c>
      <c r="E2544" t="s">
        <v>4033</v>
      </c>
      <c r="F2544" t="s">
        <v>4034</v>
      </c>
      <c r="G2544">
        <v>3</v>
      </c>
      <c r="H2544" t="s">
        <v>57</v>
      </c>
      <c r="I2544" s="2">
        <v>8000</v>
      </c>
    </row>
    <row r="2545" spans="1:9" x14ac:dyDescent="0.3">
      <c r="A2545" s="5">
        <v>8680</v>
      </c>
      <c r="B2545" s="5" t="s">
        <v>4032</v>
      </c>
      <c r="C2545" s="5">
        <v>1</v>
      </c>
      <c r="D2545" s="5" t="s">
        <v>10</v>
      </c>
      <c r="E2545" t="s">
        <v>4033</v>
      </c>
      <c r="F2545" t="s">
        <v>4034</v>
      </c>
      <c r="G2545">
        <v>3</v>
      </c>
      <c r="H2545" t="s">
        <v>139</v>
      </c>
      <c r="I2545" s="2">
        <v>7000</v>
      </c>
    </row>
    <row r="2546" spans="1:9" x14ac:dyDescent="0.3">
      <c r="A2546" s="5">
        <v>8680</v>
      </c>
      <c r="B2546" s="5" t="s">
        <v>4032</v>
      </c>
      <c r="C2546" s="5">
        <v>1</v>
      </c>
      <c r="D2546" s="5" t="s">
        <v>10</v>
      </c>
      <c r="E2546" t="s">
        <v>4033</v>
      </c>
      <c r="F2546" t="s">
        <v>4034</v>
      </c>
      <c r="G2546">
        <v>3</v>
      </c>
      <c r="H2546" t="s">
        <v>403</v>
      </c>
      <c r="I2546" s="2">
        <v>8000</v>
      </c>
    </row>
    <row r="2547" spans="1:9" x14ac:dyDescent="0.3">
      <c r="A2547" s="5">
        <v>8679</v>
      </c>
      <c r="B2547" s="5" t="s">
        <v>4035</v>
      </c>
      <c r="C2547" s="5">
        <v>3</v>
      </c>
      <c r="D2547" s="5" t="s">
        <v>44</v>
      </c>
      <c r="E2547" t="s">
        <v>4036</v>
      </c>
      <c r="F2547" t="s">
        <v>4037</v>
      </c>
      <c r="G2547">
        <v>3</v>
      </c>
      <c r="H2547" t="s">
        <v>794</v>
      </c>
      <c r="I2547" s="2">
        <v>7000</v>
      </c>
    </row>
    <row r="2548" spans="1:9" x14ac:dyDescent="0.3">
      <c r="A2548" s="5">
        <v>8679</v>
      </c>
      <c r="B2548" s="5" t="s">
        <v>4035</v>
      </c>
      <c r="C2548" s="5">
        <v>3</v>
      </c>
      <c r="D2548" s="5" t="s">
        <v>44</v>
      </c>
      <c r="E2548" t="s">
        <v>4036</v>
      </c>
      <c r="F2548" t="s">
        <v>4037</v>
      </c>
      <c r="G2548">
        <v>3</v>
      </c>
      <c r="H2548" t="s">
        <v>126</v>
      </c>
      <c r="I2548" s="2">
        <v>6000</v>
      </c>
    </row>
    <row r="2549" spans="1:9" x14ac:dyDescent="0.3">
      <c r="A2549" s="5">
        <v>8679</v>
      </c>
      <c r="B2549" s="5" t="s">
        <v>4035</v>
      </c>
      <c r="C2549" s="5">
        <v>3</v>
      </c>
      <c r="D2549" s="5" t="s">
        <v>44</v>
      </c>
      <c r="E2549" t="s">
        <v>4036</v>
      </c>
      <c r="F2549" t="s">
        <v>4037</v>
      </c>
      <c r="G2549">
        <v>3</v>
      </c>
      <c r="H2549" t="s">
        <v>139</v>
      </c>
      <c r="I2549" s="2">
        <v>6000</v>
      </c>
    </row>
    <row r="2550" spans="1:9" x14ac:dyDescent="0.3">
      <c r="A2550" s="5">
        <v>8678</v>
      </c>
      <c r="B2550" s="5" t="s">
        <v>4038</v>
      </c>
      <c r="C2550" s="5">
        <v>1</v>
      </c>
      <c r="D2550" s="5" t="s">
        <v>10</v>
      </c>
      <c r="E2550" t="s">
        <v>4039</v>
      </c>
      <c r="F2550" t="s">
        <v>4040</v>
      </c>
      <c r="G2550">
        <v>3</v>
      </c>
      <c r="H2550" t="s">
        <v>521</v>
      </c>
      <c r="I2550" s="2">
        <v>6000</v>
      </c>
    </row>
    <row r="2551" spans="1:9" x14ac:dyDescent="0.3">
      <c r="A2551" s="5">
        <v>8678</v>
      </c>
      <c r="B2551" s="5" t="s">
        <v>4038</v>
      </c>
      <c r="C2551" s="5">
        <v>1</v>
      </c>
      <c r="D2551" s="5" t="s">
        <v>10</v>
      </c>
      <c r="E2551" t="s">
        <v>4039</v>
      </c>
      <c r="F2551" t="s">
        <v>4040</v>
      </c>
      <c r="G2551">
        <v>3</v>
      </c>
      <c r="H2551" t="s">
        <v>175</v>
      </c>
      <c r="I2551" s="2">
        <v>4000</v>
      </c>
    </row>
    <row r="2552" spans="1:9" x14ac:dyDescent="0.3">
      <c r="A2552" s="5">
        <v>8678</v>
      </c>
      <c r="B2552" s="5" t="s">
        <v>4038</v>
      </c>
      <c r="C2552" s="5">
        <v>1</v>
      </c>
      <c r="D2552" s="5" t="s">
        <v>10</v>
      </c>
      <c r="E2552" t="s">
        <v>4039</v>
      </c>
      <c r="F2552" t="s">
        <v>4040</v>
      </c>
      <c r="G2552">
        <v>3</v>
      </c>
      <c r="H2552" t="s">
        <v>229</v>
      </c>
      <c r="I2552" s="2">
        <v>6000</v>
      </c>
    </row>
    <row r="2553" spans="1:9" x14ac:dyDescent="0.3">
      <c r="A2553" s="5">
        <v>8677</v>
      </c>
      <c r="B2553" s="5" t="s">
        <v>1536</v>
      </c>
      <c r="C2553" s="5">
        <v>5</v>
      </c>
      <c r="D2553" s="5" t="s">
        <v>63</v>
      </c>
      <c r="E2553" t="s">
        <v>4041</v>
      </c>
      <c r="F2553" t="s">
        <v>4042</v>
      </c>
      <c r="G2553">
        <v>2</v>
      </c>
      <c r="H2553" t="s">
        <v>67</v>
      </c>
      <c r="I2553" s="2">
        <v>7000</v>
      </c>
    </row>
    <row r="2554" spans="1:9" x14ac:dyDescent="0.3">
      <c r="A2554" s="5">
        <v>8677</v>
      </c>
      <c r="B2554" s="5" t="s">
        <v>1536</v>
      </c>
      <c r="C2554" s="5">
        <v>5</v>
      </c>
      <c r="D2554" s="5" t="s">
        <v>63</v>
      </c>
      <c r="E2554" t="s">
        <v>4041</v>
      </c>
      <c r="F2554" t="s">
        <v>4042</v>
      </c>
      <c r="G2554">
        <v>2</v>
      </c>
      <c r="H2554" t="s">
        <v>88</v>
      </c>
      <c r="I2554" s="2">
        <v>20000</v>
      </c>
    </row>
    <row r="2555" spans="1:9" x14ac:dyDescent="0.3">
      <c r="A2555" s="5">
        <v>8675</v>
      </c>
      <c r="B2555" s="5" t="s">
        <v>578</v>
      </c>
      <c r="C2555" s="5">
        <v>1</v>
      </c>
      <c r="D2555" s="5" t="s">
        <v>10</v>
      </c>
      <c r="E2555" t="s">
        <v>4043</v>
      </c>
      <c r="F2555" t="s">
        <v>4044</v>
      </c>
      <c r="G2555">
        <v>3</v>
      </c>
      <c r="H2555" t="s">
        <v>4045</v>
      </c>
      <c r="I2555" s="2">
        <v>7000</v>
      </c>
    </row>
    <row r="2556" spans="1:9" x14ac:dyDescent="0.3">
      <c r="A2556" s="5">
        <v>8675</v>
      </c>
      <c r="B2556" s="5" t="s">
        <v>578</v>
      </c>
      <c r="C2556" s="5">
        <v>1</v>
      </c>
      <c r="D2556" s="5" t="s">
        <v>10</v>
      </c>
      <c r="E2556" t="s">
        <v>4043</v>
      </c>
      <c r="F2556" t="s">
        <v>4044</v>
      </c>
      <c r="G2556">
        <v>3</v>
      </c>
      <c r="H2556" t="s">
        <v>374</v>
      </c>
      <c r="I2556" s="2">
        <v>3000</v>
      </c>
    </row>
    <row r="2557" spans="1:9" x14ac:dyDescent="0.3">
      <c r="A2557" s="5">
        <v>8675</v>
      </c>
      <c r="B2557" s="5" t="s">
        <v>578</v>
      </c>
      <c r="C2557" s="5">
        <v>1</v>
      </c>
      <c r="D2557" s="5" t="s">
        <v>10</v>
      </c>
      <c r="E2557" t="s">
        <v>4043</v>
      </c>
      <c r="F2557" t="s">
        <v>4044</v>
      </c>
      <c r="G2557">
        <v>3</v>
      </c>
      <c r="H2557" t="s">
        <v>581</v>
      </c>
      <c r="I2557" s="2">
        <v>4000</v>
      </c>
    </row>
    <row r="2558" spans="1:9" x14ac:dyDescent="0.3">
      <c r="A2558" s="5">
        <v>8675</v>
      </c>
      <c r="B2558" s="5" t="s">
        <v>578</v>
      </c>
      <c r="C2558" s="5">
        <v>1</v>
      </c>
      <c r="D2558" s="5" t="s">
        <v>10</v>
      </c>
      <c r="E2558" t="s">
        <v>4043</v>
      </c>
      <c r="F2558" t="s">
        <v>4044</v>
      </c>
      <c r="G2558">
        <v>3</v>
      </c>
      <c r="H2558" t="s">
        <v>139</v>
      </c>
      <c r="I2558" s="2">
        <v>7000</v>
      </c>
    </row>
    <row r="2559" spans="1:9" x14ac:dyDescent="0.3">
      <c r="A2559" s="5">
        <v>8672</v>
      </c>
      <c r="B2559" s="5" t="s">
        <v>4046</v>
      </c>
      <c r="C2559" s="5">
        <v>1</v>
      </c>
      <c r="D2559" s="5" t="s">
        <v>10</v>
      </c>
      <c r="E2559" t="s">
        <v>4047</v>
      </c>
      <c r="F2559" t="s">
        <v>4048</v>
      </c>
      <c r="G2559">
        <v>3</v>
      </c>
      <c r="H2559" t="s">
        <v>3132</v>
      </c>
      <c r="I2559" s="2">
        <v>6000</v>
      </c>
    </row>
    <row r="2560" spans="1:9" x14ac:dyDescent="0.3">
      <c r="A2560" s="5">
        <v>8672</v>
      </c>
      <c r="B2560" s="5" t="s">
        <v>4046</v>
      </c>
      <c r="C2560" s="5">
        <v>1</v>
      </c>
      <c r="D2560" s="5" t="s">
        <v>10</v>
      </c>
      <c r="E2560" t="s">
        <v>4047</v>
      </c>
      <c r="F2560" t="s">
        <v>4048</v>
      </c>
      <c r="G2560">
        <v>3</v>
      </c>
      <c r="H2560" t="s">
        <v>1655</v>
      </c>
      <c r="I2560" s="2">
        <v>6000</v>
      </c>
    </row>
    <row r="2561" spans="1:9" x14ac:dyDescent="0.3">
      <c r="A2561" s="5">
        <v>8661</v>
      </c>
      <c r="B2561" s="5" t="s">
        <v>4049</v>
      </c>
      <c r="C2561" s="5">
        <v>1</v>
      </c>
      <c r="D2561" s="5" t="s">
        <v>10</v>
      </c>
      <c r="E2561" t="s">
        <v>4050</v>
      </c>
      <c r="F2561" t="s">
        <v>4051</v>
      </c>
      <c r="G2561">
        <v>3</v>
      </c>
      <c r="H2561" t="s">
        <v>2116</v>
      </c>
      <c r="I2561" s="2">
        <v>15000</v>
      </c>
    </row>
    <row r="2562" spans="1:9" x14ac:dyDescent="0.3">
      <c r="A2562" s="5">
        <v>8661</v>
      </c>
      <c r="B2562" s="5" t="s">
        <v>4049</v>
      </c>
      <c r="C2562" s="5">
        <v>1</v>
      </c>
      <c r="D2562" s="5" t="s">
        <v>10</v>
      </c>
      <c r="E2562" t="s">
        <v>4050</v>
      </c>
      <c r="F2562" t="s">
        <v>4051</v>
      </c>
      <c r="G2562">
        <v>3</v>
      </c>
      <c r="H2562" t="s">
        <v>1042</v>
      </c>
      <c r="I2562" s="2">
        <v>6000</v>
      </c>
    </row>
    <row r="2563" spans="1:9" x14ac:dyDescent="0.3">
      <c r="A2563" s="5">
        <v>8659</v>
      </c>
      <c r="B2563" s="5" t="s">
        <v>4052</v>
      </c>
      <c r="C2563" s="5">
        <v>5</v>
      </c>
      <c r="D2563" s="5" t="s">
        <v>63</v>
      </c>
      <c r="E2563" t="s">
        <v>4053</v>
      </c>
      <c r="F2563" t="s">
        <v>4054</v>
      </c>
      <c r="G2563">
        <v>3</v>
      </c>
      <c r="H2563" t="s">
        <v>1105</v>
      </c>
      <c r="I2563" s="2">
        <v>10000</v>
      </c>
    </row>
    <row r="2564" spans="1:9" x14ac:dyDescent="0.3">
      <c r="A2564" s="5">
        <v>8659</v>
      </c>
      <c r="B2564" s="5" t="s">
        <v>4052</v>
      </c>
      <c r="C2564" s="5">
        <v>5</v>
      </c>
      <c r="D2564" s="5" t="s">
        <v>63</v>
      </c>
      <c r="E2564" t="s">
        <v>4053</v>
      </c>
      <c r="F2564" t="s">
        <v>4054</v>
      </c>
      <c r="G2564">
        <v>3</v>
      </c>
      <c r="H2564" t="s">
        <v>1104</v>
      </c>
      <c r="I2564" s="2">
        <v>25000</v>
      </c>
    </row>
    <row r="2565" spans="1:9" x14ac:dyDescent="0.3">
      <c r="A2565" s="5">
        <v>8658</v>
      </c>
      <c r="B2565" s="5" t="s">
        <v>4055</v>
      </c>
      <c r="C2565" s="5">
        <v>5</v>
      </c>
      <c r="D2565" s="5" t="s">
        <v>63</v>
      </c>
      <c r="E2565" t="s">
        <v>4056</v>
      </c>
      <c r="F2565" t="s">
        <v>4057</v>
      </c>
      <c r="G2565">
        <v>3</v>
      </c>
      <c r="H2565" t="s">
        <v>4058</v>
      </c>
      <c r="I2565" s="2">
        <v>5000</v>
      </c>
    </row>
    <row r="2566" spans="1:9" x14ac:dyDescent="0.3">
      <c r="A2566" s="5">
        <v>8657</v>
      </c>
      <c r="B2566" s="5" t="s">
        <v>4059</v>
      </c>
      <c r="C2566" s="5">
        <v>5</v>
      </c>
      <c r="D2566" s="5" t="s">
        <v>63</v>
      </c>
      <c r="E2566" t="s">
        <v>4060</v>
      </c>
      <c r="F2566" t="s">
        <v>4061</v>
      </c>
      <c r="G2566">
        <v>3</v>
      </c>
      <c r="H2566" t="s">
        <v>67</v>
      </c>
      <c r="I2566" s="2">
        <v>6000</v>
      </c>
    </row>
    <row r="2567" spans="1:9" x14ac:dyDescent="0.3">
      <c r="A2567" s="5">
        <v>8657</v>
      </c>
      <c r="B2567" s="5" t="s">
        <v>4059</v>
      </c>
      <c r="C2567" s="5">
        <v>5</v>
      </c>
      <c r="D2567" s="5" t="s">
        <v>63</v>
      </c>
      <c r="E2567" t="s">
        <v>4060</v>
      </c>
      <c r="F2567" t="s">
        <v>4061</v>
      </c>
      <c r="G2567">
        <v>3</v>
      </c>
      <c r="H2567" t="s">
        <v>66</v>
      </c>
      <c r="I2567" s="2">
        <v>10000</v>
      </c>
    </row>
    <row r="2568" spans="1:9" x14ac:dyDescent="0.3">
      <c r="A2568" s="5">
        <v>8656</v>
      </c>
      <c r="B2568" s="5" t="s">
        <v>4062</v>
      </c>
      <c r="C2568" s="5">
        <v>5</v>
      </c>
      <c r="D2568" s="5" t="s">
        <v>63</v>
      </c>
      <c r="E2568" t="s">
        <v>4063</v>
      </c>
      <c r="F2568" t="s">
        <v>4064</v>
      </c>
      <c r="G2568">
        <v>3</v>
      </c>
      <c r="H2568" t="s">
        <v>4058</v>
      </c>
      <c r="I2568" s="2">
        <v>8000</v>
      </c>
    </row>
    <row r="2569" spans="1:9" x14ac:dyDescent="0.3">
      <c r="A2569" s="5">
        <v>8654</v>
      </c>
      <c r="B2569" s="5" t="s">
        <v>1303</v>
      </c>
      <c r="C2569" s="5">
        <v>7</v>
      </c>
      <c r="D2569" s="5" t="s">
        <v>360</v>
      </c>
      <c r="E2569" t="s">
        <v>4065</v>
      </c>
      <c r="F2569" t="s">
        <v>4066</v>
      </c>
      <c r="G2569">
        <v>3</v>
      </c>
      <c r="H2569" t="s">
        <v>4067</v>
      </c>
      <c r="I2569" s="2">
        <v>6000</v>
      </c>
    </row>
    <row r="2570" spans="1:9" x14ac:dyDescent="0.3">
      <c r="A2570" s="5">
        <v>8652</v>
      </c>
      <c r="B2570" s="5" t="s">
        <v>4068</v>
      </c>
      <c r="C2570" s="5">
        <v>3</v>
      </c>
      <c r="D2570" s="5" t="s">
        <v>44</v>
      </c>
      <c r="E2570" t="s">
        <v>4069</v>
      </c>
      <c r="F2570" t="s">
        <v>4070</v>
      </c>
      <c r="G2570">
        <v>4</v>
      </c>
      <c r="H2570" t="s">
        <v>4071</v>
      </c>
      <c r="I2570" s="2">
        <v>10000</v>
      </c>
    </row>
    <row r="2571" spans="1:9" x14ac:dyDescent="0.3">
      <c r="A2571" s="5">
        <v>8649</v>
      </c>
      <c r="B2571" s="5" t="s">
        <v>4072</v>
      </c>
      <c r="C2571" s="5">
        <v>2</v>
      </c>
      <c r="D2571" s="5" t="s">
        <v>261</v>
      </c>
      <c r="E2571" t="s">
        <v>4073</v>
      </c>
      <c r="F2571" t="s">
        <v>4074</v>
      </c>
      <c r="G2571">
        <v>3</v>
      </c>
      <c r="H2571" t="s">
        <v>641</v>
      </c>
      <c r="I2571" s="2">
        <v>17000</v>
      </c>
    </row>
    <row r="2572" spans="1:9" x14ac:dyDescent="0.3">
      <c r="A2572" s="5">
        <v>8649</v>
      </c>
      <c r="B2572" s="5" t="s">
        <v>4072</v>
      </c>
      <c r="C2572" s="5">
        <v>2</v>
      </c>
      <c r="D2572" s="5" t="s">
        <v>261</v>
      </c>
      <c r="E2572" t="s">
        <v>4073</v>
      </c>
      <c r="F2572" t="s">
        <v>4074</v>
      </c>
      <c r="G2572">
        <v>3</v>
      </c>
      <c r="H2572" t="s">
        <v>265</v>
      </c>
      <c r="I2572" s="2">
        <v>8000</v>
      </c>
    </row>
    <row r="2573" spans="1:9" x14ac:dyDescent="0.3">
      <c r="A2573" s="5">
        <v>8649</v>
      </c>
      <c r="B2573" s="5" t="s">
        <v>4072</v>
      </c>
      <c r="C2573" s="5">
        <v>2</v>
      </c>
      <c r="D2573" s="5" t="s">
        <v>261</v>
      </c>
      <c r="E2573" t="s">
        <v>4073</v>
      </c>
      <c r="F2573" t="s">
        <v>4074</v>
      </c>
      <c r="G2573">
        <v>3</v>
      </c>
      <c r="H2573" t="s">
        <v>642</v>
      </c>
      <c r="I2573" s="2">
        <v>6000</v>
      </c>
    </row>
    <row r="2574" spans="1:9" x14ac:dyDescent="0.3">
      <c r="A2574" s="5">
        <v>8647</v>
      </c>
      <c r="B2574" s="5" t="s">
        <v>3994</v>
      </c>
      <c r="C2574" s="5">
        <v>1</v>
      </c>
      <c r="D2574" s="5" t="s">
        <v>10</v>
      </c>
      <c r="E2574" t="s">
        <v>4075</v>
      </c>
      <c r="F2574" t="s">
        <v>4076</v>
      </c>
      <c r="G2574">
        <v>3</v>
      </c>
      <c r="H2574" t="s">
        <v>2116</v>
      </c>
      <c r="I2574" s="2">
        <v>13000</v>
      </c>
    </row>
    <row r="2575" spans="1:9" x14ac:dyDescent="0.3">
      <c r="A2575" s="5">
        <v>8647</v>
      </c>
      <c r="B2575" s="5" t="s">
        <v>3994</v>
      </c>
      <c r="C2575" s="5">
        <v>1</v>
      </c>
      <c r="D2575" s="5" t="s">
        <v>10</v>
      </c>
      <c r="E2575" t="s">
        <v>4075</v>
      </c>
      <c r="F2575" t="s">
        <v>4076</v>
      </c>
      <c r="G2575">
        <v>3</v>
      </c>
      <c r="H2575" t="s">
        <v>2116</v>
      </c>
      <c r="I2575" s="2">
        <v>13000</v>
      </c>
    </row>
    <row r="2576" spans="1:9" x14ac:dyDescent="0.3">
      <c r="A2576" s="5">
        <v>8647</v>
      </c>
      <c r="B2576" s="5" t="s">
        <v>3994</v>
      </c>
      <c r="C2576" s="5">
        <v>1</v>
      </c>
      <c r="D2576" s="5" t="s">
        <v>10</v>
      </c>
      <c r="E2576" t="s">
        <v>4075</v>
      </c>
      <c r="F2576" t="s">
        <v>4076</v>
      </c>
      <c r="G2576">
        <v>3</v>
      </c>
      <c r="H2576" t="s">
        <v>3284</v>
      </c>
      <c r="I2576" s="2">
        <v>12000</v>
      </c>
    </row>
    <row r="2577" spans="1:9" x14ac:dyDescent="0.3">
      <c r="A2577" s="5">
        <v>8647</v>
      </c>
      <c r="B2577" s="5" t="s">
        <v>3994</v>
      </c>
      <c r="C2577" s="5">
        <v>1</v>
      </c>
      <c r="D2577" s="5" t="s">
        <v>10</v>
      </c>
      <c r="E2577" t="s">
        <v>4075</v>
      </c>
      <c r="F2577" t="s">
        <v>4076</v>
      </c>
      <c r="G2577">
        <v>3</v>
      </c>
      <c r="H2577" t="s">
        <v>217</v>
      </c>
      <c r="I2577" s="2">
        <v>15000</v>
      </c>
    </row>
    <row r="2578" spans="1:9" x14ac:dyDescent="0.3">
      <c r="A2578" s="5">
        <v>8646</v>
      </c>
      <c r="B2578" s="5" t="s">
        <v>4077</v>
      </c>
      <c r="C2578" s="5">
        <v>1</v>
      </c>
      <c r="D2578" s="5" t="s">
        <v>10</v>
      </c>
      <c r="E2578" t="s">
        <v>4078</v>
      </c>
      <c r="F2578" t="s">
        <v>4079</v>
      </c>
      <c r="G2578">
        <v>3</v>
      </c>
      <c r="H2578" t="s">
        <v>139</v>
      </c>
      <c r="I2578" s="2">
        <v>6000</v>
      </c>
    </row>
    <row r="2579" spans="1:9" x14ac:dyDescent="0.3">
      <c r="A2579" s="5">
        <v>8646</v>
      </c>
      <c r="B2579" s="5" t="s">
        <v>4077</v>
      </c>
      <c r="C2579" s="5">
        <v>1</v>
      </c>
      <c r="D2579" s="5" t="s">
        <v>10</v>
      </c>
      <c r="E2579" t="s">
        <v>4078</v>
      </c>
      <c r="F2579" t="s">
        <v>4079</v>
      </c>
      <c r="G2579">
        <v>3</v>
      </c>
      <c r="H2579" t="s">
        <v>126</v>
      </c>
      <c r="I2579" s="2">
        <v>6000</v>
      </c>
    </row>
    <row r="2580" spans="1:9" x14ac:dyDescent="0.3">
      <c r="A2580" s="5">
        <v>8646</v>
      </c>
      <c r="B2580" s="5" t="s">
        <v>4077</v>
      </c>
      <c r="C2580" s="5">
        <v>1</v>
      </c>
      <c r="D2580" s="5" t="s">
        <v>10</v>
      </c>
      <c r="E2580" t="s">
        <v>4078</v>
      </c>
      <c r="F2580" t="s">
        <v>4079</v>
      </c>
      <c r="G2580">
        <v>3</v>
      </c>
      <c r="H2580" t="s">
        <v>21</v>
      </c>
      <c r="I2580" s="2">
        <v>6000</v>
      </c>
    </row>
    <row r="2581" spans="1:9" x14ac:dyDescent="0.3">
      <c r="A2581" s="5">
        <v>8646</v>
      </c>
      <c r="B2581" s="5" t="s">
        <v>4077</v>
      </c>
      <c r="C2581" s="5">
        <v>1</v>
      </c>
      <c r="D2581" s="5" t="s">
        <v>10</v>
      </c>
      <c r="E2581" t="s">
        <v>4078</v>
      </c>
      <c r="F2581" t="s">
        <v>4079</v>
      </c>
      <c r="G2581">
        <v>3</v>
      </c>
      <c r="H2581" t="s">
        <v>1001</v>
      </c>
      <c r="I2581" s="2">
        <v>14000</v>
      </c>
    </row>
    <row r="2582" spans="1:9" x14ac:dyDescent="0.3">
      <c r="A2582" s="5">
        <v>8644</v>
      </c>
      <c r="B2582" s="5" t="s">
        <v>4080</v>
      </c>
      <c r="C2582" s="5">
        <v>1</v>
      </c>
      <c r="D2582" s="5" t="s">
        <v>10</v>
      </c>
      <c r="E2582" t="s">
        <v>4081</v>
      </c>
      <c r="F2582" t="s">
        <v>4082</v>
      </c>
      <c r="G2582">
        <v>3</v>
      </c>
      <c r="H2582" t="s">
        <v>126</v>
      </c>
      <c r="I2582" s="2">
        <v>7000</v>
      </c>
    </row>
    <row r="2583" spans="1:9" x14ac:dyDescent="0.3">
      <c r="A2583" s="5">
        <v>8644</v>
      </c>
      <c r="B2583" s="5" t="s">
        <v>4080</v>
      </c>
      <c r="C2583" s="5">
        <v>1</v>
      </c>
      <c r="D2583" s="5" t="s">
        <v>10</v>
      </c>
      <c r="E2583" t="s">
        <v>4081</v>
      </c>
      <c r="F2583" t="s">
        <v>4082</v>
      </c>
      <c r="G2583">
        <v>3</v>
      </c>
      <c r="H2583" t="s">
        <v>229</v>
      </c>
      <c r="I2583" s="2">
        <v>5000</v>
      </c>
    </row>
    <row r="2584" spans="1:9" x14ac:dyDescent="0.3">
      <c r="A2584" s="5">
        <v>8641</v>
      </c>
      <c r="B2584" s="5" t="s">
        <v>4083</v>
      </c>
      <c r="C2584" s="5">
        <v>1</v>
      </c>
      <c r="D2584" s="5" t="s">
        <v>10</v>
      </c>
      <c r="E2584" t="s">
        <v>4084</v>
      </c>
      <c r="F2584" t="s">
        <v>4085</v>
      </c>
      <c r="G2584">
        <v>2</v>
      </c>
      <c r="H2584" t="s">
        <v>126</v>
      </c>
      <c r="I2584" s="2">
        <v>7000</v>
      </c>
    </row>
    <row r="2585" spans="1:9" x14ac:dyDescent="0.3">
      <c r="A2585" s="5">
        <v>8638</v>
      </c>
      <c r="B2585" s="5" t="s">
        <v>1521</v>
      </c>
      <c r="C2585" s="5">
        <v>1</v>
      </c>
      <c r="D2585" s="5" t="s">
        <v>10</v>
      </c>
      <c r="E2585" t="s">
        <v>4086</v>
      </c>
      <c r="F2585" t="s">
        <v>4087</v>
      </c>
      <c r="G2585">
        <v>2</v>
      </c>
      <c r="H2585" t="s">
        <v>4088</v>
      </c>
      <c r="I2585" s="2">
        <v>11000</v>
      </c>
    </row>
    <row r="2586" spans="1:9" x14ac:dyDescent="0.3">
      <c r="A2586" s="5">
        <v>8638</v>
      </c>
      <c r="B2586" s="5" t="s">
        <v>1521</v>
      </c>
      <c r="C2586" s="5">
        <v>1</v>
      </c>
      <c r="D2586" s="5" t="s">
        <v>10</v>
      </c>
      <c r="E2586" t="s">
        <v>4086</v>
      </c>
      <c r="F2586" t="s">
        <v>4087</v>
      </c>
      <c r="G2586">
        <v>2</v>
      </c>
      <c r="H2586" t="s">
        <v>1042</v>
      </c>
      <c r="I2586" s="2">
        <v>5000</v>
      </c>
    </row>
    <row r="2587" spans="1:9" x14ac:dyDescent="0.3">
      <c r="A2587" s="5">
        <v>8636</v>
      </c>
      <c r="B2587" s="5" t="s">
        <v>4089</v>
      </c>
      <c r="C2587" s="5">
        <v>5</v>
      </c>
      <c r="D2587" s="5" t="s">
        <v>63</v>
      </c>
      <c r="E2587" t="s">
        <v>4090</v>
      </c>
      <c r="F2587" t="s">
        <v>4091</v>
      </c>
      <c r="G2587">
        <v>2</v>
      </c>
      <c r="H2587" t="s">
        <v>1104</v>
      </c>
      <c r="I2587" s="2">
        <v>30000</v>
      </c>
    </row>
    <row r="2588" spans="1:9" x14ac:dyDescent="0.3">
      <c r="A2588" s="5">
        <v>8636</v>
      </c>
      <c r="B2588" s="5" t="s">
        <v>4089</v>
      </c>
      <c r="C2588" s="5">
        <v>5</v>
      </c>
      <c r="D2588" s="5" t="s">
        <v>63</v>
      </c>
      <c r="E2588" t="s">
        <v>4090</v>
      </c>
      <c r="F2588" t="s">
        <v>4091</v>
      </c>
      <c r="G2588">
        <v>2</v>
      </c>
      <c r="H2588" t="s">
        <v>1105</v>
      </c>
      <c r="I2588" s="2">
        <v>10000</v>
      </c>
    </row>
    <row r="2589" spans="1:9" x14ac:dyDescent="0.3">
      <c r="A2589" s="5">
        <v>8635</v>
      </c>
      <c r="B2589" s="5" t="s">
        <v>4092</v>
      </c>
      <c r="C2589" s="5">
        <v>5</v>
      </c>
      <c r="D2589" s="5" t="s">
        <v>63</v>
      </c>
      <c r="E2589" t="s">
        <v>4093</v>
      </c>
      <c r="F2589" t="s">
        <v>4094</v>
      </c>
      <c r="G2589">
        <v>2</v>
      </c>
      <c r="H2589" t="s">
        <v>1104</v>
      </c>
      <c r="I2589" s="2">
        <v>30000</v>
      </c>
    </row>
    <row r="2590" spans="1:9" x14ac:dyDescent="0.3">
      <c r="A2590" s="5">
        <v>8635</v>
      </c>
      <c r="B2590" s="5" t="s">
        <v>4092</v>
      </c>
      <c r="C2590" s="5">
        <v>5</v>
      </c>
      <c r="D2590" s="5" t="s">
        <v>63</v>
      </c>
      <c r="E2590" t="s">
        <v>4093</v>
      </c>
      <c r="F2590" t="s">
        <v>4094</v>
      </c>
      <c r="G2590">
        <v>2</v>
      </c>
      <c r="H2590" t="s">
        <v>1104</v>
      </c>
      <c r="I2590" s="2">
        <v>35000</v>
      </c>
    </row>
    <row r="2591" spans="1:9" x14ac:dyDescent="0.3">
      <c r="A2591" s="5">
        <v>8635</v>
      </c>
      <c r="B2591" s="5" t="s">
        <v>4092</v>
      </c>
      <c r="C2591" s="5">
        <v>5</v>
      </c>
      <c r="D2591" s="5" t="s">
        <v>63</v>
      </c>
      <c r="E2591" t="s">
        <v>4093</v>
      </c>
      <c r="F2591" t="s">
        <v>4094</v>
      </c>
      <c r="G2591">
        <v>2</v>
      </c>
      <c r="H2591" t="s">
        <v>1105</v>
      </c>
      <c r="I2591" s="2">
        <v>12000</v>
      </c>
    </row>
    <row r="2592" spans="1:9" x14ac:dyDescent="0.3">
      <c r="A2592" s="5">
        <v>8633</v>
      </c>
      <c r="B2592" s="5" t="s">
        <v>4095</v>
      </c>
      <c r="C2592" s="5">
        <v>1</v>
      </c>
      <c r="D2592" s="5" t="s">
        <v>10</v>
      </c>
      <c r="E2592" t="s">
        <v>4096</v>
      </c>
      <c r="F2592" t="s">
        <v>4097</v>
      </c>
      <c r="G2592">
        <v>155</v>
      </c>
      <c r="H2592" t="s">
        <v>4098</v>
      </c>
      <c r="I2592" s="2">
        <v>40000</v>
      </c>
    </row>
    <row r="2593" spans="1:9" x14ac:dyDescent="0.3">
      <c r="A2593" s="5">
        <v>8633</v>
      </c>
      <c r="B2593" s="5" t="s">
        <v>4095</v>
      </c>
      <c r="C2593" s="5">
        <v>1</v>
      </c>
      <c r="D2593" s="5" t="s">
        <v>10</v>
      </c>
      <c r="E2593" t="s">
        <v>4096</v>
      </c>
      <c r="F2593" t="s">
        <v>4097</v>
      </c>
      <c r="G2593">
        <v>155</v>
      </c>
      <c r="H2593" t="s">
        <v>4099</v>
      </c>
      <c r="I2593" s="2">
        <v>11000</v>
      </c>
    </row>
    <row r="2594" spans="1:9" x14ac:dyDescent="0.3">
      <c r="A2594" s="5">
        <v>8630</v>
      </c>
      <c r="B2594" s="5" t="s">
        <v>4100</v>
      </c>
      <c r="C2594" s="5">
        <v>2</v>
      </c>
      <c r="D2594" s="5" t="s">
        <v>261</v>
      </c>
      <c r="E2594" t="s">
        <v>4101</v>
      </c>
      <c r="F2594" t="s">
        <v>4102</v>
      </c>
      <c r="G2594">
        <v>2</v>
      </c>
      <c r="H2594" t="s">
        <v>642</v>
      </c>
      <c r="I2594" s="2">
        <v>6500</v>
      </c>
    </row>
    <row r="2595" spans="1:9" x14ac:dyDescent="0.3">
      <c r="A2595" s="5">
        <v>8630</v>
      </c>
      <c r="B2595" s="5" t="s">
        <v>4100</v>
      </c>
      <c r="C2595" s="5">
        <v>2</v>
      </c>
      <c r="D2595" s="5" t="s">
        <v>261</v>
      </c>
      <c r="E2595" t="s">
        <v>4101</v>
      </c>
      <c r="F2595" t="s">
        <v>4102</v>
      </c>
      <c r="G2595">
        <v>2</v>
      </c>
      <c r="H2595" t="s">
        <v>2429</v>
      </c>
      <c r="I2595" s="2">
        <v>24000</v>
      </c>
    </row>
    <row r="2596" spans="1:9" x14ac:dyDescent="0.3">
      <c r="A2596" s="5">
        <v>8630</v>
      </c>
      <c r="B2596" s="5" t="s">
        <v>4100</v>
      </c>
      <c r="C2596" s="5">
        <v>2</v>
      </c>
      <c r="D2596" s="5" t="s">
        <v>261</v>
      </c>
      <c r="E2596" t="s">
        <v>4101</v>
      </c>
      <c r="F2596" t="s">
        <v>4102</v>
      </c>
      <c r="G2596">
        <v>2</v>
      </c>
      <c r="H2596" t="s">
        <v>265</v>
      </c>
      <c r="I2596" s="2">
        <v>7500</v>
      </c>
    </row>
    <row r="2597" spans="1:9" x14ac:dyDescent="0.3">
      <c r="A2597" s="5">
        <v>8626</v>
      </c>
      <c r="B2597" s="5" t="s">
        <v>4103</v>
      </c>
      <c r="C2597" s="5">
        <v>5</v>
      </c>
      <c r="D2597" s="5" t="s">
        <v>63</v>
      </c>
      <c r="E2597" t="s">
        <v>4104</v>
      </c>
      <c r="F2597" t="s">
        <v>4105</v>
      </c>
      <c r="G2597">
        <v>3</v>
      </c>
      <c r="H2597" t="s">
        <v>1105</v>
      </c>
      <c r="I2597" s="2">
        <v>10000</v>
      </c>
    </row>
    <row r="2598" spans="1:9" x14ac:dyDescent="0.3">
      <c r="A2598" s="5">
        <v>8626</v>
      </c>
      <c r="B2598" s="5" t="s">
        <v>4103</v>
      </c>
      <c r="C2598" s="5">
        <v>5</v>
      </c>
      <c r="D2598" s="5" t="s">
        <v>63</v>
      </c>
      <c r="E2598" t="s">
        <v>4104</v>
      </c>
      <c r="F2598" t="s">
        <v>4105</v>
      </c>
      <c r="G2598">
        <v>3</v>
      </c>
      <c r="H2598" t="s">
        <v>1104</v>
      </c>
      <c r="I2598" s="2">
        <v>30000</v>
      </c>
    </row>
    <row r="2599" spans="1:9" x14ac:dyDescent="0.3">
      <c r="A2599" s="5">
        <v>8621</v>
      </c>
      <c r="B2599" s="5" t="s">
        <v>1521</v>
      </c>
      <c r="C2599" s="5">
        <v>1</v>
      </c>
      <c r="D2599" s="5" t="s">
        <v>10</v>
      </c>
      <c r="E2599" t="s">
        <v>4106</v>
      </c>
      <c r="F2599" t="s">
        <v>4107</v>
      </c>
      <c r="G2599">
        <v>3</v>
      </c>
      <c r="H2599" t="s">
        <v>4108</v>
      </c>
      <c r="I2599" s="2">
        <v>15000</v>
      </c>
    </row>
    <row r="2600" spans="1:9" x14ac:dyDescent="0.3">
      <c r="A2600" s="5">
        <v>8621</v>
      </c>
      <c r="B2600" s="5" t="s">
        <v>1521</v>
      </c>
      <c r="C2600" s="5">
        <v>1</v>
      </c>
      <c r="D2600" s="5" t="s">
        <v>10</v>
      </c>
      <c r="E2600" t="s">
        <v>4106</v>
      </c>
      <c r="F2600" t="s">
        <v>4107</v>
      </c>
      <c r="G2600">
        <v>3</v>
      </c>
      <c r="H2600" t="s">
        <v>1042</v>
      </c>
      <c r="I2600" s="2">
        <v>9000</v>
      </c>
    </row>
    <row r="2601" spans="1:9" x14ac:dyDescent="0.3">
      <c r="A2601" s="5">
        <v>8619</v>
      </c>
      <c r="B2601" s="5" t="s">
        <v>4109</v>
      </c>
      <c r="C2601" s="5">
        <v>5</v>
      </c>
      <c r="D2601" s="5" t="s">
        <v>63</v>
      </c>
      <c r="E2601" t="s">
        <v>4110</v>
      </c>
      <c r="F2601" t="s">
        <v>4111</v>
      </c>
      <c r="G2601">
        <v>3</v>
      </c>
      <c r="H2601" t="s">
        <v>1105</v>
      </c>
      <c r="I2601" s="2">
        <v>13000</v>
      </c>
    </row>
    <row r="2602" spans="1:9" x14ac:dyDescent="0.3">
      <c r="A2602" s="5">
        <v>8619</v>
      </c>
      <c r="B2602" s="5" t="s">
        <v>4109</v>
      </c>
      <c r="C2602" s="5">
        <v>5</v>
      </c>
      <c r="D2602" s="5" t="s">
        <v>63</v>
      </c>
      <c r="E2602" t="s">
        <v>4110</v>
      </c>
      <c r="F2602" t="s">
        <v>4111</v>
      </c>
      <c r="G2602">
        <v>3</v>
      </c>
      <c r="H2602" t="s">
        <v>1104</v>
      </c>
      <c r="I2602" s="2">
        <v>30000</v>
      </c>
    </row>
    <row r="2603" spans="1:9" x14ac:dyDescent="0.3">
      <c r="A2603" s="5">
        <v>8617</v>
      </c>
      <c r="B2603" s="5" t="s">
        <v>4112</v>
      </c>
      <c r="C2603" s="5">
        <v>5</v>
      </c>
      <c r="D2603" s="5" t="s">
        <v>63</v>
      </c>
      <c r="E2603" t="s">
        <v>4113</v>
      </c>
      <c r="F2603" t="s">
        <v>4114</v>
      </c>
      <c r="G2603">
        <v>3</v>
      </c>
      <c r="H2603" t="s">
        <v>1104</v>
      </c>
      <c r="I2603" s="2">
        <v>30000</v>
      </c>
    </row>
    <row r="2604" spans="1:9" x14ac:dyDescent="0.3">
      <c r="A2604" s="5">
        <v>8616</v>
      </c>
      <c r="B2604" s="5" t="s">
        <v>4115</v>
      </c>
      <c r="C2604" s="5">
        <v>1</v>
      </c>
      <c r="D2604" s="5" t="s">
        <v>10</v>
      </c>
      <c r="E2604" t="s">
        <v>4116</v>
      </c>
      <c r="F2604" t="s">
        <v>4117</v>
      </c>
      <c r="G2604">
        <v>4</v>
      </c>
      <c r="H2604" t="s">
        <v>4118</v>
      </c>
      <c r="I2604" s="2">
        <v>6000</v>
      </c>
    </row>
    <row r="2605" spans="1:9" x14ac:dyDescent="0.3">
      <c r="A2605" s="5">
        <v>8616</v>
      </c>
      <c r="B2605" s="5" t="s">
        <v>4115</v>
      </c>
      <c r="C2605" s="5">
        <v>1</v>
      </c>
      <c r="D2605" s="5" t="s">
        <v>10</v>
      </c>
      <c r="E2605" t="s">
        <v>4116</v>
      </c>
      <c r="F2605" t="s">
        <v>4117</v>
      </c>
      <c r="G2605">
        <v>4</v>
      </c>
      <c r="H2605" t="s">
        <v>3469</v>
      </c>
      <c r="I2605" s="2">
        <v>8000</v>
      </c>
    </row>
    <row r="2606" spans="1:9" x14ac:dyDescent="0.3">
      <c r="A2606" s="5">
        <v>8616</v>
      </c>
      <c r="B2606" s="5" t="s">
        <v>4115</v>
      </c>
      <c r="C2606" s="5">
        <v>1</v>
      </c>
      <c r="D2606" s="5" t="s">
        <v>10</v>
      </c>
      <c r="E2606" t="s">
        <v>4116</v>
      </c>
      <c r="F2606" t="s">
        <v>4117</v>
      </c>
      <c r="G2606">
        <v>4</v>
      </c>
      <c r="H2606" t="s">
        <v>4119</v>
      </c>
      <c r="I2606" s="2">
        <v>9000</v>
      </c>
    </row>
    <row r="2607" spans="1:9" x14ac:dyDescent="0.3">
      <c r="A2607" s="5">
        <v>8615</v>
      </c>
      <c r="B2607" s="5" t="s">
        <v>4120</v>
      </c>
      <c r="C2607" s="5">
        <v>1</v>
      </c>
      <c r="D2607" s="5" t="s">
        <v>10</v>
      </c>
      <c r="E2607" t="s">
        <v>4121</v>
      </c>
      <c r="F2607" t="s">
        <v>4122</v>
      </c>
      <c r="G2607">
        <v>3</v>
      </c>
      <c r="H2607" t="s">
        <v>21</v>
      </c>
      <c r="I2607" s="2">
        <v>8000</v>
      </c>
    </row>
    <row r="2608" spans="1:9" x14ac:dyDescent="0.3">
      <c r="A2608" s="5">
        <v>8615</v>
      </c>
      <c r="B2608" s="5" t="s">
        <v>4120</v>
      </c>
      <c r="C2608" s="5">
        <v>1</v>
      </c>
      <c r="D2608" s="5" t="s">
        <v>10</v>
      </c>
      <c r="E2608" t="s">
        <v>4121</v>
      </c>
      <c r="F2608" t="s">
        <v>4122</v>
      </c>
      <c r="G2608">
        <v>3</v>
      </c>
      <c r="H2608" t="s">
        <v>229</v>
      </c>
      <c r="I2608" s="2">
        <v>7000</v>
      </c>
    </row>
    <row r="2609" spans="1:9" x14ac:dyDescent="0.3">
      <c r="A2609" s="5">
        <v>8613</v>
      </c>
      <c r="B2609" s="5" t="s">
        <v>4123</v>
      </c>
      <c r="C2609" s="5">
        <v>1</v>
      </c>
      <c r="D2609" s="5" t="s">
        <v>10</v>
      </c>
      <c r="E2609" t="s">
        <v>4124</v>
      </c>
      <c r="F2609" t="s">
        <v>4125</v>
      </c>
      <c r="G2609">
        <v>3</v>
      </c>
      <c r="H2609" t="s">
        <v>3606</v>
      </c>
      <c r="I2609" s="2">
        <v>11000</v>
      </c>
    </row>
    <row r="2610" spans="1:9" x14ac:dyDescent="0.3">
      <c r="A2610" s="5">
        <v>8613</v>
      </c>
      <c r="B2610" s="5" t="s">
        <v>4123</v>
      </c>
      <c r="C2610" s="5">
        <v>1</v>
      </c>
      <c r="D2610" s="5" t="s">
        <v>10</v>
      </c>
      <c r="E2610" t="s">
        <v>4124</v>
      </c>
      <c r="F2610" t="s">
        <v>4125</v>
      </c>
      <c r="G2610">
        <v>3</v>
      </c>
      <c r="H2610" t="s">
        <v>4126</v>
      </c>
      <c r="I2610" s="2">
        <v>11000</v>
      </c>
    </row>
    <row r="2611" spans="1:9" x14ac:dyDescent="0.3">
      <c r="A2611" s="5">
        <v>8613</v>
      </c>
      <c r="B2611" s="5" t="s">
        <v>4123</v>
      </c>
      <c r="C2611" s="5">
        <v>1</v>
      </c>
      <c r="D2611" s="5" t="s">
        <v>10</v>
      </c>
      <c r="E2611" t="s">
        <v>4124</v>
      </c>
      <c r="F2611" t="s">
        <v>4125</v>
      </c>
      <c r="G2611">
        <v>3</v>
      </c>
      <c r="H2611" t="s">
        <v>4010</v>
      </c>
      <c r="I2611" s="2">
        <v>5000</v>
      </c>
    </row>
    <row r="2612" spans="1:9" x14ac:dyDescent="0.3">
      <c r="A2612" s="5">
        <v>8608</v>
      </c>
      <c r="B2612" s="5" t="s">
        <v>4127</v>
      </c>
      <c r="C2612" s="5">
        <v>5</v>
      </c>
      <c r="D2612" s="5" t="s">
        <v>63</v>
      </c>
      <c r="E2612" t="s">
        <v>4128</v>
      </c>
      <c r="F2612" t="s">
        <v>4129</v>
      </c>
      <c r="G2612">
        <v>3</v>
      </c>
      <c r="H2612" t="s">
        <v>67</v>
      </c>
      <c r="I2612" s="2">
        <v>12000</v>
      </c>
    </row>
    <row r="2613" spans="1:9" x14ac:dyDescent="0.3">
      <c r="A2613" s="5">
        <v>8608</v>
      </c>
      <c r="B2613" s="5" t="s">
        <v>4127</v>
      </c>
      <c r="C2613" s="5">
        <v>5</v>
      </c>
      <c r="D2613" s="5" t="s">
        <v>63</v>
      </c>
      <c r="E2613" t="s">
        <v>4128</v>
      </c>
      <c r="F2613" t="s">
        <v>4129</v>
      </c>
      <c r="G2613">
        <v>3</v>
      </c>
      <c r="H2613" t="s">
        <v>88</v>
      </c>
      <c r="I2613" s="2">
        <v>50000</v>
      </c>
    </row>
    <row r="2614" spans="1:9" x14ac:dyDescent="0.3">
      <c r="A2614" s="5">
        <v>8606</v>
      </c>
      <c r="B2614" s="5" t="s">
        <v>4130</v>
      </c>
      <c r="C2614" s="5">
        <v>1</v>
      </c>
      <c r="D2614" s="5" t="s">
        <v>10</v>
      </c>
      <c r="E2614" t="s">
        <v>4131</v>
      </c>
      <c r="F2614" t="s">
        <v>4132</v>
      </c>
      <c r="G2614">
        <v>3</v>
      </c>
      <c r="H2614" t="s">
        <v>126</v>
      </c>
      <c r="I2614" s="2">
        <v>6000</v>
      </c>
    </row>
    <row r="2615" spans="1:9" x14ac:dyDescent="0.3">
      <c r="A2615" s="5">
        <v>8606</v>
      </c>
      <c r="B2615" s="5" t="s">
        <v>4130</v>
      </c>
      <c r="C2615" s="5">
        <v>1</v>
      </c>
      <c r="D2615" s="5" t="s">
        <v>10</v>
      </c>
      <c r="E2615" t="s">
        <v>4131</v>
      </c>
      <c r="F2615" t="s">
        <v>4132</v>
      </c>
      <c r="G2615">
        <v>3</v>
      </c>
      <c r="H2615" t="s">
        <v>258</v>
      </c>
      <c r="I2615" s="2">
        <v>3000</v>
      </c>
    </row>
    <row r="2616" spans="1:9" x14ac:dyDescent="0.3">
      <c r="A2616" s="5">
        <v>8606</v>
      </c>
      <c r="B2616" s="5" t="s">
        <v>4130</v>
      </c>
      <c r="C2616" s="5">
        <v>1</v>
      </c>
      <c r="D2616" s="5" t="s">
        <v>10</v>
      </c>
      <c r="E2616" t="s">
        <v>4131</v>
      </c>
      <c r="F2616" t="s">
        <v>4132</v>
      </c>
      <c r="G2616">
        <v>3</v>
      </c>
      <c r="H2616" t="s">
        <v>4133</v>
      </c>
      <c r="I2616" s="2">
        <v>6500</v>
      </c>
    </row>
    <row r="2617" spans="1:9" x14ac:dyDescent="0.3">
      <c r="A2617" s="5">
        <v>8606</v>
      </c>
      <c r="B2617" s="5" t="s">
        <v>4130</v>
      </c>
      <c r="C2617" s="5">
        <v>1</v>
      </c>
      <c r="D2617" s="5" t="s">
        <v>10</v>
      </c>
      <c r="E2617" t="s">
        <v>4131</v>
      </c>
      <c r="F2617" t="s">
        <v>4132</v>
      </c>
      <c r="G2617">
        <v>3</v>
      </c>
      <c r="H2617" t="s">
        <v>258</v>
      </c>
      <c r="I2617" s="2">
        <v>3000</v>
      </c>
    </row>
    <row r="2618" spans="1:9" x14ac:dyDescent="0.3">
      <c r="A2618" s="5">
        <v>8604</v>
      </c>
      <c r="B2618" s="5" t="s">
        <v>4134</v>
      </c>
      <c r="C2618" s="5">
        <v>5</v>
      </c>
      <c r="D2618" s="5" t="s">
        <v>63</v>
      </c>
      <c r="E2618" t="s">
        <v>4135</v>
      </c>
      <c r="F2618" t="s">
        <v>4136</v>
      </c>
      <c r="G2618">
        <v>3</v>
      </c>
      <c r="H2618" t="s">
        <v>67</v>
      </c>
      <c r="I2618" s="2">
        <v>10000</v>
      </c>
    </row>
    <row r="2619" spans="1:9" x14ac:dyDescent="0.3">
      <c r="A2619" s="5">
        <v>8604</v>
      </c>
      <c r="B2619" s="5" t="s">
        <v>4134</v>
      </c>
      <c r="C2619" s="5">
        <v>5</v>
      </c>
      <c r="D2619" s="5" t="s">
        <v>63</v>
      </c>
      <c r="E2619" t="s">
        <v>4135</v>
      </c>
      <c r="F2619" t="s">
        <v>4136</v>
      </c>
      <c r="G2619">
        <v>3</v>
      </c>
      <c r="H2619" t="s">
        <v>88</v>
      </c>
      <c r="I2619" s="2">
        <v>30000</v>
      </c>
    </row>
    <row r="2620" spans="1:9" x14ac:dyDescent="0.3">
      <c r="A2620" s="5">
        <v>8601</v>
      </c>
      <c r="B2620" s="5" t="s">
        <v>4137</v>
      </c>
      <c r="C2620" s="5">
        <v>4</v>
      </c>
      <c r="D2620" s="5" t="s">
        <v>39</v>
      </c>
      <c r="E2620" t="s">
        <v>4138</v>
      </c>
      <c r="F2620" t="s">
        <v>4139</v>
      </c>
      <c r="G2620">
        <v>2</v>
      </c>
      <c r="H2620" t="s">
        <v>794</v>
      </c>
      <c r="I2620" s="2">
        <v>7000</v>
      </c>
    </row>
    <row r="2621" spans="1:9" x14ac:dyDescent="0.3">
      <c r="A2621" s="5">
        <v>8601</v>
      </c>
      <c r="B2621" s="5" t="s">
        <v>4137</v>
      </c>
      <c r="C2621" s="5">
        <v>4</v>
      </c>
      <c r="D2621" s="5" t="s">
        <v>39</v>
      </c>
      <c r="E2621" t="s">
        <v>4138</v>
      </c>
      <c r="F2621" t="s">
        <v>4139</v>
      </c>
      <c r="G2621">
        <v>2</v>
      </c>
      <c r="H2621" t="s">
        <v>4133</v>
      </c>
      <c r="I2621" s="2">
        <v>7000</v>
      </c>
    </row>
    <row r="2622" spans="1:9" x14ac:dyDescent="0.3">
      <c r="A2622" s="5">
        <v>8601</v>
      </c>
      <c r="B2622" s="5" t="s">
        <v>4137</v>
      </c>
      <c r="C2622" s="5">
        <v>4</v>
      </c>
      <c r="D2622" s="5" t="s">
        <v>39</v>
      </c>
      <c r="E2622" t="s">
        <v>4138</v>
      </c>
      <c r="F2622" t="s">
        <v>4139</v>
      </c>
      <c r="G2622">
        <v>2</v>
      </c>
      <c r="H2622" t="s">
        <v>4140</v>
      </c>
      <c r="I2622" s="2">
        <v>6000</v>
      </c>
    </row>
    <row r="2623" spans="1:9" x14ac:dyDescent="0.3">
      <c r="A2623" s="5">
        <v>8599</v>
      </c>
      <c r="B2623" s="5" t="s">
        <v>4141</v>
      </c>
      <c r="C2623" s="5">
        <v>2</v>
      </c>
      <c r="D2623" s="5" t="s">
        <v>261</v>
      </c>
      <c r="E2623" t="s">
        <v>4142</v>
      </c>
      <c r="G2623">
        <v>3</v>
      </c>
      <c r="H2623" t="s">
        <v>265</v>
      </c>
      <c r="I2623" s="2">
        <v>6500</v>
      </c>
    </row>
    <row r="2624" spans="1:9" x14ac:dyDescent="0.3">
      <c r="A2624" s="5">
        <v>8599</v>
      </c>
      <c r="B2624" s="5" t="s">
        <v>4141</v>
      </c>
      <c r="C2624" s="5">
        <v>2</v>
      </c>
      <c r="D2624" s="5" t="s">
        <v>261</v>
      </c>
      <c r="E2624" t="s">
        <v>4142</v>
      </c>
      <c r="G2624">
        <v>3</v>
      </c>
      <c r="H2624" t="s">
        <v>755</v>
      </c>
      <c r="I2624" s="2">
        <v>6500</v>
      </c>
    </row>
    <row r="2625" spans="1:9" x14ac:dyDescent="0.3">
      <c r="A2625" s="5">
        <v>8599</v>
      </c>
      <c r="B2625" s="5" t="s">
        <v>4141</v>
      </c>
      <c r="C2625" s="5">
        <v>2</v>
      </c>
      <c r="D2625" s="5" t="s">
        <v>261</v>
      </c>
      <c r="E2625" t="s">
        <v>4142</v>
      </c>
      <c r="G2625">
        <v>3</v>
      </c>
      <c r="H2625" t="s">
        <v>264</v>
      </c>
      <c r="I2625" s="2">
        <v>5500</v>
      </c>
    </row>
    <row r="2626" spans="1:9" x14ac:dyDescent="0.3">
      <c r="A2626" s="5">
        <v>8587</v>
      </c>
      <c r="B2626" s="5" t="s">
        <v>4143</v>
      </c>
      <c r="C2626" s="5">
        <v>5</v>
      </c>
      <c r="D2626" s="5" t="s">
        <v>63</v>
      </c>
      <c r="E2626" t="s">
        <v>4144</v>
      </c>
      <c r="F2626" t="s">
        <v>4145</v>
      </c>
      <c r="G2626">
        <v>3</v>
      </c>
      <c r="H2626" t="s">
        <v>88</v>
      </c>
      <c r="I2626" s="2">
        <v>12000</v>
      </c>
    </row>
    <row r="2627" spans="1:9" x14ac:dyDescent="0.3">
      <c r="A2627" s="5">
        <v>8587</v>
      </c>
      <c r="B2627" s="5" t="s">
        <v>4143</v>
      </c>
      <c r="C2627" s="5">
        <v>5</v>
      </c>
      <c r="D2627" s="5" t="s">
        <v>63</v>
      </c>
      <c r="E2627" t="s">
        <v>4144</v>
      </c>
      <c r="F2627" t="s">
        <v>4145</v>
      </c>
      <c r="G2627">
        <v>3</v>
      </c>
      <c r="H2627" t="s">
        <v>67</v>
      </c>
      <c r="I2627" s="2">
        <v>3000</v>
      </c>
    </row>
    <row r="2628" spans="1:9" x14ac:dyDescent="0.3">
      <c r="A2628" s="5">
        <v>8587</v>
      </c>
      <c r="B2628" s="5" t="s">
        <v>4143</v>
      </c>
      <c r="C2628" s="5">
        <v>5</v>
      </c>
      <c r="D2628" s="5" t="s">
        <v>63</v>
      </c>
      <c r="E2628" t="s">
        <v>4144</v>
      </c>
      <c r="F2628" t="s">
        <v>4145</v>
      </c>
      <c r="G2628">
        <v>3</v>
      </c>
      <c r="H2628" t="s">
        <v>88</v>
      </c>
      <c r="I2628" s="2">
        <v>12000</v>
      </c>
    </row>
    <row r="2629" spans="1:9" x14ac:dyDescent="0.3">
      <c r="A2629" s="5">
        <v>8586</v>
      </c>
      <c r="B2629" s="5" t="s">
        <v>4146</v>
      </c>
      <c r="C2629" s="5">
        <v>5</v>
      </c>
      <c r="D2629" s="5" t="s">
        <v>63</v>
      </c>
      <c r="E2629" t="s">
        <v>4147</v>
      </c>
      <c r="F2629" t="s">
        <v>4148</v>
      </c>
      <c r="G2629">
        <v>3</v>
      </c>
      <c r="H2629" t="s">
        <v>66</v>
      </c>
      <c r="I2629" s="2">
        <v>7000</v>
      </c>
    </row>
    <row r="2630" spans="1:9" x14ac:dyDescent="0.3">
      <c r="A2630" s="5">
        <v>8586</v>
      </c>
      <c r="B2630" s="5" t="s">
        <v>4146</v>
      </c>
      <c r="C2630" s="5">
        <v>5</v>
      </c>
      <c r="D2630" s="5" t="s">
        <v>63</v>
      </c>
      <c r="E2630" t="s">
        <v>4147</v>
      </c>
      <c r="F2630" t="s">
        <v>4148</v>
      </c>
      <c r="G2630">
        <v>3</v>
      </c>
      <c r="H2630" t="s">
        <v>67</v>
      </c>
      <c r="I2630" s="2">
        <v>6000</v>
      </c>
    </row>
    <row r="2631" spans="1:9" x14ac:dyDescent="0.3">
      <c r="A2631" s="5">
        <v>8585</v>
      </c>
      <c r="B2631" s="5" t="s">
        <v>2267</v>
      </c>
      <c r="C2631" s="5">
        <v>5</v>
      </c>
      <c r="D2631" s="5" t="s">
        <v>63</v>
      </c>
      <c r="E2631" t="s">
        <v>4149</v>
      </c>
      <c r="F2631" t="s">
        <v>4150</v>
      </c>
      <c r="G2631">
        <v>3</v>
      </c>
      <c r="H2631" t="s">
        <v>88</v>
      </c>
      <c r="I2631" s="2">
        <v>10000</v>
      </c>
    </row>
    <row r="2632" spans="1:9" x14ac:dyDescent="0.3">
      <c r="A2632" s="5">
        <v>8585</v>
      </c>
      <c r="B2632" s="5" t="s">
        <v>2267</v>
      </c>
      <c r="C2632" s="5">
        <v>5</v>
      </c>
      <c r="D2632" s="5" t="s">
        <v>63</v>
      </c>
      <c r="E2632" t="s">
        <v>4149</v>
      </c>
      <c r="F2632" t="s">
        <v>4150</v>
      </c>
      <c r="G2632">
        <v>3</v>
      </c>
      <c r="H2632" t="s">
        <v>67</v>
      </c>
      <c r="I2632" s="2">
        <v>5000</v>
      </c>
    </row>
    <row r="2633" spans="1:9" x14ac:dyDescent="0.3">
      <c r="A2633" s="5">
        <v>8584</v>
      </c>
      <c r="B2633" s="5" t="s">
        <v>4151</v>
      </c>
      <c r="C2633" s="5">
        <v>5</v>
      </c>
      <c r="D2633" s="5" t="s">
        <v>63</v>
      </c>
      <c r="E2633" t="s">
        <v>4152</v>
      </c>
      <c r="G2633">
        <v>3</v>
      </c>
      <c r="H2633" t="s">
        <v>67</v>
      </c>
      <c r="I2633" s="2">
        <v>5000</v>
      </c>
    </row>
    <row r="2634" spans="1:9" x14ac:dyDescent="0.3">
      <c r="A2634" s="5">
        <v>8579</v>
      </c>
      <c r="B2634" s="5" t="s">
        <v>4153</v>
      </c>
      <c r="C2634" s="5">
        <v>5</v>
      </c>
      <c r="D2634" s="5" t="s">
        <v>63</v>
      </c>
      <c r="E2634" t="s">
        <v>4154</v>
      </c>
      <c r="F2634" t="s">
        <v>4155</v>
      </c>
      <c r="G2634">
        <v>3</v>
      </c>
      <c r="H2634" t="s">
        <v>67</v>
      </c>
      <c r="I2634" s="2">
        <v>13000</v>
      </c>
    </row>
    <row r="2635" spans="1:9" x14ac:dyDescent="0.3">
      <c r="A2635" s="5">
        <v>8579</v>
      </c>
      <c r="B2635" s="5" t="s">
        <v>4153</v>
      </c>
      <c r="C2635" s="5">
        <v>5</v>
      </c>
      <c r="D2635" s="5" t="s">
        <v>63</v>
      </c>
      <c r="E2635" t="s">
        <v>4154</v>
      </c>
      <c r="F2635" t="s">
        <v>4155</v>
      </c>
      <c r="G2635">
        <v>3</v>
      </c>
      <c r="H2635" t="s">
        <v>88</v>
      </c>
      <c r="I2635" s="2">
        <v>40000</v>
      </c>
    </row>
    <row r="2636" spans="1:9" x14ac:dyDescent="0.3">
      <c r="A2636" s="5">
        <v>8578</v>
      </c>
      <c r="B2636" s="5" t="s">
        <v>4156</v>
      </c>
      <c r="C2636" s="5">
        <v>5</v>
      </c>
      <c r="D2636" s="5" t="s">
        <v>63</v>
      </c>
      <c r="E2636" t="s">
        <v>4157</v>
      </c>
      <c r="F2636" t="s">
        <v>4158</v>
      </c>
      <c r="G2636">
        <v>3</v>
      </c>
      <c r="H2636" t="s">
        <v>4159</v>
      </c>
      <c r="I2636" s="2">
        <v>8000</v>
      </c>
    </row>
    <row r="2637" spans="1:9" x14ac:dyDescent="0.3">
      <c r="A2637" s="5">
        <v>8578</v>
      </c>
      <c r="B2637" s="5" t="s">
        <v>4156</v>
      </c>
      <c r="C2637" s="5">
        <v>5</v>
      </c>
      <c r="D2637" s="5" t="s">
        <v>63</v>
      </c>
      <c r="E2637" t="s">
        <v>4157</v>
      </c>
      <c r="F2637" t="s">
        <v>4158</v>
      </c>
      <c r="G2637">
        <v>3</v>
      </c>
      <c r="H2637" t="s">
        <v>88</v>
      </c>
      <c r="I2637" s="2">
        <v>25000</v>
      </c>
    </row>
    <row r="2638" spans="1:9" x14ac:dyDescent="0.3">
      <c r="A2638" s="5">
        <v>8577</v>
      </c>
      <c r="B2638" s="5" t="s">
        <v>4160</v>
      </c>
      <c r="C2638" s="5">
        <v>7</v>
      </c>
      <c r="D2638" s="5" t="s">
        <v>360</v>
      </c>
      <c r="E2638" t="s">
        <v>4161</v>
      </c>
      <c r="F2638" t="s">
        <v>4162</v>
      </c>
      <c r="G2638">
        <v>5</v>
      </c>
      <c r="H2638" t="s">
        <v>2647</v>
      </c>
      <c r="I2638" s="2">
        <v>6000</v>
      </c>
    </row>
    <row r="2639" spans="1:9" x14ac:dyDescent="0.3">
      <c r="A2639" s="5">
        <v>8577</v>
      </c>
      <c r="B2639" s="5" t="s">
        <v>4160</v>
      </c>
      <c r="C2639" s="5">
        <v>7</v>
      </c>
      <c r="D2639" s="5" t="s">
        <v>360</v>
      </c>
      <c r="E2639" t="s">
        <v>4161</v>
      </c>
      <c r="F2639" t="s">
        <v>4162</v>
      </c>
      <c r="G2639">
        <v>5</v>
      </c>
      <c r="H2639" t="s">
        <v>364</v>
      </c>
      <c r="I2639" s="2">
        <v>2000</v>
      </c>
    </row>
    <row r="2640" spans="1:9" x14ac:dyDescent="0.3">
      <c r="A2640" s="5">
        <v>8575</v>
      </c>
      <c r="B2640" s="5" t="s">
        <v>4163</v>
      </c>
      <c r="C2640" s="5">
        <v>2</v>
      </c>
      <c r="D2640" s="5" t="s">
        <v>261</v>
      </c>
      <c r="E2640" t="s">
        <v>4164</v>
      </c>
      <c r="F2640" t="s">
        <v>4165</v>
      </c>
      <c r="G2640">
        <v>3</v>
      </c>
      <c r="H2640" t="s">
        <v>265</v>
      </c>
      <c r="I2640" s="2">
        <v>6000</v>
      </c>
    </row>
    <row r="2641" spans="1:9" x14ac:dyDescent="0.3">
      <c r="A2641" s="5">
        <v>8575</v>
      </c>
      <c r="B2641" s="5" t="s">
        <v>4163</v>
      </c>
      <c r="C2641" s="5">
        <v>2</v>
      </c>
      <c r="D2641" s="5" t="s">
        <v>261</v>
      </c>
      <c r="E2641" t="s">
        <v>4164</v>
      </c>
      <c r="F2641" t="s">
        <v>4165</v>
      </c>
      <c r="G2641">
        <v>3</v>
      </c>
      <c r="H2641" t="s">
        <v>642</v>
      </c>
      <c r="I2641" s="2">
        <v>4000</v>
      </c>
    </row>
    <row r="2642" spans="1:9" x14ac:dyDescent="0.3">
      <c r="A2642" s="5">
        <v>8575</v>
      </c>
      <c r="B2642" s="5" t="s">
        <v>4163</v>
      </c>
      <c r="C2642" s="5">
        <v>2</v>
      </c>
      <c r="D2642" s="5" t="s">
        <v>261</v>
      </c>
      <c r="E2642" t="s">
        <v>4164</v>
      </c>
      <c r="F2642" t="s">
        <v>4165</v>
      </c>
      <c r="G2642">
        <v>3</v>
      </c>
      <c r="H2642" t="s">
        <v>641</v>
      </c>
      <c r="I2642" s="2">
        <v>11000</v>
      </c>
    </row>
    <row r="2643" spans="1:9" x14ac:dyDescent="0.3">
      <c r="A2643" s="5">
        <v>8573</v>
      </c>
      <c r="B2643" s="5" t="s">
        <v>4166</v>
      </c>
      <c r="C2643" s="5">
        <v>4</v>
      </c>
      <c r="D2643" s="5" t="s">
        <v>39</v>
      </c>
      <c r="E2643" t="s">
        <v>4167</v>
      </c>
      <c r="F2643" t="s">
        <v>4168</v>
      </c>
      <c r="G2643">
        <v>3</v>
      </c>
      <c r="H2643" t="s">
        <v>320</v>
      </c>
      <c r="I2643" s="2">
        <v>8000</v>
      </c>
    </row>
    <row r="2644" spans="1:9" x14ac:dyDescent="0.3">
      <c r="A2644" s="5">
        <v>8572</v>
      </c>
      <c r="B2644" s="5" t="s">
        <v>4169</v>
      </c>
      <c r="C2644" s="5">
        <v>7</v>
      </c>
      <c r="D2644" s="5" t="s">
        <v>360</v>
      </c>
      <c r="E2644" t="s">
        <v>4170</v>
      </c>
      <c r="F2644" t="s">
        <v>4171</v>
      </c>
      <c r="G2644">
        <v>3</v>
      </c>
      <c r="H2644" t="s">
        <v>2647</v>
      </c>
      <c r="I2644" s="2">
        <v>6000</v>
      </c>
    </row>
    <row r="2645" spans="1:9" x14ac:dyDescent="0.3">
      <c r="A2645" s="5">
        <v>8572</v>
      </c>
      <c r="B2645" s="5" t="s">
        <v>4169</v>
      </c>
      <c r="C2645" s="5">
        <v>7</v>
      </c>
      <c r="D2645" s="5" t="s">
        <v>360</v>
      </c>
      <c r="E2645" t="s">
        <v>4170</v>
      </c>
      <c r="F2645" t="s">
        <v>4171</v>
      </c>
      <c r="G2645">
        <v>3</v>
      </c>
      <c r="H2645" t="s">
        <v>364</v>
      </c>
      <c r="I2645" s="2">
        <v>2000</v>
      </c>
    </row>
    <row r="2646" spans="1:9" x14ac:dyDescent="0.3">
      <c r="A2646" s="5">
        <v>8571</v>
      </c>
      <c r="B2646" s="5" t="s">
        <v>4172</v>
      </c>
      <c r="C2646" s="5">
        <v>2</v>
      </c>
      <c r="D2646" s="5" t="s">
        <v>261</v>
      </c>
      <c r="E2646" t="s">
        <v>4173</v>
      </c>
      <c r="F2646" t="s">
        <v>4174</v>
      </c>
      <c r="G2646">
        <v>3</v>
      </c>
      <c r="H2646" t="s">
        <v>265</v>
      </c>
      <c r="I2646" s="2">
        <v>6500</v>
      </c>
    </row>
    <row r="2647" spans="1:9" x14ac:dyDescent="0.3">
      <c r="A2647" s="5">
        <v>8571</v>
      </c>
      <c r="B2647" s="5" t="s">
        <v>4172</v>
      </c>
      <c r="C2647" s="5">
        <v>2</v>
      </c>
      <c r="D2647" s="5" t="s">
        <v>261</v>
      </c>
      <c r="E2647" t="s">
        <v>4173</v>
      </c>
      <c r="F2647" t="s">
        <v>4174</v>
      </c>
      <c r="G2647">
        <v>3</v>
      </c>
      <c r="H2647" t="s">
        <v>264</v>
      </c>
      <c r="I2647" s="2">
        <v>5500</v>
      </c>
    </row>
    <row r="2648" spans="1:9" x14ac:dyDescent="0.3">
      <c r="A2648" s="5">
        <v>8570</v>
      </c>
      <c r="B2648" s="5" t="s">
        <v>4175</v>
      </c>
      <c r="C2648" s="5">
        <v>2</v>
      </c>
      <c r="D2648" s="5" t="s">
        <v>261</v>
      </c>
      <c r="E2648" t="s">
        <v>4176</v>
      </c>
      <c r="F2648" t="s">
        <v>4177</v>
      </c>
      <c r="G2648">
        <v>4</v>
      </c>
      <c r="H2648" t="s">
        <v>264</v>
      </c>
      <c r="I2648" s="2">
        <v>5000</v>
      </c>
    </row>
    <row r="2649" spans="1:9" x14ac:dyDescent="0.3">
      <c r="A2649" s="5">
        <v>8570</v>
      </c>
      <c r="B2649" s="5" t="s">
        <v>4175</v>
      </c>
      <c r="C2649" s="5">
        <v>2</v>
      </c>
      <c r="D2649" s="5" t="s">
        <v>261</v>
      </c>
      <c r="E2649" t="s">
        <v>4176</v>
      </c>
      <c r="F2649" t="s">
        <v>4177</v>
      </c>
      <c r="G2649">
        <v>4</v>
      </c>
      <c r="H2649" t="s">
        <v>265</v>
      </c>
      <c r="I2649" s="2">
        <v>6000</v>
      </c>
    </row>
    <row r="2650" spans="1:9" x14ac:dyDescent="0.3">
      <c r="A2650" s="5">
        <v>8568</v>
      </c>
      <c r="B2650" s="5" t="s">
        <v>4178</v>
      </c>
      <c r="C2650" s="5">
        <v>5</v>
      </c>
      <c r="D2650" s="5" t="s">
        <v>63</v>
      </c>
      <c r="E2650" t="s">
        <v>4179</v>
      </c>
      <c r="F2650" t="s">
        <v>74</v>
      </c>
      <c r="G2650">
        <v>4</v>
      </c>
      <c r="H2650" t="s">
        <v>88</v>
      </c>
      <c r="I2650" s="2">
        <v>25000</v>
      </c>
    </row>
    <row r="2651" spans="1:9" x14ac:dyDescent="0.3">
      <c r="A2651" s="5">
        <v>8568</v>
      </c>
      <c r="B2651" s="5" t="s">
        <v>4178</v>
      </c>
      <c r="C2651" s="5">
        <v>5</v>
      </c>
      <c r="D2651" s="5" t="s">
        <v>63</v>
      </c>
      <c r="E2651" t="s">
        <v>4179</v>
      </c>
      <c r="F2651" t="s">
        <v>74</v>
      </c>
      <c r="G2651">
        <v>4</v>
      </c>
      <c r="H2651" t="s">
        <v>67</v>
      </c>
      <c r="I2651" s="2">
        <v>8000</v>
      </c>
    </row>
    <row r="2652" spans="1:9" x14ac:dyDescent="0.3">
      <c r="A2652" s="5">
        <v>8568</v>
      </c>
      <c r="B2652" s="5" t="s">
        <v>4178</v>
      </c>
      <c r="C2652" s="5">
        <v>5</v>
      </c>
      <c r="D2652" s="5" t="s">
        <v>63</v>
      </c>
      <c r="E2652" t="s">
        <v>4179</v>
      </c>
      <c r="F2652" t="s">
        <v>74</v>
      </c>
      <c r="G2652">
        <v>4</v>
      </c>
      <c r="H2652" t="s">
        <v>1457</v>
      </c>
      <c r="I2652" s="2">
        <v>20000</v>
      </c>
    </row>
    <row r="2653" spans="1:9" x14ac:dyDescent="0.3">
      <c r="A2653" s="5">
        <v>8568</v>
      </c>
      <c r="B2653" s="5" t="s">
        <v>4178</v>
      </c>
      <c r="C2653" s="5">
        <v>5</v>
      </c>
      <c r="D2653" s="5" t="s">
        <v>63</v>
      </c>
      <c r="E2653" t="s">
        <v>4179</v>
      </c>
      <c r="F2653" t="s">
        <v>74</v>
      </c>
      <c r="G2653">
        <v>4</v>
      </c>
      <c r="H2653" t="s">
        <v>66</v>
      </c>
      <c r="I2653" s="2">
        <v>25000</v>
      </c>
    </row>
    <row r="2654" spans="1:9" x14ac:dyDescent="0.3">
      <c r="A2654" s="5">
        <v>8565</v>
      </c>
      <c r="B2654" s="5" t="s">
        <v>4180</v>
      </c>
      <c r="C2654" s="5">
        <v>2</v>
      </c>
      <c r="D2654" s="5" t="s">
        <v>261</v>
      </c>
      <c r="E2654" t="s">
        <v>4181</v>
      </c>
      <c r="F2654" t="s">
        <v>4182</v>
      </c>
      <c r="G2654">
        <v>4</v>
      </c>
      <c r="H2654" t="s">
        <v>265</v>
      </c>
      <c r="I2654" s="2">
        <v>4000</v>
      </c>
    </row>
    <row r="2655" spans="1:9" x14ac:dyDescent="0.3">
      <c r="A2655" s="5">
        <v>8565</v>
      </c>
      <c r="B2655" s="5" t="s">
        <v>4180</v>
      </c>
      <c r="C2655" s="5">
        <v>2</v>
      </c>
      <c r="D2655" s="5" t="s">
        <v>261</v>
      </c>
      <c r="E2655" t="s">
        <v>4181</v>
      </c>
      <c r="F2655" t="s">
        <v>4182</v>
      </c>
      <c r="G2655">
        <v>4</v>
      </c>
      <c r="H2655" t="s">
        <v>372</v>
      </c>
      <c r="I2655" s="2">
        <v>4000</v>
      </c>
    </row>
    <row r="2656" spans="1:9" x14ac:dyDescent="0.3">
      <c r="A2656" s="5">
        <v>8565</v>
      </c>
      <c r="B2656" s="5" t="s">
        <v>4180</v>
      </c>
      <c r="C2656" s="5">
        <v>2</v>
      </c>
      <c r="D2656" s="5" t="s">
        <v>261</v>
      </c>
      <c r="E2656" t="s">
        <v>4181</v>
      </c>
      <c r="F2656" t="s">
        <v>4182</v>
      </c>
      <c r="G2656">
        <v>4</v>
      </c>
      <c r="H2656" t="s">
        <v>264</v>
      </c>
      <c r="I2656" s="2">
        <v>3000</v>
      </c>
    </row>
    <row r="2657" spans="1:9" x14ac:dyDescent="0.3">
      <c r="A2657" s="5">
        <v>8564</v>
      </c>
      <c r="B2657" s="5" t="s">
        <v>4183</v>
      </c>
      <c r="C2657" s="5">
        <v>5</v>
      </c>
      <c r="D2657" s="5" t="s">
        <v>63</v>
      </c>
      <c r="E2657" t="s">
        <v>4184</v>
      </c>
      <c r="F2657" t="s">
        <v>4185</v>
      </c>
      <c r="G2657">
        <v>4</v>
      </c>
      <c r="H2657" t="s">
        <v>4186</v>
      </c>
      <c r="I2657" s="2">
        <v>13000</v>
      </c>
    </row>
    <row r="2658" spans="1:9" x14ac:dyDescent="0.3">
      <c r="A2658" s="5">
        <v>8564</v>
      </c>
      <c r="B2658" s="5" t="s">
        <v>4183</v>
      </c>
      <c r="C2658" s="5">
        <v>5</v>
      </c>
      <c r="D2658" s="5" t="s">
        <v>63</v>
      </c>
      <c r="E2658" t="s">
        <v>4184</v>
      </c>
      <c r="F2658" t="s">
        <v>4185</v>
      </c>
      <c r="G2658">
        <v>4</v>
      </c>
      <c r="H2658" t="s">
        <v>88</v>
      </c>
      <c r="I2658" s="2">
        <v>40000</v>
      </c>
    </row>
    <row r="2659" spans="1:9" x14ac:dyDescent="0.3">
      <c r="A2659" s="5">
        <v>8564</v>
      </c>
      <c r="B2659" s="5" t="s">
        <v>4183</v>
      </c>
      <c r="C2659" s="5">
        <v>5</v>
      </c>
      <c r="D2659" s="5" t="s">
        <v>63</v>
      </c>
      <c r="E2659" t="s">
        <v>4184</v>
      </c>
      <c r="F2659" t="s">
        <v>4185</v>
      </c>
      <c r="G2659">
        <v>4</v>
      </c>
      <c r="H2659" t="s">
        <v>2142</v>
      </c>
      <c r="I2659" s="2">
        <v>9000</v>
      </c>
    </row>
    <row r="2660" spans="1:9" x14ac:dyDescent="0.3">
      <c r="A2660" s="5">
        <v>8564</v>
      </c>
      <c r="B2660" s="5" t="s">
        <v>4183</v>
      </c>
      <c r="C2660" s="5">
        <v>5</v>
      </c>
      <c r="D2660" s="5" t="s">
        <v>63</v>
      </c>
      <c r="E2660" t="s">
        <v>4184</v>
      </c>
      <c r="F2660" t="s">
        <v>4185</v>
      </c>
      <c r="G2660">
        <v>4</v>
      </c>
      <c r="H2660" t="s">
        <v>2143</v>
      </c>
      <c r="I2660" s="2">
        <v>12000</v>
      </c>
    </row>
    <row r="2661" spans="1:9" x14ac:dyDescent="0.3">
      <c r="A2661" s="5">
        <v>8558</v>
      </c>
      <c r="B2661" s="5" t="s">
        <v>4187</v>
      </c>
      <c r="C2661" s="5">
        <v>1</v>
      </c>
      <c r="D2661" s="5" t="s">
        <v>10</v>
      </c>
      <c r="E2661" t="s">
        <v>3657</v>
      </c>
      <c r="F2661" t="s">
        <v>4188</v>
      </c>
      <c r="G2661">
        <v>3</v>
      </c>
      <c r="H2661" t="s">
        <v>875</v>
      </c>
      <c r="I2661" s="2">
        <v>6000</v>
      </c>
    </row>
    <row r="2662" spans="1:9" x14ac:dyDescent="0.3">
      <c r="A2662" s="5">
        <v>8558</v>
      </c>
      <c r="B2662" s="5" t="s">
        <v>4187</v>
      </c>
      <c r="C2662" s="5">
        <v>1</v>
      </c>
      <c r="D2662" s="5" t="s">
        <v>10</v>
      </c>
      <c r="E2662" t="s">
        <v>3657</v>
      </c>
      <c r="F2662" t="s">
        <v>4188</v>
      </c>
      <c r="G2662">
        <v>3</v>
      </c>
      <c r="H2662" t="s">
        <v>4189</v>
      </c>
      <c r="I2662" s="2">
        <v>12000</v>
      </c>
    </row>
    <row r="2663" spans="1:9" x14ac:dyDescent="0.3">
      <c r="A2663" s="5">
        <v>8553</v>
      </c>
      <c r="B2663" s="5" t="s">
        <v>4190</v>
      </c>
      <c r="C2663" s="5">
        <v>1</v>
      </c>
      <c r="D2663" s="5" t="s">
        <v>10</v>
      </c>
      <c r="E2663" t="s">
        <v>4191</v>
      </c>
      <c r="F2663" t="s">
        <v>4192</v>
      </c>
      <c r="G2663">
        <v>4</v>
      </c>
      <c r="H2663" t="s">
        <v>84</v>
      </c>
      <c r="I2663" s="2">
        <v>6000</v>
      </c>
    </row>
    <row r="2664" spans="1:9" x14ac:dyDescent="0.3">
      <c r="A2664" s="5">
        <v>8550</v>
      </c>
      <c r="B2664" s="5" t="s">
        <v>4193</v>
      </c>
      <c r="C2664" s="5">
        <v>1</v>
      </c>
      <c r="D2664" s="5" t="s">
        <v>10</v>
      </c>
      <c r="E2664" t="s">
        <v>4194</v>
      </c>
      <c r="F2664" t="s">
        <v>4195</v>
      </c>
      <c r="G2664">
        <v>3</v>
      </c>
      <c r="H2664" t="s">
        <v>128</v>
      </c>
      <c r="I2664" s="2">
        <v>5000</v>
      </c>
    </row>
    <row r="2665" spans="1:9" x14ac:dyDescent="0.3">
      <c r="A2665" s="5">
        <v>8550</v>
      </c>
      <c r="B2665" s="5" t="s">
        <v>4193</v>
      </c>
      <c r="C2665" s="5">
        <v>1</v>
      </c>
      <c r="D2665" s="5" t="s">
        <v>10</v>
      </c>
      <c r="E2665" t="s">
        <v>4194</v>
      </c>
      <c r="F2665" t="s">
        <v>4195</v>
      </c>
      <c r="G2665">
        <v>3</v>
      </c>
      <c r="H2665" t="s">
        <v>133</v>
      </c>
      <c r="I2665" s="2">
        <v>5000</v>
      </c>
    </row>
    <row r="2666" spans="1:9" x14ac:dyDescent="0.3">
      <c r="A2666" s="5">
        <v>8550</v>
      </c>
      <c r="B2666" s="5" t="s">
        <v>4193</v>
      </c>
      <c r="C2666" s="5">
        <v>1</v>
      </c>
      <c r="D2666" s="5" t="s">
        <v>10</v>
      </c>
      <c r="E2666" t="s">
        <v>4194</v>
      </c>
      <c r="F2666" t="s">
        <v>4195</v>
      </c>
      <c r="G2666">
        <v>3</v>
      </c>
      <c r="H2666" t="s">
        <v>57</v>
      </c>
      <c r="I2666" s="2">
        <v>6000</v>
      </c>
    </row>
    <row r="2667" spans="1:9" x14ac:dyDescent="0.3">
      <c r="A2667" s="5">
        <v>8550</v>
      </c>
      <c r="B2667" s="5" t="s">
        <v>4193</v>
      </c>
      <c r="C2667" s="5">
        <v>1</v>
      </c>
      <c r="D2667" s="5" t="s">
        <v>10</v>
      </c>
      <c r="E2667" t="s">
        <v>4194</v>
      </c>
      <c r="F2667" t="s">
        <v>4195</v>
      </c>
      <c r="G2667">
        <v>3</v>
      </c>
      <c r="H2667" t="s">
        <v>879</v>
      </c>
      <c r="I2667" s="2">
        <v>5000</v>
      </c>
    </row>
    <row r="2668" spans="1:9" x14ac:dyDescent="0.3">
      <c r="A2668" s="5">
        <v>8550</v>
      </c>
      <c r="B2668" s="5" t="s">
        <v>4193</v>
      </c>
      <c r="C2668" s="5">
        <v>1</v>
      </c>
      <c r="D2668" s="5" t="s">
        <v>10</v>
      </c>
      <c r="E2668" t="s">
        <v>4194</v>
      </c>
      <c r="F2668" t="s">
        <v>4195</v>
      </c>
      <c r="G2668">
        <v>3</v>
      </c>
      <c r="H2668" t="s">
        <v>149</v>
      </c>
      <c r="I2668" s="2">
        <v>5000</v>
      </c>
    </row>
    <row r="2669" spans="1:9" x14ac:dyDescent="0.3">
      <c r="A2669" s="5">
        <v>8550</v>
      </c>
      <c r="B2669" s="5" t="s">
        <v>4193</v>
      </c>
      <c r="C2669" s="5">
        <v>1</v>
      </c>
      <c r="D2669" s="5" t="s">
        <v>10</v>
      </c>
      <c r="E2669" t="s">
        <v>4194</v>
      </c>
      <c r="F2669" t="s">
        <v>4195</v>
      </c>
      <c r="G2669">
        <v>3</v>
      </c>
      <c r="H2669" t="s">
        <v>126</v>
      </c>
      <c r="I2669" s="2">
        <v>5000</v>
      </c>
    </row>
    <row r="2670" spans="1:9" x14ac:dyDescent="0.3">
      <c r="A2670" s="5">
        <v>8550</v>
      </c>
      <c r="B2670" s="5" t="s">
        <v>4193</v>
      </c>
      <c r="C2670" s="5">
        <v>1</v>
      </c>
      <c r="D2670" s="5" t="s">
        <v>10</v>
      </c>
      <c r="E2670" t="s">
        <v>4194</v>
      </c>
      <c r="F2670" t="s">
        <v>4195</v>
      </c>
      <c r="G2670">
        <v>3</v>
      </c>
      <c r="H2670" t="s">
        <v>188</v>
      </c>
      <c r="I2670" s="2">
        <v>6000</v>
      </c>
    </row>
    <row r="2671" spans="1:9" x14ac:dyDescent="0.3">
      <c r="A2671" s="5">
        <v>8550</v>
      </c>
      <c r="B2671" s="5" t="s">
        <v>4193</v>
      </c>
      <c r="C2671" s="5">
        <v>1</v>
      </c>
      <c r="D2671" s="5" t="s">
        <v>10</v>
      </c>
      <c r="E2671" t="s">
        <v>4194</v>
      </c>
      <c r="F2671" t="s">
        <v>4195</v>
      </c>
      <c r="G2671">
        <v>3</v>
      </c>
      <c r="H2671" t="s">
        <v>4196</v>
      </c>
      <c r="I2671" s="2">
        <v>5000</v>
      </c>
    </row>
    <row r="2672" spans="1:9" x14ac:dyDescent="0.3">
      <c r="A2672" s="5">
        <v>8550</v>
      </c>
      <c r="B2672" s="5" t="s">
        <v>4193</v>
      </c>
      <c r="C2672" s="5">
        <v>1</v>
      </c>
      <c r="D2672" s="5" t="s">
        <v>10</v>
      </c>
      <c r="E2672" t="s">
        <v>4194</v>
      </c>
      <c r="F2672" t="s">
        <v>4195</v>
      </c>
      <c r="G2672">
        <v>3</v>
      </c>
      <c r="H2672" t="s">
        <v>4197</v>
      </c>
      <c r="I2672" s="2">
        <v>5000</v>
      </c>
    </row>
    <row r="2673" spans="1:9" x14ac:dyDescent="0.3">
      <c r="A2673" s="5">
        <v>8550</v>
      </c>
      <c r="B2673" s="5" t="s">
        <v>4193</v>
      </c>
      <c r="C2673" s="5">
        <v>1</v>
      </c>
      <c r="D2673" s="5" t="s">
        <v>10</v>
      </c>
      <c r="E2673" t="s">
        <v>4194</v>
      </c>
      <c r="F2673" t="s">
        <v>4195</v>
      </c>
      <c r="G2673">
        <v>3</v>
      </c>
      <c r="H2673" t="s">
        <v>1206</v>
      </c>
      <c r="I2673" s="2">
        <v>5000</v>
      </c>
    </row>
    <row r="2674" spans="1:9" x14ac:dyDescent="0.3">
      <c r="A2674" s="5">
        <v>8550</v>
      </c>
      <c r="B2674" s="5" t="s">
        <v>4193</v>
      </c>
      <c r="C2674" s="5">
        <v>1</v>
      </c>
      <c r="D2674" s="5" t="s">
        <v>10</v>
      </c>
      <c r="E2674" t="s">
        <v>4194</v>
      </c>
      <c r="F2674" t="s">
        <v>4195</v>
      </c>
      <c r="G2674">
        <v>3</v>
      </c>
      <c r="H2674" t="s">
        <v>139</v>
      </c>
      <c r="I2674" s="2">
        <v>5000</v>
      </c>
    </row>
    <row r="2675" spans="1:9" x14ac:dyDescent="0.3">
      <c r="A2675" s="5">
        <v>8548</v>
      </c>
      <c r="B2675" s="5" t="s">
        <v>4198</v>
      </c>
      <c r="C2675" s="5">
        <v>2</v>
      </c>
      <c r="D2675" s="5" t="s">
        <v>261</v>
      </c>
      <c r="E2675" t="s">
        <v>4199</v>
      </c>
      <c r="F2675" t="s">
        <v>4200</v>
      </c>
      <c r="G2675">
        <v>4</v>
      </c>
      <c r="H2675" t="s">
        <v>264</v>
      </c>
      <c r="I2675" s="2">
        <v>4000</v>
      </c>
    </row>
    <row r="2676" spans="1:9" x14ac:dyDescent="0.3">
      <c r="A2676" s="5">
        <v>8548</v>
      </c>
      <c r="B2676" s="5" t="s">
        <v>4198</v>
      </c>
      <c r="C2676" s="5">
        <v>2</v>
      </c>
      <c r="D2676" s="5" t="s">
        <v>261</v>
      </c>
      <c r="E2676" t="s">
        <v>4199</v>
      </c>
      <c r="F2676" t="s">
        <v>4200</v>
      </c>
      <c r="G2676">
        <v>4</v>
      </c>
      <c r="H2676" t="s">
        <v>265</v>
      </c>
      <c r="I2676" s="2">
        <v>5000</v>
      </c>
    </row>
    <row r="2677" spans="1:9" x14ac:dyDescent="0.3">
      <c r="A2677" s="5">
        <v>8543</v>
      </c>
      <c r="B2677" s="5" t="s">
        <v>4201</v>
      </c>
      <c r="C2677" s="5">
        <v>1</v>
      </c>
      <c r="D2677" s="5" t="s">
        <v>10</v>
      </c>
      <c r="E2677" t="s">
        <v>4202</v>
      </c>
      <c r="F2677" t="s">
        <v>4203</v>
      </c>
      <c r="G2677">
        <v>4</v>
      </c>
      <c r="H2677" t="s">
        <v>139</v>
      </c>
      <c r="I2677" s="2">
        <v>4000</v>
      </c>
    </row>
    <row r="2678" spans="1:9" x14ac:dyDescent="0.3">
      <c r="A2678" s="5">
        <v>8543</v>
      </c>
      <c r="B2678" s="5" t="s">
        <v>4201</v>
      </c>
      <c r="C2678" s="5">
        <v>1</v>
      </c>
      <c r="D2678" s="5" t="s">
        <v>10</v>
      </c>
      <c r="E2678" t="s">
        <v>4202</v>
      </c>
      <c r="F2678" t="s">
        <v>4203</v>
      </c>
      <c r="G2678">
        <v>4</v>
      </c>
      <c r="H2678" t="s">
        <v>56</v>
      </c>
      <c r="I2678" s="2">
        <v>3300</v>
      </c>
    </row>
    <row r="2679" spans="1:9" x14ac:dyDescent="0.3">
      <c r="A2679" s="5">
        <v>8543</v>
      </c>
      <c r="B2679" s="5" t="s">
        <v>4201</v>
      </c>
      <c r="C2679" s="5">
        <v>1</v>
      </c>
      <c r="D2679" s="5" t="s">
        <v>10</v>
      </c>
      <c r="E2679" t="s">
        <v>4202</v>
      </c>
      <c r="F2679" t="s">
        <v>4203</v>
      </c>
      <c r="G2679">
        <v>4</v>
      </c>
      <c r="H2679" t="s">
        <v>229</v>
      </c>
      <c r="I2679" s="2">
        <v>4500</v>
      </c>
    </row>
    <row r="2680" spans="1:9" x14ac:dyDescent="0.3">
      <c r="A2680" s="5">
        <v>8542</v>
      </c>
      <c r="B2680" s="5" t="s">
        <v>4204</v>
      </c>
      <c r="C2680" s="5">
        <v>1</v>
      </c>
      <c r="D2680" s="5" t="s">
        <v>10</v>
      </c>
      <c r="E2680" t="s">
        <v>4205</v>
      </c>
      <c r="F2680" t="s">
        <v>4206</v>
      </c>
      <c r="G2680">
        <v>4</v>
      </c>
      <c r="H2680" t="s">
        <v>133</v>
      </c>
      <c r="I2680" s="2">
        <v>6500</v>
      </c>
    </row>
    <row r="2681" spans="1:9" x14ac:dyDescent="0.3">
      <c r="A2681" s="5">
        <v>8542</v>
      </c>
      <c r="B2681" s="5" t="s">
        <v>4204</v>
      </c>
      <c r="C2681" s="5">
        <v>1</v>
      </c>
      <c r="D2681" s="5" t="s">
        <v>10</v>
      </c>
      <c r="E2681" t="s">
        <v>4205</v>
      </c>
      <c r="F2681" t="s">
        <v>4206</v>
      </c>
      <c r="G2681">
        <v>4</v>
      </c>
      <c r="H2681" t="s">
        <v>214</v>
      </c>
      <c r="I2681" s="2">
        <v>7500</v>
      </c>
    </row>
    <row r="2682" spans="1:9" x14ac:dyDescent="0.3">
      <c r="A2682" s="5">
        <v>8542</v>
      </c>
      <c r="B2682" s="5" t="s">
        <v>4204</v>
      </c>
      <c r="C2682" s="5">
        <v>1</v>
      </c>
      <c r="D2682" s="5" t="s">
        <v>10</v>
      </c>
      <c r="E2682" t="s">
        <v>4205</v>
      </c>
      <c r="F2682" t="s">
        <v>4206</v>
      </c>
      <c r="G2682">
        <v>4</v>
      </c>
      <c r="H2682" t="s">
        <v>4207</v>
      </c>
      <c r="I2682" s="2">
        <v>6500</v>
      </c>
    </row>
    <row r="2683" spans="1:9" x14ac:dyDescent="0.3">
      <c r="A2683" s="5">
        <v>8542</v>
      </c>
      <c r="B2683" s="5" t="s">
        <v>4204</v>
      </c>
      <c r="C2683" s="5">
        <v>1</v>
      </c>
      <c r="D2683" s="5" t="s">
        <v>10</v>
      </c>
      <c r="E2683" t="s">
        <v>4205</v>
      </c>
      <c r="F2683" t="s">
        <v>4206</v>
      </c>
      <c r="G2683">
        <v>4</v>
      </c>
      <c r="H2683" t="s">
        <v>126</v>
      </c>
      <c r="I2683" s="2">
        <v>6500</v>
      </c>
    </row>
    <row r="2684" spans="1:9" x14ac:dyDescent="0.3">
      <c r="A2684" s="5">
        <v>8541</v>
      </c>
      <c r="B2684" s="5" t="s">
        <v>4208</v>
      </c>
      <c r="C2684" s="5">
        <v>1</v>
      </c>
      <c r="D2684" s="5" t="s">
        <v>10</v>
      </c>
      <c r="E2684" t="s">
        <v>4209</v>
      </c>
      <c r="F2684" t="s">
        <v>4210</v>
      </c>
      <c r="G2684">
        <v>4</v>
      </c>
      <c r="H2684" t="s">
        <v>1269</v>
      </c>
      <c r="I2684" s="2">
        <v>7000</v>
      </c>
    </row>
    <row r="2685" spans="1:9" x14ac:dyDescent="0.3">
      <c r="A2685" s="5">
        <v>8541</v>
      </c>
      <c r="B2685" s="5" t="s">
        <v>4208</v>
      </c>
      <c r="C2685" s="5">
        <v>1</v>
      </c>
      <c r="D2685" s="5" t="s">
        <v>10</v>
      </c>
      <c r="E2685" t="s">
        <v>4209</v>
      </c>
      <c r="F2685" t="s">
        <v>4210</v>
      </c>
      <c r="G2685">
        <v>4</v>
      </c>
      <c r="H2685" t="s">
        <v>126</v>
      </c>
      <c r="I2685" s="2">
        <v>7000</v>
      </c>
    </row>
    <row r="2686" spans="1:9" x14ac:dyDescent="0.3">
      <c r="A2686" s="5">
        <v>8541</v>
      </c>
      <c r="B2686" s="5" t="s">
        <v>4208</v>
      </c>
      <c r="C2686" s="5">
        <v>1</v>
      </c>
      <c r="D2686" s="5" t="s">
        <v>10</v>
      </c>
      <c r="E2686" t="s">
        <v>4209</v>
      </c>
      <c r="F2686" t="s">
        <v>4210</v>
      </c>
      <c r="G2686">
        <v>4</v>
      </c>
      <c r="H2686" t="s">
        <v>139</v>
      </c>
      <c r="I2686" s="2">
        <v>6000</v>
      </c>
    </row>
    <row r="2687" spans="1:9" x14ac:dyDescent="0.3">
      <c r="A2687" s="5">
        <v>8532</v>
      </c>
      <c r="B2687" s="5" t="s">
        <v>4211</v>
      </c>
      <c r="C2687" s="5">
        <v>1</v>
      </c>
      <c r="D2687" s="5" t="s">
        <v>10</v>
      </c>
      <c r="E2687" t="s">
        <v>4212</v>
      </c>
      <c r="F2687" t="s">
        <v>4213</v>
      </c>
      <c r="G2687">
        <v>3</v>
      </c>
      <c r="H2687" t="s">
        <v>126</v>
      </c>
      <c r="I2687" s="2">
        <v>6000</v>
      </c>
    </row>
    <row r="2688" spans="1:9" x14ac:dyDescent="0.3">
      <c r="A2688" s="5">
        <v>8532</v>
      </c>
      <c r="B2688" s="5" t="s">
        <v>4211</v>
      </c>
      <c r="C2688" s="5">
        <v>1</v>
      </c>
      <c r="D2688" s="5" t="s">
        <v>10</v>
      </c>
      <c r="E2688" t="s">
        <v>4212</v>
      </c>
      <c r="F2688" t="s">
        <v>4213</v>
      </c>
      <c r="G2688">
        <v>3</v>
      </c>
      <c r="H2688" t="s">
        <v>1396</v>
      </c>
      <c r="I2688" s="2">
        <v>6000</v>
      </c>
    </row>
    <row r="2689" spans="1:9" x14ac:dyDescent="0.3">
      <c r="A2689" s="5">
        <v>8532</v>
      </c>
      <c r="B2689" s="5" t="s">
        <v>4211</v>
      </c>
      <c r="C2689" s="5">
        <v>1</v>
      </c>
      <c r="D2689" s="5" t="s">
        <v>10</v>
      </c>
      <c r="E2689" t="s">
        <v>4212</v>
      </c>
      <c r="F2689" t="s">
        <v>4213</v>
      </c>
      <c r="G2689">
        <v>3</v>
      </c>
      <c r="H2689" t="s">
        <v>1411</v>
      </c>
      <c r="I2689" s="2">
        <v>6000</v>
      </c>
    </row>
    <row r="2690" spans="1:9" x14ac:dyDescent="0.3">
      <c r="A2690" s="5">
        <v>8524</v>
      </c>
      <c r="B2690" s="5" t="s">
        <v>4214</v>
      </c>
      <c r="C2690" s="5">
        <v>1</v>
      </c>
      <c r="D2690" s="5" t="s">
        <v>10</v>
      </c>
      <c r="E2690" t="s">
        <v>4215</v>
      </c>
      <c r="F2690" t="s">
        <v>4216</v>
      </c>
      <c r="G2690">
        <v>3</v>
      </c>
      <c r="H2690" t="s">
        <v>133</v>
      </c>
      <c r="I2690" s="2">
        <v>8000</v>
      </c>
    </row>
    <row r="2691" spans="1:9" x14ac:dyDescent="0.3">
      <c r="A2691" s="5">
        <v>8524</v>
      </c>
      <c r="B2691" s="5" t="s">
        <v>4214</v>
      </c>
      <c r="C2691" s="5">
        <v>1</v>
      </c>
      <c r="D2691" s="5" t="s">
        <v>10</v>
      </c>
      <c r="E2691" t="s">
        <v>4215</v>
      </c>
      <c r="F2691" t="s">
        <v>4216</v>
      </c>
      <c r="G2691">
        <v>3</v>
      </c>
      <c r="H2691" t="s">
        <v>139</v>
      </c>
      <c r="I2691" s="2">
        <v>8000</v>
      </c>
    </row>
    <row r="2692" spans="1:9" x14ac:dyDescent="0.3">
      <c r="A2692" s="5">
        <v>8524</v>
      </c>
      <c r="B2692" s="5" t="s">
        <v>4214</v>
      </c>
      <c r="C2692" s="5">
        <v>1</v>
      </c>
      <c r="D2692" s="5" t="s">
        <v>10</v>
      </c>
      <c r="E2692" t="s">
        <v>4215</v>
      </c>
      <c r="F2692" t="s">
        <v>4216</v>
      </c>
      <c r="G2692">
        <v>3</v>
      </c>
      <c r="H2692" t="s">
        <v>4217</v>
      </c>
      <c r="I2692" s="2">
        <v>9000</v>
      </c>
    </row>
    <row r="2693" spans="1:9" x14ac:dyDescent="0.3">
      <c r="A2693" s="5">
        <v>8518</v>
      </c>
      <c r="B2693" s="5" t="s">
        <v>4218</v>
      </c>
      <c r="C2693" s="5">
        <v>1</v>
      </c>
      <c r="D2693" s="5" t="s">
        <v>10</v>
      </c>
      <c r="E2693" t="s">
        <v>4219</v>
      </c>
      <c r="F2693" t="s">
        <v>4220</v>
      </c>
      <c r="G2693">
        <v>2</v>
      </c>
      <c r="H2693" t="s">
        <v>4221</v>
      </c>
      <c r="I2693" s="2">
        <v>7000</v>
      </c>
    </row>
    <row r="2694" spans="1:9" x14ac:dyDescent="0.3">
      <c r="A2694" s="5">
        <v>8518</v>
      </c>
      <c r="B2694" s="5" t="s">
        <v>4218</v>
      </c>
      <c r="C2694" s="5">
        <v>1</v>
      </c>
      <c r="D2694" s="5" t="s">
        <v>10</v>
      </c>
      <c r="E2694" t="s">
        <v>4219</v>
      </c>
      <c r="F2694" t="s">
        <v>4220</v>
      </c>
      <c r="G2694">
        <v>2</v>
      </c>
      <c r="H2694" t="s">
        <v>4222</v>
      </c>
      <c r="I2694" s="2">
        <v>7000</v>
      </c>
    </row>
    <row r="2695" spans="1:9" x14ac:dyDescent="0.3">
      <c r="A2695" s="5">
        <v>8518</v>
      </c>
      <c r="B2695" s="5" t="s">
        <v>4218</v>
      </c>
      <c r="C2695" s="5">
        <v>1</v>
      </c>
      <c r="D2695" s="5" t="s">
        <v>10</v>
      </c>
      <c r="E2695" t="s">
        <v>4219</v>
      </c>
      <c r="F2695" t="s">
        <v>4220</v>
      </c>
      <c r="G2695">
        <v>2</v>
      </c>
      <c r="H2695" t="s">
        <v>4223</v>
      </c>
      <c r="I2695" s="2">
        <v>7000</v>
      </c>
    </row>
    <row r="2696" spans="1:9" x14ac:dyDescent="0.3">
      <c r="A2696" s="5">
        <v>8516</v>
      </c>
      <c r="B2696" s="5" t="s">
        <v>4224</v>
      </c>
      <c r="C2696" s="5">
        <v>1</v>
      </c>
      <c r="D2696" s="5" t="s">
        <v>10</v>
      </c>
      <c r="E2696" t="s">
        <v>4225</v>
      </c>
      <c r="F2696" t="s">
        <v>4226</v>
      </c>
      <c r="G2696">
        <v>2</v>
      </c>
      <c r="H2696" t="s">
        <v>4227</v>
      </c>
      <c r="I2696" s="2">
        <v>6000</v>
      </c>
    </row>
    <row r="2697" spans="1:9" x14ac:dyDescent="0.3">
      <c r="A2697" s="5">
        <v>8516</v>
      </c>
      <c r="B2697" s="5" t="s">
        <v>4224</v>
      </c>
      <c r="C2697" s="5">
        <v>1</v>
      </c>
      <c r="D2697" s="5" t="s">
        <v>10</v>
      </c>
      <c r="E2697" t="s">
        <v>4225</v>
      </c>
      <c r="F2697" t="s">
        <v>4226</v>
      </c>
      <c r="G2697">
        <v>2</v>
      </c>
      <c r="H2697" t="s">
        <v>499</v>
      </c>
      <c r="I2697" s="2">
        <v>5000</v>
      </c>
    </row>
    <row r="2698" spans="1:9" x14ac:dyDescent="0.3">
      <c r="A2698" s="5">
        <v>8516</v>
      </c>
      <c r="B2698" s="5" t="s">
        <v>4224</v>
      </c>
      <c r="C2698" s="5">
        <v>1</v>
      </c>
      <c r="D2698" s="5" t="s">
        <v>10</v>
      </c>
      <c r="E2698" t="s">
        <v>4225</v>
      </c>
      <c r="F2698" t="s">
        <v>4226</v>
      </c>
      <c r="G2698">
        <v>2</v>
      </c>
      <c r="H2698" t="s">
        <v>499</v>
      </c>
      <c r="I2698" s="2">
        <v>5000</v>
      </c>
    </row>
    <row r="2699" spans="1:9" x14ac:dyDescent="0.3">
      <c r="A2699" s="5">
        <v>8515</v>
      </c>
      <c r="B2699" s="5" t="s">
        <v>4228</v>
      </c>
      <c r="C2699" s="5">
        <v>1</v>
      </c>
      <c r="D2699" s="5" t="s">
        <v>10</v>
      </c>
      <c r="E2699" t="s">
        <v>4229</v>
      </c>
      <c r="F2699" t="s">
        <v>4230</v>
      </c>
      <c r="G2699">
        <v>2</v>
      </c>
      <c r="H2699" t="s">
        <v>95</v>
      </c>
      <c r="I2699" s="2">
        <v>6000</v>
      </c>
    </row>
    <row r="2700" spans="1:9" x14ac:dyDescent="0.3">
      <c r="A2700" s="5">
        <v>8515</v>
      </c>
      <c r="B2700" s="5" t="s">
        <v>4228</v>
      </c>
      <c r="C2700" s="5">
        <v>1</v>
      </c>
      <c r="D2700" s="5" t="s">
        <v>10</v>
      </c>
      <c r="E2700" t="s">
        <v>4229</v>
      </c>
      <c r="F2700" t="s">
        <v>4230</v>
      </c>
      <c r="G2700">
        <v>2</v>
      </c>
      <c r="H2700" t="s">
        <v>126</v>
      </c>
      <c r="I2700" s="2">
        <v>6000</v>
      </c>
    </row>
    <row r="2701" spans="1:9" x14ac:dyDescent="0.3">
      <c r="A2701" s="5">
        <v>8515</v>
      </c>
      <c r="B2701" s="5" t="s">
        <v>4228</v>
      </c>
      <c r="C2701" s="5">
        <v>1</v>
      </c>
      <c r="D2701" s="5" t="s">
        <v>10</v>
      </c>
      <c r="E2701" t="s">
        <v>4229</v>
      </c>
      <c r="F2701" t="s">
        <v>4230</v>
      </c>
      <c r="G2701">
        <v>2</v>
      </c>
      <c r="H2701" t="s">
        <v>139</v>
      </c>
      <c r="I2701" s="2">
        <v>6000</v>
      </c>
    </row>
    <row r="2702" spans="1:9" x14ac:dyDescent="0.3">
      <c r="A2702" s="5">
        <v>8514</v>
      </c>
      <c r="B2702" s="5" t="s">
        <v>4231</v>
      </c>
      <c r="C2702" s="5">
        <v>1</v>
      </c>
      <c r="D2702" s="5" t="s">
        <v>10</v>
      </c>
      <c r="E2702" t="s">
        <v>4232</v>
      </c>
      <c r="F2702" t="s">
        <v>4233</v>
      </c>
      <c r="G2702">
        <v>2</v>
      </c>
      <c r="H2702" t="s">
        <v>126</v>
      </c>
      <c r="I2702" s="2">
        <v>8000</v>
      </c>
    </row>
    <row r="2703" spans="1:9" x14ac:dyDescent="0.3">
      <c r="A2703" s="5">
        <v>8514</v>
      </c>
      <c r="B2703" s="5" t="s">
        <v>4231</v>
      </c>
      <c r="C2703" s="5">
        <v>1</v>
      </c>
      <c r="D2703" s="5" t="s">
        <v>10</v>
      </c>
      <c r="E2703" t="s">
        <v>4232</v>
      </c>
      <c r="F2703" t="s">
        <v>4233</v>
      </c>
      <c r="G2703">
        <v>2</v>
      </c>
      <c r="H2703" t="s">
        <v>139</v>
      </c>
      <c r="I2703" s="2">
        <v>8000</v>
      </c>
    </row>
    <row r="2704" spans="1:9" x14ac:dyDescent="0.3">
      <c r="A2704" s="5">
        <v>8514</v>
      </c>
      <c r="B2704" s="5" t="s">
        <v>4231</v>
      </c>
      <c r="C2704" s="5">
        <v>1</v>
      </c>
      <c r="D2704" s="5" t="s">
        <v>10</v>
      </c>
      <c r="E2704" t="s">
        <v>4232</v>
      </c>
      <c r="F2704" t="s">
        <v>4233</v>
      </c>
      <c r="G2704">
        <v>2</v>
      </c>
      <c r="H2704" t="s">
        <v>143</v>
      </c>
      <c r="I2704" s="2">
        <v>8000</v>
      </c>
    </row>
    <row r="2705" spans="1:9" x14ac:dyDescent="0.3">
      <c r="A2705" s="5">
        <v>8512</v>
      </c>
      <c r="B2705" s="5" t="s">
        <v>4234</v>
      </c>
      <c r="C2705" s="5">
        <v>1</v>
      </c>
      <c r="D2705" s="5" t="s">
        <v>10</v>
      </c>
      <c r="E2705" t="s">
        <v>4235</v>
      </c>
      <c r="F2705" t="s">
        <v>4236</v>
      </c>
      <c r="G2705">
        <v>2</v>
      </c>
      <c r="H2705" t="s">
        <v>947</v>
      </c>
      <c r="I2705" s="2">
        <v>6000</v>
      </c>
    </row>
    <row r="2706" spans="1:9" x14ac:dyDescent="0.3">
      <c r="A2706" s="5">
        <v>8512</v>
      </c>
      <c r="B2706" s="5" t="s">
        <v>4234</v>
      </c>
      <c r="C2706" s="5">
        <v>1</v>
      </c>
      <c r="D2706" s="5" t="s">
        <v>10</v>
      </c>
      <c r="E2706" t="s">
        <v>4235</v>
      </c>
      <c r="F2706" t="s">
        <v>4236</v>
      </c>
      <c r="G2706">
        <v>2</v>
      </c>
      <c r="H2706" t="s">
        <v>84</v>
      </c>
      <c r="I2706" s="2">
        <v>6000</v>
      </c>
    </row>
    <row r="2707" spans="1:9" x14ac:dyDescent="0.3">
      <c r="A2707" s="5">
        <v>8512</v>
      </c>
      <c r="B2707" s="5" t="s">
        <v>4234</v>
      </c>
      <c r="C2707" s="5">
        <v>1</v>
      </c>
      <c r="D2707" s="5" t="s">
        <v>10</v>
      </c>
      <c r="E2707" t="s">
        <v>4235</v>
      </c>
      <c r="F2707" t="s">
        <v>4236</v>
      </c>
      <c r="G2707">
        <v>2</v>
      </c>
      <c r="H2707" t="s">
        <v>3709</v>
      </c>
      <c r="I2707" s="2">
        <v>8000</v>
      </c>
    </row>
    <row r="2708" spans="1:9" x14ac:dyDescent="0.3">
      <c r="A2708" s="5">
        <v>8508</v>
      </c>
      <c r="B2708" s="5" t="s">
        <v>4237</v>
      </c>
      <c r="C2708" s="5">
        <v>1</v>
      </c>
      <c r="D2708" s="5" t="s">
        <v>10</v>
      </c>
      <c r="E2708" t="s">
        <v>4238</v>
      </c>
      <c r="F2708" t="s">
        <v>4239</v>
      </c>
      <c r="G2708">
        <v>3</v>
      </c>
      <c r="H2708" t="s">
        <v>4240</v>
      </c>
      <c r="I2708" s="2">
        <v>7000</v>
      </c>
    </row>
    <row r="2709" spans="1:9" x14ac:dyDescent="0.3">
      <c r="A2709" s="5">
        <v>8508</v>
      </c>
      <c r="B2709" s="5" t="s">
        <v>4237</v>
      </c>
      <c r="C2709" s="5">
        <v>1</v>
      </c>
      <c r="D2709" s="5" t="s">
        <v>10</v>
      </c>
      <c r="E2709" t="s">
        <v>4238</v>
      </c>
      <c r="F2709" t="s">
        <v>4239</v>
      </c>
      <c r="G2709">
        <v>3</v>
      </c>
      <c r="H2709" t="s">
        <v>139</v>
      </c>
      <c r="I2709" s="2">
        <v>5000</v>
      </c>
    </row>
    <row r="2710" spans="1:9" x14ac:dyDescent="0.3">
      <c r="A2710" s="5">
        <v>8508</v>
      </c>
      <c r="B2710" s="5" t="s">
        <v>4237</v>
      </c>
      <c r="C2710" s="5">
        <v>1</v>
      </c>
      <c r="D2710" s="5" t="s">
        <v>10</v>
      </c>
      <c r="E2710" t="s">
        <v>4238</v>
      </c>
      <c r="F2710" t="s">
        <v>4239</v>
      </c>
      <c r="G2710">
        <v>3</v>
      </c>
      <c r="H2710" t="s">
        <v>4241</v>
      </c>
      <c r="I2710" s="2">
        <v>14000</v>
      </c>
    </row>
    <row r="2711" spans="1:9" x14ac:dyDescent="0.3">
      <c r="A2711" s="5">
        <v>8507</v>
      </c>
      <c r="B2711" s="5" t="s">
        <v>4242</v>
      </c>
      <c r="C2711" s="5">
        <v>1</v>
      </c>
      <c r="D2711" s="5" t="s">
        <v>10</v>
      </c>
      <c r="E2711" t="s">
        <v>4243</v>
      </c>
      <c r="F2711" t="s">
        <v>4244</v>
      </c>
      <c r="G2711">
        <v>3</v>
      </c>
      <c r="H2711" t="s">
        <v>1001</v>
      </c>
      <c r="I2711" s="2">
        <v>17000</v>
      </c>
    </row>
    <row r="2712" spans="1:9" x14ac:dyDescent="0.3">
      <c r="A2712" s="5">
        <v>8507</v>
      </c>
      <c r="B2712" s="5" t="s">
        <v>4242</v>
      </c>
      <c r="C2712" s="5">
        <v>1</v>
      </c>
      <c r="D2712" s="5" t="s">
        <v>10</v>
      </c>
      <c r="E2712" t="s">
        <v>4243</v>
      </c>
      <c r="F2712" t="s">
        <v>4244</v>
      </c>
      <c r="G2712">
        <v>3</v>
      </c>
      <c r="H2712" t="s">
        <v>139</v>
      </c>
      <c r="I2712" s="2">
        <v>7000</v>
      </c>
    </row>
    <row r="2713" spans="1:9" x14ac:dyDescent="0.3">
      <c r="A2713" s="5">
        <v>8507</v>
      </c>
      <c r="B2713" s="5" t="s">
        <v>4242</v>
      </c>
      <c r="C2713" s="5">
        <v>1</v>
      </c>
      <c r="D2713" s="5" t="s">
        <v>10</v>
      </c>
      <c r="E2713" t="s">
        <v>4243</v>
      </c>
      <c r="F2713" t="s">
        <v>4244</v>
      </c>
      <c r="G2713">
        <v>3</v>
      </c>
      <c r="H2713" t="s">
        <v>4245</v>
      </c>
      <c r="I2713" s="2">
        <v>17000</v>
      </c>
    </row>
    <row r="2714" spans="1:9" x14ac:dyDescent="0.3">
      <c r="A2714" s="5">
        <v>8485</v>
      </c>
      <c r="B2714" s="5" t="s">
        <v>4246</v>
      </c>
      <c r="C2714" s="5">
        <v>1</v>
      </c>
      <c r="D2714" s="5" t="s">
        <v>10</v>
      </c>
      <c r="E2714" t="s">
        <v>4247</v>
      </c>
      <c r="F2714" t="s">
        <v>4248</v>
      </c>
      <c r="G2714">
        <v>3</v>
      </c>
      <c r="H2714" t="s">
        <v>139</v>
      </c>
      <c r="I2714" s="2">
        <v>7000</v>
      </c>
    </row>
    <row r="2715" spans="1:9" x14ac:dyDescent="0.3">
      <c r="A2715" s="5">
        <v>8485</v>
      </c>
      <c r="B2715" s="5" t="s">
        <v>4246</v>
      </c>
      <c r="C2715" s="5">
        <v>1</v>
      </c>
      <c r="D2715" s="5" t="s">
        <v>10</v>
      </c>
      <c r="E2715" t="s">
        <v>4247</v>
      </c>
      <c r="F2715" t="s">
        <v>4248</v>
      </c>
      <c r="G2715">
        <v>3</v>
      </c>
      <c r="H2715" t="s">
        <v>4249</v>
      </c>
      <c r="I2715" s="2">
        <v>9000</v>
      </c>
    </row>
    <row r="2716" spans="1:9" x14ac:dyDescent="0.3">
      <c r="A2716" s="5">
        <v>8485</v>
      </c>
      <c r="B2716" s="5" t="s">
        <v>4246</v>
      </c>
      <c r="C2716" s="5">
        <v>1</v>
      </c>
      <c r="D2716" s="5" t="s">
        <v>10</v>
      </c>
      <c r="E2716" t="s">
        <v>4247</v>
      </c>
      <c r="F2716" t="s">
        <v>4248</v>
      </c>
      <c r="G2716">
        <v>3</v>
      </c>
      <c r="H2716" t="s">
        <v>4250</v>
      </c>
      <c r="I2716" s="2">
        <v>16000</v>
      </c>
    </row>
    <row r="2717" spans="1:9" x14ac:dyDescent="0.3">
      <c r="A2717" s="5">
        <v>8484</v>
      </c>
      <c r="B2717" s="5" t="s">
        <v>4251</v>
      </c>
      <c r="C2717" s="5">
        <v>1</v>
      </c>
      <c r="D2717" s="5" t="s">
        <v>10</v>
      </c>
      <c r="E2717" t="s">
        <v>4252</v>
      </c>
      <c r="F2717" t="s">
        <v>4253</v>
      </c>
      <c r="G2717">
        <v>3</v>
      </c>
      <c r="H2717" t="s">
        <v>126</v>
      </c>
      <c r="I2717" s="2">
        <v>8000</v>
      </c>
    </row>
    <row r="2718" spans="1:9" x14ac:dyDescent="0.3">
      <c r="A2718" s="5">
        <v>8484</v>
      </c>
      <c r="B2718" s="5" t="s">
        <v>4251</v>
      </c>
      <c r="C2718" s="5">
        <v>1</v>
      </c>
      <c r="D2718" s="5" t="s">
        <v>10</v>
      </c>
      <c r="E2718" t="s">
        <v>4252</v>
      </c>
      <c r="F2718" t="s">
        <v>4253</v>
      </c>
      <c r="G2718">
        <v>3</v>
      </c>
      <c r="H2718" t="s">
        <v>236</v>
      </c>
      <c r="I2718" s="2">
        <v>8000</v>
      </c>
    </row>
    <row r="2719" spans="1:9" x14ac:dyDescent="0.3">
      <c r="A2719" s="5">
        <v>8484</v>
      </c>
      <c r="B2719" s="5" t="s">
        <v>4251</v>
      </c>
      <c r="C2719" s="5">
        <v>1</v>
      </c>
      <c r="D2719" s="5" t="s">
        <v>10</v>
      </c>
      <c r="E2719" t="s">
        <v>4252</v>
      </c>
      <c r="F2719" t="s">
        <v>4253</v>
      </c>
      <c r="G2719">
        <v>3</v>
      </c>
      <c r="H2719" t="s">
        <v>4254</v>
      </c>
      <c r="I2719" s="2">
        <v>8000</v>
      </c>
    </row>
    <row r="2720" spans="1:9" x14ac:dyDescent="0.3">
      <c r="A2720" s="5">
        <v>8483</v>
      </c>
      <c r="B2720" s="5" t="s">
        <v>4255</v>
      </c>
      <c r="C2720" s="5">
        <v>1</v>
      </c>
      <c r="D2720" s="5" t="s">
        <v>10</v>
      </c>
      <c r="E2720" t="s">
        <v>4256</v>
      </c>
      <c r="F2720" t="s">
        <v>4257</v>
      </c>
      <c r="G2720">
        <v>3</v>
      </c>
      <c r="H2720" t="s">
        <v>133</v>
      </c>
      <c r="I2720" s="2">
        <v>8000</v>
      </c>
    </row>
    <row r="2721" spans="1:9" x14ac:dyDescent="0.3">
      <c r="A2721" s="5">
        <v>8483</v>
      </c>
      <c r="B2721" s="5" t="s">
        <v>4255</v>
      </c>
      <c r="C2721" s="5">
        <v>1</v>
      </c>
      <c r="D2721" s="5" t="s">
        <v>10</v>
      </c>
      <c r="E2721" t="s">
        <v>4256</v>
      </c>
      <c r="F2721" t="s">
        <v>4257</v>
      </c>
      <c r="G2721">
        <v>3</v>
      </c>
      <c r="H2721" t="s">
        <v>139</v>
      </c>
      <c r="I2721" s="2">
        <v>7000</v>
      </c>
    </row>
    <row r="2722" spans="1:9" x14ac:dyDescent="0.3">
      <c r="A2722" s="5">
        <v>8483</v>
      </c>
      <c r="B2722" s="5" t="s">
        <v>4255</v>
      </c>
      <c r="C2722" s="5">
        <v>1</v>
      </c>
      <c r="D2722" s="5" t="s">
        <v>10</v>
      </c>
      <c r="E2722" t="s">
        <v>4256</v>
      </c>
      <c r="F2722" t="s">
        <v>4257</v>
      </c>
      <c r="G2722">
        <v>3</v>
      </c>
      <c r="H2722" t="s">
        <v>35</v>
      </c>
      <c r="I2722" s="2">
        <v>8000</v>
      </c>
    </row>
    <row r="2723" spans="1:9" x14ac:dyDescent="0.3">
      <c r="A2723" s="5">
        <v>8478</v>
      </c>
      <c r="B2723" s="5" t="s">
        <v>4258</v>
      </c>
      <c r="C2723" s="5">
        <v>1</v>
      </c>
      <c r="D2723" s="5" t="s">
        <v>10</v>
      </c>
      <c r="E2723" t="s">
        <v>4259</v>
      </c>
      <c r="F2723" t="s">
        <v>4260</v>
      </c>
      <c r="G2723">
        <v>3</v>
      </c>
      <c r="H2723" t="s">
        <v>4261</v>
      </c>
      <c r="I2723" s="2">
        <v>7000</v>
      </c>
    </row>
    <row r="2724" spans="1:9" x14ac:dyDescent="0.3">
      <c r="A2724" s="5">
        <v>8478</v>
      </c>
      <c r="B2724" s="5" t="s">
        <v>4258</v>
      </c>
      <c r="C2724" s="5">
        <v>1</v>
      </c>
      <c r="D2724" s="5" t="s">
        <v>10</v>
      </c>
      <c r="E2724" t="s">
        <v>4259</v>
      </c>
      <c r="F2724" t="s">
        <v>4260</v>
      </c>
      <c r="G2724">
        <v>3</v>
      </c>
      <c r="H2724" t="s">
        <v>929</v>
      </c>
      <c r="I2724" s="2">
        <v>7000</v>
      </c>
    </row>
    <row r="2725" spans="1:9" x14ac:dyDescent="0.3">
      <c r="A2725" s="5">
        <v>8478</v>
      </c>
      <c r="B2725" s="5" t="s">
        <v>4258</v>
      </c>
      <c r="C2725" s="5">
        <v>1</v>
      </c>
      <c r="D2725" s="5" t="s">
        <v>10</v>
      </c>
      <c r="E2725" t="s">
        <v>4259</v>
      </c>
      <c r="F2725" t="s">
        <v>4260</v>
      </c>
      <c r="G2725">
        <v>3</v>
      </c>
      <c r="H2725" t="s">
        <v>3855</v>
      </c>
      <c r="I2725" s="2">
        <v>5000</v>
      </c>
    </row>
    <row r="2726" spans="1:9" x14ac:dyDescent="0.3">
      <c r="A2726" s="5">
        <v>8477</v>
      </c>
      <c r="B2726" s="5" t="s">
        <v>4262</v>
      </c>
      <c r="C2726" s="5">
        <v>1</v>
      </c>
      <c r="D2726" s="5" t="s">
        <v>10</v>
      </c>
      <c r="E2726" t="s">
        <v>4263</v>
      </c>
      <c r="F2726" t="s">
        <v>4264</v>
      </c>
      <c r="G2726">
        <v>3</v>
      </c>
      <c r="H2726" t="s">
        <v>352</v>
      </c>
      <c r="I2726" s="2">
        <v>15000</v>
      </c>
    </row>
    <row r="2727" spans="1:9" x14ac:dyDescent="0.3">
      <c r="A2727" s="5">
        <v>8477</v>
      </c>
      <c r="B2727" s="5" t="s">
        <v>4262</v>
      </c>
      <c r="C2727" s="5">
        <v>1</v>
      </c>
      <c r="D2727" s="5" t="s">
        <v>10</v>
      </c>
      <c r="E2727" t="s">
        <v>4263</v>
      </c>
      <c r="F2727" t="s">
        <v>4264</v>
      </c>
      <c r="G2727">
        <v>3</v>
      </c>
      <c r="H2727" t="s">
        <v>241</v>
      </c>
      <c r="I2727" s="2">
        <v>8000</v>
      </c>
    </row>
    <row r="2728" spans="1:9" x14ac:dyDescent="0.3">
      <c r="A2728" s="5">
        <v>8469</v>
      </c>
      <c r="B2728" s="5" t="s">
        <v>4265</v>
      </c>
      <c r="C2728" s="5">
        <v>1</v>
      </c>
      <c r="D2728" s="5" t="s">
        <v>10</v>
      </c>
      <c r="E2728" t="s">
        <v>4266</v>
      </c>
      <c r="F2728" t="s">
        <v>4267</v>
      </c>
      <c r="G2728">
        <v>3</v>
      </c>
      <c r="H2728" t="s">
        <v>145</v>
      </c>
      <c r="I2728" s="2">
        <v>7000</v>
      </c>
    </row>
    <row r="2729" spans="1:9" x14ac:dyDescent="0.3">
      <c r="A2729" s="5">
        <v>8469</v>
      </c>
      <c r="B2729" s="5" t="s">
        <v>4265</v>
      </c>
      <c r="C2729" s="5">
        <v>1</v>
      </c>
      <c r="D2729" s="5" t="s">
        <v>10</v>
      </c>
      <c r="E2729" t="s">
        <v>4266</v>
      </c>
      <c r="F2729" t="s">
        <v>4267</v>
      </c>
      <c r="G2729">
        <v>3</v>
      </c>
      <c r="H2729" t="s">
        <v>337</v>
      </c>
      <c r="I2729" s="2">
        <v>7000</v>
      </c>
    </row>
    <row r="2730" spans="1:9" x14ac:dyDescent="0.3">
      <c r="A2730" s="5">
        <v>8467</v>
      </c>
      <c r="B2730" s="5" t="s">
        <v>4268</v>
      </c>
      <c r="C2730" s="5">
        <v>1</v>
      </c>
      <c r="D2730" s="5" t="s">
        <v>10</v>
      </c>
      <c r="E2730" t="s">
        <v>4269</v>
      </c>
      <c r="F2730" t="s">
        <v>4270</v>
      </c>
      <c r="G2730">
        <v>3</v>
      </c>
      <c r="H2730" t="s">
        <v>970</v>
      </c>
      <c r="I2730" s="2">
        <v>9000</v>
      </c>
    </row>
    <row r="2731" spans="1:9" x14ac:dyDescent="0.3">
      <c r="A2731" s="5">
        <v>8467</v>
      </c>
      <c r="B2731" s="5" t="s">
        <v>4268</v>
      </c>
      <c r="C2731" s="5">
        <v>1</v>
      </c>
      <c r="D2731" s="5" t="s">
        <v>10</v>
      </c>
      <c r="E2731" t="s">
        <v>4269</v>
      </c>
      <c r="F2731" t="s">
        <v>4270</v>
      </c>
      <c r="G2731">
        <v>3</v>
      </c>
      <c r="H2731" t="s">
        <v>37</v>
      </c>
      <c r="I2731" s="2">
        <v>8500</v>
      </c>
    </row>
    <row r="2732" spans="1:9" x14ac:dyDescent="0.3">
      <c r="A2732" s="5">
        <v>8462</v>
      </c>
      <c r="B2732" s="5" t="s">
        <v>4271</v>
      </c>
      <c r="C2732" s="5">
        <v>1</v>
      </c>
      <c r="D2732" s="5" t="s">
        <v>10</v>
      </c>
      <c r="E2732" t="s">
        <v>4272</v>
      </c>
      <c r="F2732" t="s">
        <v>4273</v>
      </c>
      <c r="G2732">
        <v>3</v>
      </c>
      <c r="H2732" t="s">
        <v>126</v>
      </c>
      <c r="I2732" s="2">
        <v>7000</v>
      </c>
    </row>
    <row r="2733" spans="1:9" x14ac:dyDescent="0.3">
      <c r="A2733" s="5">
        <v>8462</v>
      </c>
      <c r="B2733" s="5" t="s">
        <v>4271</v>
      </c>
      <c r="C2733" s="5">
        <v>1</v>
      </c>
      <c r="D2733" s="5" t="s">
        <v>10</v>
      </c>
      <c r="E2733" t="s">
        <v>4272</v>
      </c>
      <c r="F2733" t="s">
        <v>4273</v>
      </c>
      <c r="G2733">
        <v>3</v>
      </c>
      <c r="H2733" t="s">
        <v>133</v>
      </c>
      <c r="I2733" s="2">
        <v>7000</v>
      </c>
    </row>
    <row r="2734" spans="1:9" x14ac:dyDescent="0.3">
      <c r="A2734" s="5">
        <v>8462</v>
      </c>
      <c r="B2734" s="5" t="s">
        <v>4271</v>
      </c>
      <c r="C2734" s="5">
        <v>1</v>
      </c>
      <c r="D2734" s="5" t="s">
        <v>10</v>
      </c>
      <c r="E2734" t="s">
        <v>4272</v>
      </c>
      <c r="F2734" t="s">
        <v>4273</v>
      </c>
      <c r="G2734">
        <v>3</v>
      </c>
      <c r="H2734" t="s">
        <v>139</v>
      </c>
      <c r="I2734" s="2">
        <v>7000</v>
      </c>
    </row>
    <row r="2735" spans="1:9" x14ac:dyDescent="0.3">
      <c r="A2735" s="5">
        <v>8461</v>
      </c>
      <c r="B2735" s="5" t="s">
        <v>4274</v>
      </c>
      <c r="C2735" s="5">
        <v>1</v>
      </c>
      <c r="D2735" s="5" t="s">
        <v>10</v>
      </c>
      <c r="E2735" t="s">
        <v>4275</v>
      </c>
      <c r="F2735" t="s">
        <v>4276</v>
      </c>
      <c r="G2735">
        <v>3</v>
      </c>
      <c r="H2735" t="s">
        <v>100</v>
      </c>
      <c r="I2735" s="2">
        <v>7000</v>
      </c>
    </row>
    <row r="2736" spans="1:9" x14ac:dyDescent="0.3">
      <c r="A2736" s="5">
        <v>8461</v>
      </c>
      <c r="B2736" s="5" t="s">
        <v>4274</v>
      </c>
      <c r="C2736" s="5">
        <v>1</v>
      </c>
      <c r="D2736" s="5" t="s">
        <v>10</v>
      </c>
      <c r="E2736" t="s">
        <v>4275</v>
      </c>
      <c r="F2736" t="s">
        <v>4276</v>
      </c>
      <c r="G2736">
        <v>3</v>
      </c>
      <c r="H2736" t="s">
        <v>879</v>
      </c>
      <c r="I2736" s="2">
        <v>7500</v>
      </c>
    </row>
    <row r="2737" spans="1:9" x14ac:dyDescent="0.3">
      <c r="A2737" s="5">
        <v>8461</v>
      </c>
      <c r="B2737" s="5" t="s">
        <v>4274</v>
      </c>
      <c r="C2737" s="5">
        <v>1</v>
      </c>
      <c r="D2737" s="5" t="s">
        <v>10</v>
      </c>
      <c r="E2737" t="s">
        <v>4275</v>
      </c>
      <c r="F2737" t="s">
        <v>4276</v>
      </c>
      <c r="G2737">
        <v>3</v>
      </c>
      <c r="H2737" t="s">
        <v>4277</v>
      </c>
      <c r="I2737" s="2">
        <v>5000</v>
      </c>
    </row>
    <row r="2738" spans="1:9" x14ac:dyDescent="0.3">
      <c r="A2738" s="5">
        <v>8460</v>
      </c>
      <c r="B2738" s="5" t="s">
        <v>4278</v>
      </c>
      <c r="C2738" s="5">
        <v>1</v>
      </c>
      <c r="D2738" s="5" t="s">
        <v>10</v>
      </c>
      <c r="E2738" t="s">
        <v>4279</v>
      </c>
      <c r="F2738" t="s">
        <v>4280</v>
      </c>
      <c r="G2738">
        <v>3</v>
      </c>
      <c r="H2738" t="s">
        <v>139</v>
      </c>
      <c r="I2738" s="2">
        <v>5000</v>
      </c>
    </row>
    <row r="2739" spans="1:9" x14ac:dyDescent="0.3">
      <c r="A2739" s="5">
        <v>8460</v>
      </c>
      <c r="B2739" s="5" t="s">
        <v>4278</v>
      </c>
      <c r="C2739" s="5">
        <v>1</v>
      </c>
      <c r="D2739" s="5" t="s">
        <v>10</v>
      </c>
      <c r="E2739" t="s">
        <v>4279</v>
      </c>
      <c r="F2739" t="s">
        <v>4280</v>
      </c>
      <c r="G2739">
        <v>3</v>
      </c>
      <c r="H2739" t="s">
        <v>4281</v>
      </c>
      <c r="I2739" s="2">
        <v>5000</v>
      </c>
    </row>
    <row r="2740" spans="1:9" x14ac:dyDescent="0.3">
      <c r="A2740" s="5">
        <v>8460</v>
      </c>
      <c r="B2740" s="5" t="s">
        <v>4278</v>
      </c>
      <c r="C2740" s="5">
        <v>1</v>
      </c>
      <c r="D2740" s="5" t="s">
        <v>10</v>
      </c>
      <c r="E2740" t="s">
        <v>4279</v>
      </c>
      <c r="F2740" t="s">
        <v>4280</v>
      </c>
      <c r="G2740">
        <v>3</v>
      </c>
      <c r="H2740" t="s">
        <v>4282</v>
      </c>
      <c r="I2740" s="2">
        <v>5000</v>
      </c>
    </row>
    <row r="2741" spans="1:9" x14ac:dyDescent="0.3">
      <c r="A2741" s="5">
        <v>8459</v>
      </c>
      <c r="B2741" s="5" t="s">
        <v>4283</v>
      </c>
      <c r="C2741" s="5">
        <v>1</v>
      </c>
      <c r="D2741" s="5" t="s">
        <v>10</v>
      </c>
      <c r="E2741" t="s">
        <v>4284</v>
      </c>
      <c r="F2741" t="s">
        <v>4285</v>
      </c>
      <c r="G2741">
        <v>3</v>
      </c>
      <c r="H2741" t="s">
        <v>229</v>
      </c>
      <c r="I2741" s="2">
        <v>7000</v>
      </c>
    </row>
    <row r="2742" spans="1:9" x14ac:dyDescent="0.3">
      <c r="A2742" s="5">
        <v>8459</v>
      </c>
      <c r="B2742" s="5" t="s">
        <v>4283</v>
      </c>
      <c r="C2742" s="5">
        <v>1</v>
      </c>
      <c r="D2742" s="5" t="s">
        <v>10</v>
      </c>
      <c r="E2742" t="s">
        <v>4284</v>
      </c>
      <c r="F2742" t="s">
        <v>4285</v>
      </c>
      <c r="G2742">
        <v>3</v>
      </c>
      <c r="H2742" t="s">
        <v>4189</v>
      </c>
      <c r="I2742" s="2">
        <v>11000</v>
      </c>
    </row>
    <row r="2743" spans="1:9" x14ac:dyDescent="0.3">
      <c r="A2743" s="5">
        <v>8459</v>
      </c>
      <c r="B2743" s="5" t="s">
        <v>4283</v>
      </c>
      <c r="C2743" s="5">
        <v>1</v>
      </c>
      <c r="D2743" s="5" t="s">
        <v>10</v>
      </c>
      <c r="E2743" t="s">
        <v>4284</v>
      </c>
      <c r="F2743" t="s">
        <v>4285</v>
      </c>
      <c r="G2743">
        <v>3</v>
      </c>
      <c r="H2743" t="s">
        <v>1099</v>
      </c>
      <c r="I2743" s="2">
        <v>10900</v>
      </c>
    </row>
    <row r="2744" spans="1:9" x14ac:dyDescent="0.3">
      <c r="A2744" s="5">
        <v>8458</v>
      </c>
      <c r="B2744" s="5" t="s">
        <v>4286</v>
      </c>
      <c r="C2744" s="5">
        <v>1</v>
      </c>
      <c r="D2744" s="5" t="s">
        <v>10</v>
      </c>
      <c r="E2744" t="s">
        <v>4287</v>
      </c>
      <c r="F2744" t="s">
        <v>4288</v>
      </c>
      <c r="G2744">
        <v>3</v>
      </c>
      <c r="H2744" t="s">
        <v>4289</v>
      </c>
      <c r="I2744" s="2">
        <v>5000</v>
      </c>
    </row>
    <row r="2745" spans="1:9" x14ac:dyDescent="0.3">
      <c r="A2745" s="5">
        <v>8458</v>
      </c>
      <c r="B2745" s="5" t="s">
        <v>4286</v>
      </c>
      <c r="C2745" s="5">
        <v>1</v>
      </c>
      <c r="D2745" s="5" t="s">
        <v>10</v>
      </c>
      <c r="E2745" t="s">
        <v>4287</v>
      </c>
      <c r="F2745" t="s">
        <v>4288</v>
      </c>
      <c r="G2745">
        <v>3</v>
      </c>
      <c r="H2745" t="s">
        <v>4290</v>
      </c>
      <c r="I2745" s="2">
        <v>6000</v>
      </c>
    </row>
    <row r="2746" spans="1:9" x14ac:dyDescent="0.3">
      <c r="A2746" s="5">
        <v>8458</v>
      </c>
      <c r="B2746" s="5" t="s">
        <v>4286</v>
      </c>
      <c r="C2746" s="5">
        <v>1</v>
      </c>
      <c r="D2746" s="5" t="s">
        <v>10</v>
      </c>
      <c r="E2746" t="s">
        <v>4287</v>
      </c>
      <c r="F2746" t="s">
        <v>4288</v>
      </c>
      <c r="G2746">
        <v>3</v>
      </c>
      <c r="H2746" t="s">
        <v>3637</v>
      </c>
      <c r="I2746" s="2">
        <v>5000</v>
      </c>
    </row>
    <row r="2747" spans="1:9" x14ac:dyDescent="0.3">
      <c r="A2747" s="5">
        <v>8455</v>
      </c>
      <c r="B2747" s="5" t="s">
        <v>4291</v>
      </c>
      <c r="C2747" s="5">
        <v>4</v>
      </c>
      <c r="D2747" s="5" t="s">
        <v>39</v>
      </c>
      <c r="E2747" t="s">
        <v>4292</v>
      </c>
      <c r="F2747" t="s">
        <v>4293</v>
      </c>
      <c r="G2747">
        <v>3</v>
      </c>
      <c r="H2747" t="s">
        <v>4294</v>
      </c>
      <c r="I2747" s="2">
        <v>8500</v>
      </c>
    </row>
    <row r="2748" spans="1:9" x14ac:dyDescent="0.3">
      <c r="A2748" s="5">
        <v>8455</v>
      </c>
      <c r="B2748" s="5" t="s">
        <v>4291</v>
      </c>
      <c r="C2748" s="5">
        <v>4</v>
      </c>
      <c r="D2748" s="5" t="s">
        <v>39</v>
      </c>
      <c r="E2748" t="s">
        <v>4292</v>
      </c>
      <c r="F2748" t="s">
        <v>4293</v>
      </c>
      <c r="G2748">
        <v>3</v>
      </c>
      <c r="H2748" t="s">
        <v>4295</v>
      </c>
      <c r="I2748" s="2">
        <v>8500</v>
      </c>
    </row>
    <row r="2749" spans="1:9" x14ac:dyDescent="0.3">
      <c r="A2749" s="5">
        <v>8455</v>
      </c>
      <c r="B2749" s="5" t="s">
        <v>4291</v>
      </c>
      <c r="C2749" s="5">
        <v>4</v>
      </c>
      <c r="D2749" s="5" t="s">
        <v>39</v>
      </c>
      <c r="E2749" t="s">
        <v>4292</v>
      </c>
      <c r="F2749" t="s">
        <v>4293</v>
      </c>
      <c r="G2749">
        <v>3</v>
      </c>
      <c r="H2749" t="s">
        <v>4296</v>
      </c>
      <c r="I2749" s="2">
        <v>8500</v>
      </c>
    </row>
    <row r="2750" spans="1:9" x14ac:dyDescent="0.3">
      <c r="A2750" s="5">
        <v>8453</v>
      </c>
      <c r="B2750" s="5" t="s">
        <v>4297</v>
      </c>
      <c r="C2750" s="5">
        <v>1</v>
      </c>
      <c r="D2750" s="5" t="s">
        <v>10</v>
      </c>
      <c r="E2750" t="s">
        <v>4298</v>
      </c>
      <c r="F2750" t="s">
        <v>4299</v>
      </c>
      <c r="G2750">
        <v>3</v>
      </c>
      <c r="H2750" t="s">
        <v>139</v>
      </c>
      <c r="I2750" s="2">
        <v>7000</v>
      </c>
    </row>
    <row r="2751" spans="1:9" x14ac:dyDescent="0.3">
      <c r="A2751" s="5">
        <v>8453</v>
      </c>
      <c r="B2751" s="5" t="s">
        <v>4297</v>
      </c>
      <c r="C2751" s="5">
        <v>1</v>
      </c>
      <c r="D2751" s="5" t="s">
        <v>10</v>
      </c>
      <c r="E2751" t="s">
        <v>4298</v>
      </c>
      <c r="F2751" t="s">
        <v>4299</v>
      </c>
      <c r="G2751">
        <v>3</v>
      </c>
      <c r="H2751" t="s">
        <v>37</v>
      </c>
      <c r="I2751" s="2">
        <v>7000</v>
      </c>
    </row>
    <row r="2752" spans="1:9" x14ac:dyDescent="0.3">
      <c r="A2752" s="5">
        <v>8453</v>
      </c>
      <c r="B2752" s="5" t="s">
        <v>4297</v>
      </c>
      <c r="C2752" s="5">
        <v>1</v>
      </c>
      <c r="D2752" s="5" t="s">
        <v>10</v>
      </c>
      <c r="E2752" t="s">
        <v>4298</v>
      </c>
      <c r="F2752" t="s">
        <v>4299</v>
      </c>
      <c r="G2752">
        <v>3</v>
      </c>
      <c r="H2752" t="s">
        <v>126</v>
      </c>
      <c r="I2752" s="2">
        <v>7000</v>
      </c>
    </row>
    <row r="2753" spans="1:9" x14ac:dyDescent="0.3">
      <c r="A2753" s="5">
        <v>8452</v>
      </c>
      <c r="B2753" s="5" t="s">
        <v>4300</v>
      </c>
      <c r="C2753" s="5">
        <v>1</v>
      </c>
      <c r="D2753" s="5" t="s">
        <v>10</v>
      </c>
      <c r="E2753" t="s">
        <v>4301</v>
      </c>
      <c r="F2753" t="s">
        <v>4302</v>
      </c>
      <c r="G2753">
        <v>3</v>
      </c>
      <c r="H2753" t="s">
        <v>37</v>
      </c>
      <c r="I2753" s="2">
        <v>7000</v>
      </c>
    </row>
    <row r="2754" spans="1:9" x14ac:dyDescent="0.3">
      <c r="A2754" s="5">
        <v>8452</v>
      </c>
      <c r="B2754" s="5" t="s">
        <v>4300</v>
      </c>
      <c r="C2754" s="5">
        <v>1</v>
      </c>
      <c r="D2754" s="5" t="s">
        <v>10</v>
      </c>
      <c r="E2754" t="s">
        <v>4301</v>
      </c>
      <c r="F2754" t="s">
        <v>4302</v>
      </c>
      <c r="G2754">
        <v>3</v>
      </c>
      <c r="H2754" t="s">
        <v>126</v>
      </c>
      <c r="I2754" s="2">
        <v>7000</v>
      </c>
    </row>
    <row r="2755" spans="1:9" x14ac:dyDescent="0.3">
      <c r="A2755" s="5">
        <v>8452</v>
      </c>
      <c r="B2755" s="5" t="s">
        <v>4300</v>
      </c>
      <c r="C2755" s="5">
        <v>1</v>
      </c>
      <c r="D2755" s="5" t="s">
        <v>10</v>
      </c>
      <c r="E2755" t="s">
        <v>4301</v>
      </c>
      <c r="F2755" t="s">
        <v>4302</v>
      </c>
      <c r="G2755">
        <v>3</v>
      </c>
      <c r="H2755" t="s">
        <v>139</v>
      </c>
      <c r="I2755" s="2">
        <v>7000</v>
      </c>
    </row>
    <row r="2756" spans="1:9" x14ac:dyDescent="0.3">
      <c r="A2756" s="5">
        <v>8451</v>
      </c>
      <c r="B2756" s="5" t="s">
        <v>4303</v>
      </c>
      <c r="C2756" s="5">
        <v>1</v>
      </c>
      <c r="D2756" s="5" t="s">
        <v>10</v>
      </c>
      <c r="E2756" t="s">
        <v>4304</v>
      </c>
      <c r="F2756" t="s">
        <v>4305</v>
      </c>
      <c r="G2756">
        <v>3</v>
      </c>
      <c r="H2756" t="s">
        <v>126</v>
      </c>
      <c r="I2756" s="2">
        <v>6000</v>
      </c>
    </row>
    <row r="2757" spans="1:9" x14ac:dyDescent="0.3">
      <c r="A2757" s="5">
        <v>8451</v>
      </c>
      <c r="B2757" s="5" t="s">
        <v>4303</v>
      </c>
      <c r="C2757" s="5">
        <v>1</v>
      </c>
      <c r="D2757" s="5" t="s">
        <v>10</v>
      </c>
      <c r="E2757" t="s">
        <v>4304</v>
      </c>
      <c r="F2757" t="s">
        <v>4305</v>
      </c>
      <c r="G2757">
        <v>3</v>
      </c>
      <c r="H2757" t="s">
        <v>149</v>
      </c>
      <c r="I2757" s="2">
        <v>6000</v>
      </c>
    </row>
    <row r="2758" spans="1:9" x14ac:dyDescent="0.3">
      <c r="A2758" s="5">
        <v>8451</v>
      </c>
      <c r="B2758" s="5" t="s">
        <v>4303</v>
      </c>
      <c r="C2758" s="5">
        <v>1</v>
      </c>
      <c r="D2758" s="5" t="s">
        <v>10</v>
      </c>
      <c r="E2758" t="s">
        <v>4304</v>
      </c>
      <c r="F2758" t="s">
        <v>4305</v>
      </c>
      <c r="G2758">
        <v>3</v>
      </c>
      <c r="H2758" t="s">
        <v>35</v>
      </c>
      <c r="I2758" s="2">
        <v>6000</v>
      </c>
    </row>
    <row r="2759" spans="1:9" x14ac:dyDescent="0.3">
      <c r="A2759" s="5">
        <v>8449</v>
      </c>
      <c r="B2759" s="5" t="s">
        <v>4306</v>
      </c>
      <c r="C2759" s="5">
        <v>1</v>
      </c>
      <c r="D2759" s="5" t="s">
        <v>10</v>
      </c>
      <c r="E2759" t="s">
        <v>4307</v>
      </c>
      <c r="F2759" t="s">
        <v>4308</v>
      </c>
      <c r="G2759">
        <v>3</v>
      </c>
      <c r="H2759" t="s">
        <v>4309</v>
      </c>
      <c r="I2759" s="2">
        <v>8000</v>
      </c>
    </row>
    <row r="2760" spans="1:9" x14ac:dyDescent="0.3">
      <c r="A2760" s="5">
        <v>8449</v>
      </c>
      <c r="B2760" s="5" t="s">
        <v>4306</v>
      </c>
      <c r="C2760" s="5">
        <v>1</v>
      </c>
      <c r="D2760" s="5" t="s">
        <v>10</v>
      </c>
      <c r="E2760" t="s">
        <v>4307</v>
      </c>
      <c r="F2760" t="s">
        <v>4308</v>
      </c>
      <c r="G2760">
        <v>3</v>
      </c>
      <c r="H2760" t="s">
        <v>126</v>
      </c>
      <c r="I2760" s="2">
        <v>7000</v>
      </c>
    </row>
    <row r="2761" spans="1:9" x14ac:dyDescent="0.3">
      <c r="A2761" s="5">
        <v>8449</v>
      </c>
      <c r="B2761" s="5" t="s">
        <v>4306</v>
      </c>
      <c r="C2761" s="5">
        <v>1</v>
      </c>
      <c r="D2761" s="5" t="s">
        <v>10</v>
      </c>
      <c r="E2761" t="s">
        <v>4307</v>
      </c>
      <c r="F2761" t="s">
        <v>4308</v>
      </c>
      <c r="G2761">
        <v>3</v>
      </c>
      <c r="H2761" t="s">
        <v>95</v>
      </c>
      <c r="I2761" s="2">
        <v>7000</v>
      </c>
    </row>
    <row r="2762" spans="1:9" x14ac:dyDescent="0.3">
      <c r="A2762" s="5">
        <v>8446</v>
      </c>
      <c r="B2762" s="5" t="s">
        <v>4310</v>
      </c>
      <c r="C2762" s="5">
        <v>1</v>
      </c>
      <c r="D2762" s="5" t="s">
        <v>10</v>
      </c>
      <c r="E2762" t="s">
        <v>4311</v>
      </c>
      <c r="F2762" t="s">
        <v>4312</v>
      </c>
      <c r="G2762">
        <v>3</v>
      </c>
      <c r="H2762" t="s">
        <v>37</v>
      </c>
      <c r="I2762" s="2">
        <v>7000</v>
      </c>
    </row>
    <row r="2763" spans="1:9" x14ac:dyDescent="0.3">
      <c r="A2763" s="5">
        <v>8446</v>
      </c>
      <c r="B2763" s="5" t="s">
        <v>4310</v>
      </c>
      <c r="C2763" s="5">
        <v>1</v>
      </c>
      <c r="D2763" s="5" t="s">
        <v>10</v>
      </c>
      <c r="E2763" t="s">
        <v>4311</v>
      </c>
      <c r="F2763" t="s">
        <v>4312</v>
      </c>
      <c r="G2763">
        <v>3</v>
      </c>
      <c r="H2763" t="s">
        <v>149</v>
      </c>
      <c r="I2763" s="2">
        <v>8000</v>
      </c>
    </row>
    <row r="2764" spans="1:9" x14ac:dyDescent="0.3">
      <c r="A2764" s="5">
        <v>8446</v>
      </c>
      <c r="B2764" s="5" t="s">
        <v>4310</v>
      </c>
      <c r="C2764" s="5">
        <v>1</v>
      </c>
      <c r="D2764" s="5" t="s">
        <v>10</v>
      </c>
      <c r="E2764" t="s">
        <v>4311</v>
      </c>
      <c r="F2764" t="s">
        <v>4312</v>
      </c>
      <c r="G2764">
        <v>3</v>
      </c>
      <c r="H2764" t="s">
        <v>1473</v>
      </c>
      <c r="I2764" s="2">
        <v>15000</v>
      </c>
    </row>
    <row r="2765" spans="1:9" x14ac:dyDescent="0.3">
      <c r="A2765" s="5">
        <v>8435</v>
      </c>
      <c r="B2765" s="5" t="s">
        <v>4313</v>
      </c>
      <c r="C2765" s="5">
        <v>1</v>
      </c>
      <c r="D2765" s="5" t="s">
        <v>10</v>
      </c>
      <c r="E2765" t="s">
        <v>4314</v>
      </c>
      <c r="F2765" t="s">
        <v>4315</v>
      </c>
      <c r="G2765">
        <v>5</v>
      </c>
      <c r="H2765" t="s">
        <v>4316</v>
      </c>
      <c r="I2765" s="2">
        <v>7000</v>
      </c>
    </row>
    <row r="2766" spans="1:9" x14ac:dyDescent="0.3">
      <c r="A2766" s="5">
        <v>8435</v>
      </c>
      <c r="B2766" s="5" t="s">
        <v>4313</v>
      </c>
      <c r="C2766" s="5">
        <v>1</v>
      </c>
      <c r="D2766" s="5" t="s">
        <v>10</v>
      </c>
      <c r="E2766" t="s">
        <v>4314</v>
      </c>
      <c r="F2766" t="s">
        <v>4315</v>
      </c>
      <c r="G2766">
        <v>5</v>
      </c>
      <c r="H2766" t="s">
        <v>1629</v>
      </c>
      <c r="I2766" s="2">
        <v>14500</v>
      </c>
    </row>
    <row r="2767" spans="1:9" x14ac:dyDescent="0.3">
      <c r="A2767" s="5">
        <v>8435</v>
      </c>
      <c r="B2767" s="5" t="s">
        <v>4313</v>
      </c>
      <c r="C2767" s="5">
        <v>1</v>
      </c>
      <c r="D2767" s="5" t="s">
        <v>10</v>
      </c>
      <c r="E2767" t="s">
        <v>4314</v>
      </c>
      <c r="F2767" t="s">
        <v>4315</v>
      </c>
      <c r="G2767">
        <v>5</v>
      </c>
      <c r="H2767" t="s">
        <v>4317</v>
      </c>
      <c r="I2767" s="2">
        <v>14500</v>
      </c>
    </row>
    <row r="2768" spans="1:9" x14ac:dyDescent="0.3">
      <c r="A2768" s="5">
        <v>8419</v>
      </c>
      <c r="B2768" s="5" t="s">
        <v>4318</v>
      </c>
      <c r="C2768" s="5">
        <v>1</v>
      </c>
      <c r="D2768" s="5" t="s">
        <v>10</v>
      </c>
      <c r="E2768" t="s">
        <v>4319</v>
      </c>
      <c r="F2768" t="s">
        <v>4320</v>
      </c>
      <c r="G2768">
        <v>3</v>
      </c>
      <c r="H2768" t="s">
        <v>352</v>
      </c>
      <c r="I2768" s="2">
        <v>12000</v>
      </c>
    </row>
    <row r="2769" spans="1:9" x14ac:dyDescent="0.3">
      <c r="A2769" s="5">
        <v>8419</v>
      </c>
      <c r="B2769" s="5" t="s">
        <v>4318</v>
      </c>
      <c r="C2769" s="5">
        <v>1</v>
      </c>
      <c r="D2769" s="5" t="s">
        <v>10</v>
      </c>
      <c r="E2769" t="s">
        <v>4319</v>
      </c>
      <c r="F2769" t="s">
        <v>4320</v>
      </c>
      <c r="G2769">
        <v>3</v>
      </c>
      <c r="H2769" t="s">
        <v>149</v>
      </c>
      <c r="I2769" s="2">
        <v>8000</v>
      </c>
    </row>
    <row r="2770" spans="1:9" x14ac:dyDescent="0.3">
      <c r="A2770" s="5">
        <v>8417</v>
      </c>
      <c r="B2770" s="5" t="s">
        <v>4321</v>
      </c>
      <c r="C2770" s="5">
        <v>1</v>
      </c>
      <c r="D2770" s="5" t="s">
        <v>10</v>
      </c>
      <c r="E2770" t="s">
        <v>4322</v>
      </c>
      <c r="F2770" t="s">
        <v>4323</v>
      </c>
      <c r="G2770">
        <v>3</v>
      </c>
      <c r="H2770" t="s">
        <v>139</v>
      </c>
      <c r="I2770" s="2">
        <v>8000</v>
      </c>
    </row>
    <row r="2771" spans="1:9" x14ac:dyDescent="0.3">
      <c r="A2771" s="5">
        <v>8417</v>
      </c>
      <c r="B2771" s="5" t="s">
        <v>4321</v>
      </c>
      <c r="C2771" s="5">
        <v>1</v>
      </c>
      <c r="D2771" s="5" t="s">
        <v>10</v>
      </c>
      <c r="E2771" t="s">
        <v>4322</v>
      </c>
      <c r="F2771" t="s">
        <v>4323</v>
      </c>
      <c r="G2771">
        <v>3</v>
      </c>
      <c r="H2771" t="s">
        <v>149</v>
      </c>
      <c r="I2771" s="2">
        <v>8000</v>
      </c>
    </row>
    <row r="2772" spans="1:9" x14ac:dyDescent="0.3">
      <c r="A2772" s="5">
        <v>8417</v>
      </c>
      <c r="B2772" s="5" t="s">
        <v>4321</v>
      </c>
      <c r="C2772" s="5">
        <v>1</v>
      </c>
      <c r="D2772" s="5" t="s">
        <v>10</v>
      </c>
      <c r="E2772" t="s">
        <v>4322</v>
      </c>
      <c r="F2772" t="s">
        <v>4323</v>
      </c>
      <c r="G2772">
        <v>3</v>
      </c>
      <c r="H2772" t="s">
        <v>37</v>
      </c>
      <c r="I2772" s="2">
        <v>8000</v>
      </c>
    </row>
    <row r="2773" spans="1:9" x14ac:dyDescent="0.3">
      <c r="A2773" s="5">
        <v>8415</v>
      </c>
      <c r="B2773" s="5" t="s">
        <v>4324</v>
      </c>
      <c r="C2773" s="5">
        <v>1</v>
      </c>
      <c r="D2773" s="5" t="s">
        <v>10</v>
      </c>
      <c r="E2773" t="s">
        <v>4325</v>
      </c>
      <c r="F2773" t="s">
        <v>4326</v>
      </c>
      <c r="G2773">
        <v>3</v>
      </c>
      <c r="H2773" t="s">
        <v>4327</v>
      </c>
      <c r="I2773" s="2">
        <v>17000</v>
      </c>
    </row>
    <row r="2774" spans="1:9" x14ac:dyDescent="0.3">
      <c r="A2774" s="5">
        <v>8415</v>
      </c>
      <c r="B2774" s="5" t="s">
        <v>4324</v>
      </c>
      <c r="C2774" s="5">
        <v>1</v>
      </c>
      <c r="D2774" s="5" t="s">
        <v>10</v>
      </c>
      <c r="E2774" t="s">
        <v>4325</v>
      </c>
      <c r="F2774" t="s">
        <v>4326</v>
      </c>
      <c r="G2774">
        <v>3</v>
      </c>
      <c r="H2774" t="s">
        <v>1566</v>
      </c>
      <c r="I2774" s="2">
        <v>15000</v>
      </c>
    </row>
    <row r="2775" spans="1:9" x14ac:dyDescent="0.3">
      <c r="A2775" s="5">
        <v>8414</v>
      </c>
      <c r="B2775" s="5" t="s">
        <v>4328</v>
      </c>
      <c r="C2775" s="5">
        <v>1</v>
      </c>
      <c r="D2775" s="5" t="s">
        <v>10</v>
      </c>
      <c r="E2775" t="s">
        <v>4329</v>
      </c>
      <c r="F2775" t="s">
        <v>4330</v>
      </c>
      <c r="G2775">
        <v>3</v>
      </c>
      <c r="H2775" t="s">
        <v>4331</v>
      </c>
      <c r="I2775" s="2">
        <v>9000</v>
      </c>
    </row>
    <row r="2776" spans="1:9" x14ac:dyDescent="0.3">
      <c r="A2776" s="5">
        <v>8414</v>
      </c>
      <c r="B2776" s="5" t="s">
        <v>4328</v>
      </c>
      <c r="C2776" s="5">
        <v>1</v>
      </c>
      <c r="D2776" s="5" t="s">
        <v>10</v>
      </c>
      <c r="E2776" t="s">
        <v>4329</v>
      </c>
      <c r="F2776" t="s">
        <v>4330</v>
      </c>
      <c r="G2776">
        <v>3</v>
      </c>
      <c r="H2776" t="s">
        <v>970</v>
      </c>
      <c r="I2776" s="2">
        <v>9000</v>
      </c>
    </row>
    <row r="2777" spans="1:9" x14ac:dyDescent="0.3">
      <c r="A2777" s="5">
        <v>8414</v>
      </c>
      <c r="B2777" s="5" t="s">
        <v>4328</v>
      </c>
      <c r="C2777" s="5">
        <v>1</v>
      </c>
      <c r="D2777" s="5" t="s">
        <v>10</v>
      </c>
      <c r="E2777" t="s">
        <v>4329</v>
      </c>
      <c r="F2777" t="s">
        <v>4330</v>
      </c>
      <c r="G2777">
        <v>3</v>
      </c>
      <c r="H2777" t="s">
        <v>4332</v>
      </c>
      <c r="I2777" s="2">
        <v>9000</v>
      </c>
    </row>
    <row r="2778" spans="1:9" x14ac:dyDescent="0.3">
      <c r="A2778" s="5">
        <v>8413</v>
      </c>
      <c r="B2778" s="5" t="s">
        <v>4333</v>
      </c>
      <c r="C2778" s="5">
        <v>1</v>
      </c>
      <c r="D2778" s="5" t="s">
        <v>10</v>
      </c>
      <c r="E2778" t="s">
        <v>4334</v>
      </c>
      <c r="F2778" t="s">
        <v>4335</v>
      </c>
      <c r="G2778">
        <v>3</v>
      </c>
      <c r="H2778" t="s">
        <v>1629</v>
      </c>
      <c r="I2778" s="2">
        <v>13000</v>
      </c>
    </row>
    <row r="2779" spans="1:9" x14ac:dyDescent="0.3">
      <c r="A2779" s="5">
        <v>8413</v>
      </c>
      <c r="B2779" s="5" t="s">
        <v>4333</v>
      </c>
      <c r="C2779" s="5">
        <v>1</v>
      </c>
      <c r="D2779" s="5" t="s">
        <v>10</v>
      </c>
      <c r="E2779" t="s">
        <v>4334</v>
      </c>
      <c r="F2779" t="s">
        <v>4335</v>
      </c>
      <c r="G2779">
        <v>3</v>
      </c>
      <c r="H2779" t="s">
        <v>4336</v>
      </c>
      <c r="I2779" s="2">
        <v>13000</v>
      </c>
    </row>
    <row r="2780" spans="1:9" x14ac:dyDescent="0.3">
      <c r="A2780" s="5">
        <v>8413</v>
      </c>
      <c r="B2780" s="5" t="s">
        <v>4333</v>
      </c>
      <c r="C2780" s="5">
        <v>1</v>
      </c>
      <c r="D2780" s="5" t="s">
        <v>10</v>
      </c>
      <c r="E2780" t="s">
        <v>4334</v>
      </c>
      <c r="F2780" t="s">
        <v>4335</v>
      </c>
      <c r="G2780">
        <v>3</v>
      </c>
      <c r="H2780" t="s">
        <v>128</v>
      </c>
      <c r="I2780" s="2">
        <v>7000</v>
      </c>
    </row>
    <row r="2781" spans="1:9" x14ac:dyDescent="0.3">
      <c r="A2781" s="5">
        <v>8410</v>
      </c>
      <c r="B2781" s="5" t="s">
        <v>4337</v>
      </c>
      <c r="C2781" s="5">
        <v>1</v>
      </c>
      <c r="D2781" s="5" t="s">
        <v>10</v>
      </c>
      <c r="E2781" t="s">
        <v>4338</v>
      </c>
      <c r="F2781" t="s">
        <v>4339</v>
      </c>
      <c r="G2781">
        <v>3</v>
      </c>
      <c r="H2781" t="s">
        <v>4340</v>
      </c>
      <c r="I2781" s="2">
        <v>8500</v>
      </c>
    </row>
    <row r="2782" spans="1:9" x14ac:dyDescent="0.3">
      <c r="A2782" s="5">
        <v>8410</v>
      </c>
      <c r="B2782" s="5" t="s">
        <v>4337</v>
      </c>
      <c r="C2782" s="5">
        <v>1</v>
      </c>
      <c r="D2782" s="5" t="s">
        <v>10</v>
      </c>
      <c r="E2782" t="s">
        <v>4338</v>
      </c>
      <c r="F2782" t="s">
        <v>4339</v>
      </c>
      <c r="G2782">
        <v>3</v>
      </c>
      <c r="H2782" t="s">
        <v>1474</v>
      </c>
      <c r="I2782" s="2">
        <v>6500</v>
      </c>
    </row>
    <row r="2783" spans="1:9" x14ac:dyDescent="0.3">
      <c r="A2783" s="5">
        <v>8403</v>
      </c>
      <c r="B2783" s="5" t="s">
        <v>4341</v>
      </c>
      <c r="C2783" s="5">
        <v>1</v>
      </c>
      <c r="D2783" s="5" t="s">
        <v>10</v>
      </c>
      <c r="E2783" t="s">
        <v>4342</v>
      </c>
      <c r="F2783" t="s">
        <v>4343</v>
      </c>
      <c r="G2783">
        <v>3</v>
      </c>
      <c r="H2783" t="s">
        <v>1566</v>
      </c>
      <c r="I2783" s="2">
        <v>20000</v>
      </c>
    </row>
    <row r="2784" spans="1:9" x14ac:dyDescent="0.3">
      <c r="A2784" s="5">
        <v>8399</v>
      </c>
      <c r="B2784" s="5" t="s">
        <v>4344</v>
      </c>
      <c r="C2784" s="5">
        <v>1</v>
      </c>
      <c r="D2784" s="5" t="s">
        <v>10</v>
      </c>
      <c r="E2784" t="s">
        <v>4345</v>
      </c>
      <c r="F2784" t="s">
        <v>4346</v>
      </c>
      <c r="G2784">
        <v>3</v>
      </c>
      <c r="H2784" t="s">
        <v>35</v>
      </c>
      <c r="I2784" s="2">
        <v>7000</v>
      </c>
    </row>
    <row r="2785" spans="1:9" x14ac:dyDescent="0.3">
      <c r="A2785" s="5">
        <v>8399</v>
      </c>
      <c r="B2785" s="5" t="s">
        <v>4344</v>
      </c>
      <c r="C2785" s="5">
        <v>1</v>
      </c>
      <c r="D2785" s="5" t="s">
        <v>10</v>
      </c>
      <c r="E2785" t="s">
        <v>4345</v>
      </c>
      <c r="F2785" t="s">
        <v>4346</v>
      </c>
      <c r="G2785">
        <v>3</v>
      </c>
      <c r="H2785" t="s">
        <v>794</v>
      </c>
      <c r="I2785" s="2">
        <v>7000</v>
      </c>
    </row>
    <row r="2786" spans="1:9" x14ac:dyDescent="0.3">
      <c r="A2786" s="5">
        <v>8399</v>
      </c>
      <c r="B2786" s="5" t="s">
        <v>4344</v>
      </c>
      <c r="C2786" s="5">
        <v>1</v>
      </c>
      <c r="D2786" s="5" t="s">
        <v>10</v>
      </c>
      <c r="E2786" t="s">
        <v>4345</v>
      </c>
      <c r="F2786" t="s">
        <v>4346</v>
      </c>
      <c r="G2786">
        <v>3</v>
      </c>
      <c r="H2786" t="s">
        <v>128</v>
      </c>
      <c r="I2786" s="2">
        <v>7000</v>
      </c>
    </row>
    <row r="2787" spans="1:9" x14ac:dyDescent="0.3">
      <c r="A2787" s="5">
        <v>8393</v>
      </c>
      <c r="B2787" s="5" t="s">
        <v>4347</v>
      </c>
      <c r="C2787" s="5">
        <v>1</v>
      </c>
      <c r="D2787" s="5" t="s">
        <v>10</v>
      </c>
      <c r="E2787" t="s">
        <v>4348</v>
      </c>
      <c r="F2787" t="s">
        <v>4349</v>
      </c>
      <c r="G2787">
        <v>3</v>
      </c>
      <c r="H2787" t="s">
        <v>4350</v>
      </c>
      <c r="I2787" s="2">
        <v>4000</v>
      </c>
    </row>
    <row r="2788" spans="1:9" x14ac:dyDescent="0.3">
      <c r="A2788" s="5">
        <v>8393</v>
      </c>
      <c r="B2788" s="5" t="s">
        <v>4347</v>
      </c>
      <c r="C2788" s="5">
        <v>1</v>
      </c>
      <c r="D2788" s="5" t="s">
        <v>10</v>
      </c>
      <c r="E2788" t="s">
        <v>4348</v>
      </c>
      <c r="F2788" t="s">
        <v>4349</v>
      </c>
      <c r="G2788">
        <v>3</v>
      </c>
      <c r="H2788" t="s">
        <v>4351</v>
      </c>
      <c r="I2788" s="2">
        <v>4000</v>
      </c>
    </row>
    <row r="2789" spans="1:9" x14ac:dyDescent="0.3">
      <c r="A2789" s="5">
        <v>8390</v>
      </c>
      <c r="B2789" s="5" t="s">
        <v>4352</v>
      </c>
      <c r="C2789" s="5">
        <v>1</v>
      </c>
      <c r="D2789" s="5" t="s">
        <v>10</v>
      </c>
      <c r="E2789" t="s">
        <v>4353</v>
      </c>
      <c r="F2789" t="s">
        <v>4354</v>
      </c>
      <c r="G2789">
        <v>3</v>
      </c>
      <c r="H2789" t="s">
        <v>126</v>
      </c>
      <c r="I2789" s="2">
        <v>5000</v>
      </c>
    </row>
    <row r="2790" spans="1:9" x14ac:dyDescent="0.3">
      <c r="A2790" s="5">
        <v>8390</v>
      </c>
      <c r="B2790" s="5" t="s">
        <v>4352</v>
      </c>
      <c r="C2790" s="5">
        <v>1</v>
      </c>
      <c r="D2790" s="5" t="s">
        <v>10</v>
      </c>
      <c r="E2790" t="s">
        <v>4353</v>
      </c>
      <c r="F2790" t="s">
        <v>4354</v>
      </c>
      <c r="G2790">
        <v>3</v>
      </c>
      <c r="H2790" t="s">
        <v>139</v>
      </c>
      <c r="I2790" s="2">
        <v>5000</v>
      </c>
    </row>
    <row r="2791" spans="1:9" x14ac:dyDescent="0.3">
      <c r="A2791" s="5">
        <v>8389</v>
      </c>
      <c r="B2791" s="5" t="s">
        <v>4355</v>
      </c>
      <c r="C2791" s="5">
        <v>1</v>
      </c>
      <c r="D2791" s="5" t="s">
        <v>10</v>
      </c>
      <c r="E2791" t="s">
        <v>4356</v>
      </c>
      <c r="F2791" t="s">
        <v>4357</v>
      </c>
      <c r="G2791">
        <v>3</v>
      </c>
      <c r="H2791" t="s">
        <v>21</v>
      </c>
      <c r="I2791" s="2">
        <v>6000</v>
      </c>
    </row>
    <row r="2792" spans="1:9" x14ac:dyDescent="0.3">
      <c r="A2792" s="5">
        <v>8389</v>
      </c>
      <c r="B2792" s="5" t="s">
        <v>4355</v>
      </c>
      <c r="C2792" s="5">
        <v>1</v>
      </c>
      <c r="D2792" s="5" t="s">
        <v>10</v>
      </c>
      <c r="E2792" t="s">
        <v>4356</v>
      </c>
      <c r="F2792" t="s">
        <v>4357</v>
      </c>
      <c r="G2792">
        <v>3</v>
      </c>
      <c r="H2792" t="s">
        <v>175</v>
      </c>
      <c r="I2792" s="2">
        <v>6000</v>
      </c>
    </row>
    <row r="2793" spans="1:9" x14ac:dyDescent="0.3">
      <c r="A2793" s="5">
        <v>8384</v>
      </c>
      <c r="B2793" s="5" t="s">
        <v>4358</v>
      </c>
      <c r="C2793" s="5">
        <v>1</v>
      </c>
      <c r="D2793" s="5" t="s">
        <v>10</v>
      </c>
      <c r="E2793" t="s">
        <v>4359</v>
      </c>
      <c r="F2793" t="s">
        <v>4360</v>
      </c>
      <c r="G2793">
        <v>3</v>
      </c>
      <c r="H2793" t="s">
        <v>37</v>
      </c>
      <c r="I2793" s="2">
        <v>6000</v>
      </c>
    </row>
    <row r="2794" spans="1:9" x14ac:dyDescent="0.3">
      <c r="A2794" s="5">
        <v>8384</v>
      </c>
      <c r="B2794" s="5" t="s">
        <v>4358</v>
      </c>
      <c r="C2794" s="5">
        <v>1</v>
      </c>
      <c r="D2794" s="5" t="s">
        <v>10</v>
      </c>
      <c r="E2794" t="s">
        <v>4359</v>
      </c>
      <c r="F2794" t="s">
        <v>4360</v>
      </c>
      <c r="G2794">
        <v>3</v>
      </c>
      <c r="H2794" t="s">
        <v>403</v>
      </c>
      <c r="I2794" s="2">
        <v>7000</v>
      </c>
    </row>
    <row r="2795" spans="1:9" x14ac:dyDescent="0.3">
      <c r="A2795" s="5">
        <v>8384</v>
      </c>
      <c r="B2795" s="5" t="s">
        <v>4358</v>
      </c>
      <c r="C2795" s="5">
        <v>1</v>
      </c>
      <c r="D2795" s="5" t="s">
        <v>10</v>
      </c>
      <c r="E2795" t="s">
        <v>4359</v>
      </c>
      <c r="F2795" t="s">
        <v>4360</v>
      </c>
      <c r="G2795">
        <v>3</v>
      </c>
      <c r="H2795" t="s">
        <v>139</v>
      </c>
      <c r="I2795" s="2">
        <v>6000</v>
      </c>
    </row>
    <row r="2796" spans="1:9" x14ac:dyDescent="0.3">
      <c r="A2796" s="5">
        <v>8383</v>
      </c>
      <c r="B2796" s="5" t="s">
        <v>4361</v>
      </c>
      <c r="C2796" s="5">
        <v>1</v>
      </c>
      <c r="D2796" s="5" t="s">
        <v>10</v>
      </c>
      <c r="E2796" t="s">
        <v>4362</v>
      </c>
      <c r="F2796" t="s">
        <v>4363</v>
      </c>
      <c r="G2796">
        <v>3</v>
      </c>
      <c r="H2796" t="s">
        <v>139</v>
      </c>
      <c r="I2796" s="2">
        <v>6000</v>
      </c>
    </row>
    <row r="2797" spans="1:9" x14ac:dyDescent="0.3">
      <c r="A2797" s="5">
        <v>8383</v>
      </c>
      <c r="B2797" s="5" t="s">
        <v>4361</v>
      </c>
      <c r="C2797" s="5">
        <v>1</v>
      </c>
      <c r="D2797" s="5" t="s">
        <v>10</v>
      </c>
      <c r="E2797" t="s">
        <v>4362</v>
      </c>
      <c r="F2797" t="s">
        <v>4363</v>
      </c>
      <c r="G2797">
        <v>3</v>
      </c>
      <c r="H2797" t="s">
        <v>126</v>
      </c>
      <c r="I2797" s="2">
        <v>6000</v>
      </c>
    </row>
    <row r="2798" spans="1:9" x14ac:dyDescent="0.3">
      <c r="A2798" s="5">
        <v>8380</v>
      </c>
      <c r="B2798" s="5" t="s">
        <v>4364</v>
      </c>
      <c r="C2798" s="5">
        <v>1</v>
      </c>
      <c r="D2798" s="5" t="s">
        <v>10</v>
      </c>
      <c r="E2798" t="s">
        <v>4365</v>
      </c>
      <c r="F2798" t="s">
        <v>4366</v>
      </c>
      <c r="G2798">
        <v>3</v>
      </c>
      <c r="H2798" t="s">
        <v>139</v>
      </c>
      <c r="I2798" s="2">
        <v>6000</v>
      </c>
    </row>
    <row r="2799" spans="1:9" x14ac:dyDescent="0.3">
      <c r="A2799" s="5">
        <v>8380</v>
      </c>
      <c r="B2799" s="5" t="s">
        <v>4364</v>
      </c>
      <c r="C2799" s="5">
        <v>1</v>
      </c>
      <c r="D2799" s="5" t="s">
        <v>10</v>
      </c>
      <c r="E2799" t="s">
        <v>4365</v>
      </c>
      <c r="F2799" t="s">
        <v>4366</v>
      </c>
      <c r="G2799">
        <v>3</v>
      </c>
      <c r="H2799" t="s">
        <v>149</v>
      </c>
      <c r="I2799" s="2">
        <v>6000</v>
      </c>
    </row>
    <row r="2800" spans="1:9" x14ac:dyDescent="0.3">
      <c r="A2800" s="5">
        <v>8378</v>
      </c>
      <c r="B2800" s="5" t="s">
        <v>4367</v>
      </c>
      <c r="C2800" s="5">
        <v>1</v>
      </c>
      <c r="D2800" s="5" t="s">
        <v>10</v>
      </c>
      <c r="E2800" t="s">
        <v>4368</v>
      </c>
      <c r="F2800" t="s">
        <v>4369</v>
      </c>
      <c r="G2800">
        <v>3</v>
      </c>
      <c r="H2800" t="s">
        <v>4370</v>
      </c>
      <c r="I2800" s="2">
        <v>7000</v>
      </c>
    </row>
    <row r="2801" spans="1:9" x14ac:dyDescent="0.3">
      <c r="A2801" s="5">
        <v>8378</v>
      </c>
      <c r="B2801" s="5" t="s">
        <v>4367</v>
      </c>
      <c r="C2801" s="5">
        <v>1</v>
      </c>
      <c r="D2801" s="5" t="s">
        <v>10</v>
      </c>
      <c r="E2801" t="s">
        <v>4368</v>
      </c>
      <c r="F2801" t="s">
        <v>4369</v>
      </c>
      <c r="G2801">
        <v>3</v>
      </c>
      <c r="H2801" t="s">
        <v>794</v>
      </c>
      <c r="I2801" s="2">
        <v>8000</v>
      </c>
    </row>
    <row r="2802" spans="1:9" x14ac:dyDescent="0.3">
      <c r="A2802" s="5">
        <v>8378</v>
      </c>
      <c r="B2802" s="5" t="s">
        <v>4367</v>
      </c>
      <c r="C2802" s="5">
        <v>1</v>
      </c>
      <c r="D2802" s="5" t="s">
        <v>10</v>
      </c>
      <c r="E2802" t="s">
        <v>4368</v>
      </c>
      <c r="F2802" t="s">
        <v>4369</v>
      </c>
      <c r="G2802">
        <v>3</v>
      </c>
      <c r="H2802" t="s">
        <v>139</v>
      </c>
      <c r="I2802" s="2">
        <v>7000</v>
      </c>
    </row>
    <row r="2803" spans="1:9" x14ac:dyDescent="0.3">
      <c r="A2803" s="5">
        <v>8373</v>
      </c>
      <c r="B2803" s="5" t="s">
        <v>4371</v>
      </c>
      <c r="C2803" s="5">
        <v>1</v>
      </c>
      <c r="D2803" s="5" t="s">
        <v>10</v>
      </c>
      <c r="E2803" t="s">
        <v>4372</v>
      </c>
      <c r="F2803" t="s">
        <v>4373</v>
      </c>
      <c r="G2803">
        <v>3</v>
      </c>
      <c r="H2803" t="s">
        <v>3284</v>
      </c>
      <c r="I2803" s="2">
        <v>9000</v>
      </c>
    </row>
    <row r="2804" spans="1:9" x14ac:dyDescent="0.3">
      <c r="A2804" s="5">
        <v>8373</v>
      </c>
      <c r="B2804" s="5" t="s">
        <v>4371</v>
      </c>
      <c r="C2804" s="5">
        <v>1</v>
      </c>
      <c r="D2804" s="5" t="s">
        <v>10</v>
      </c>
      <c r="E2804" t="s">
        <v>4372</v>
      </c>
      <c r="F2804" t="s">
        <v>4373</v>
      </c>
      <c r="G2804">
        <v>3</v>
      </c>
      <c r="H2804" t="s">
        <v>217</v>
      </c>
      <c r="I2804" s="2">
        <v>15000</v>
      </c>
    </row>
    <row r="2805" spans="1:9" x14ac:dyDescent="0.3">
      <c r="A2805" s="5">
        <v>8373</v>
      </c>
      <c r="B2805" s="5" t="s">
        <v>4371</v>
      </c>
      <c r="C2805" s="5">
        <v>1</v>
      </c>
      <c r="D2805" s="5" t="s">
        <v>10</v>
      </c>
      <c r="E2805" t="s">
        <v>4372</v>
      </c>
      <c r="F2805" t="s">
        <v>4373</v>
      </c>
      <c r="G2805">
        <v>3</v>
      </c>
      <c r="H2805" t="s">
        <v>188</v>
      </c>
      <c r="I2805" s="2">
        <v>9000</v>
      </c>
    </row>
    <row r="2806" spans="1:9" x14ac:dyDescent="0.3">
      <c r="A2806" s="5">
        <v>8373</v>
      </c>
      <c r="B2806" s="5" t="s">
        <v>4371</v>
      </c>
      <c r="C2806" s="5">
        <v>1</v>
      </c>
      <c r="D2806" s="5" t="s">
        <v>10</v>
      </c>
      <c r="E2806" t="s">
        <v>4372</v>
      </c>
      <c r="F2806" t="s">
        <v>4373</v>
      </c>
      <c r="G2806">
        <v>3</v>
      </c>
      <c r="H2806" t="s">
        <v>188</v>
      </c>
      <c r="I2806" s="2">
        <v>9000</v>
      </c>
    </row>
    <row r="2807" spans="1:9" x14ac:dyDescent="0.3">
      <c r="A2807" s="5">
        <v>8367</v>
      </c>
      <c r="B2807" s="5" t="s">
        <v>4374</v>
      </c>
      <c r="C2807" s="5">
        <v>5</v>
      </c>
      <c r="D2807" s="5" t="s">
        <v>63</v>
      </c>
      <c r="E2807" t="s">
        <v>4375</v>
      </c>
      <c r="F2807" t="s">
        <v>4376</v>
      </c>
      <c r="G2807">
        <v>3</v>
      </c>
      <c r="H2807" t="s">
        <v>88</v>
      </c>
      <c r="I2807" s="2">
        <v>20000</v>
      </c>
    </row>
    <row r="2808" spans="1:9" x14ac:dyDescent="0.3">
      <c r="A2808" s="5">
        <v>8367</v>
      </c>
      <c r="B2808" s="5" t="s">
        <v>4374</v>
      </c>
      <c r="C2808" s="5">
        <v>5</v>
      </c>
      <c r="D2808" s="5" t="s">
        <v>63</v>
      </c>
      <c r="E2808" t="s">
        <v>4375</v>
      </c>
      <c r="F2808" t="s">
        <v>4376</v>
      </c>
      <c r="G2808">
        <v>3</v>
      </c>
      <c r="H2808" t="s">
        <v>67</v>
      </c>
      <c r="I2808" s="2">
        <v>6000</v>
      </c>
    </row>
    <row r="2809" spans="1:9" x14ac:dyDescent="0.3">
      <c r="A2809" s="5">
        <v>8366</v>
      </c>
      <c r="B2809" s="5" t="s">
        <v>4377</v>
      </c>
      <c r="C2809" s="5">
        <v>5</v>
      </c>
      <c r="D2809" s="5" t="s">
        <v>63</v>
      </c>
      <c r="E2809" t="s">
        <v>4378</v>
      </c>
      <c r="F2809" t="s">
        <v>4379</v>
      </c>
      <c r="G2809">
        <v>3</v>
      </c>
      <c r="H2809" t="s">
        <v>88</v>
      </c>
      <c r="I2809" s="2">
        <v>20000</v>
      </c>
    </row>
    <row r="2810" spans="1:9" x14ac:dyDescent="0.3">
      <c r="A2810" s="5">
        <v>8366</v>
      </c>
      <c r="B2810" s="5" t="s">
        <v>4377</v>
      </c>
      <c r="C2810" s="5">
        <v>5</v>
      </c>
      <c r="D2810" s="5" t="s">
        <v>63</v>
      </c>
      <c r="E2810" t="s">
        <v>4378</v>
      </c>
      <c r="F2810" t="s">
        <v>4379</v>
      </c>
      <c r="G2810">
        <v>3</v>
      </c>
      <c r="H2810" t="s">
        <v>67</v>
      </c>
      <c r="I2810" s="2">
        <v>10000</v>
      </c>
    </row>
    <row r="2811" spans="1:9" x14ac:dyDescent="0.3">
      <c r="A2811" s="5">
        <v>8366</v>
      </c>
      <c r="B2811" s="5" t="s">
        <v>4377</v>
      </c>
      <c r="C2811" s="5">
        <v>5</v>
      </c>
      <c r="D2811" s="5" t="s">
        <v>63</v>
      </c>
      <c r="E2811" t="s">
        <v>4378</v>
      </c>
      <c r="F2811" t="s">
        <v>4379</v>
      </c>
      <c r="G2811">
        <v>3</v>
      </c>
      <c r="H2811" t="s">
        <v>66</v>
      </c>
      <c r="I2811" s="2">
        <v>20000</v>
      </c>
    </row>
    <row r="2812" spans="1:9" x14ac:dyDescent="0.3">
      <c r="A2812" s="5">
        <v>8357</v>
      </c>
      <c r="B2812" s="5" t="s">
        <v>4380</v>
      </c>
      <c r="C2812" s="5">
        <v>1</v>
      </c>
      <c r="D2812" s="5" t="s">
        <v>10</v>
      </c>
      <c r="E2812" t="s">
        <v>4381</v>
      </c>
      <c r="F2812" t="s">
        <v>4382</v>
      </c>
      <c r="G2812">
        <v>3</v>
      </c>
      <c r="H2812" t="s">
        <v>374</v>
      </c>
      <c r="I2812" s="2">
        <v>2500</v>
      </c>
    </row>
    <row r="2813" spans="1:9" x14ac:dyDescent="0.3">
      <c r="A2813" s="5">
        <v>8357</v>
      </c>
      <c r="B2813" s="5" t="s">
        <v>4380</v>
      </c>
      <c r="C2813" s="5">
        <v>1</v>
      </c>
      <c r="D2813" s="5" t="s">
        <v>10</v>
      </c>
      <c r="E2813" t="s">
        <v>4381</v>
      </c>
      <c r="F2813" t="s">
        <v>4382</v>
      </c>
      <c r="G2813">
        <v>3</v>
      </c>
      <c r="H2813" t="s">
        <v>95</v>
      </c>
      <c r="I2813" s="2">
        <v>6000</v>
      </c>
    </row>
    <row r="2814" spans="1:9" x14ac:dyDescent="0.3">
      <c r="A2814" s="5">
        <v>8357</v>
      </c>
      <c r="B2814" s="5" t="s">
        <v>4380</v>
      </c>
      <c r="C2814" s="5">
        <v>1</v>
      </c>
      <c r="D2814" s="5" t="s">
        <v>10</v>
      </c>
      <c r="E2814" t="s">
        <v>4381</v>
      </c>
      <c r="F2814" t="s">
        <v>4382</v>
      </c>
      <c r="G2814">
        <v>3</v>
      </c>
      <c r="H2814" t="s">
        <v>139</v>
      </c>
      <c r="I2814" s="2">
        <v>6000</v>
      </c>
    </row>
    <row r="2815" spans="1:9" x14ac:dyDescent="0.3">
      <c r="A2815" s="5">
        <v>8357</v>
      </c>
      <c r="B2815" s="5" t="s">
        <v>4380</v>
      </c>
      <c r="C2815" s="5">
        <v>1</v>
      </c>
      <c r="D2815" s="5" t="s">
        <v>10</v>
      </c>
      <c r="E2815" t="s">
        <v>4381</v>
      </c>
      <c r="F2815" t="s">
        <v>4382</v>
      </c>
      <c r="G2815">
        <v>3</v>
      </c>
      <c r="H2815" t="s">
        <v>126</v>
      </c>
      <c r="I2815" s="2">
        <v>6000</v>
      </c>
    </row>
    <row r="2816" spans="1:9" x14ac:dyDescent="0.3">
      <c r="A2816" s="5">
        <v>8356</v>
      </c>
      <c r="B2816" s="5" t="s">
        <v>4383</v>
      </c>
      <c r="C2816" s="5">
        <v>1</v>
      </c>
      <c r="D2816" s="5" t="s">
        <v>10</v>
      </c>
      <c r="E2816" t="s">
        <v>4384</v>
      </c>
      <c r="F2816" t="s">
        <v>4385</v>
      </c>
      <c r="G2816">
        <v>3</v>
      </c>
      <c r="H2816" t="s">
        <v>139</v>
      </c>
      <c r="I2816" s="2">
        <v>6000</v>
      </c>
    </row>
    <row r="2817" spans="1:9" x14ac:dyDescent="0.3">
      <c r="A2817" s="5">
        <v>8356</v>
      </c>
      <c r="B2817" s="5" t="s">
        <v>4383</v>
      </c>
      <c r="C2817" s="5">
        <v>1</v>
      </c>
      <c r="D2817" s="5" t="s">
        <v>10</v>
      </c>
      <c r="E2817" t="s">
        <v>4384</v>
      </c>
      <c r="F2817" t="s">
        <v>4385</v>
      </c>
      <c r="G2817">
        <v>3</v>
      </c>
      <c r="H2817" t="s">
        <v>126</v>
      </c>
      <c r="I2817" s="2">
        <v>6000</v>
      </c>
    </row>
    <row r="2818" spans="1:9" x14ac:dyDescent="0.3">
      <c r="A2818" s="5">
        <v>8356</v>
      </c>
      <c r="B2818" s="5" t="s">
        <v>4383</v>
      </c>
      <c r="C2818" s="5">
        <v>1</v>
      </c>
      <c r="D2818" s="5" t="s">
        <v>10</v>
      </c>
      <c r="E2818" t="s">
        <v>4384</v>
      </c>
      <c r="F2818" t="s">
        <v>4385</v>
      </c>
      <c r="G2818">
        <v>3</v>
      </c>
      <c r="H2818" t="s">
        <v>374</v>
      </c>
      <c r="I2818" s="2">
        <v>2500</v>
      </c>
    </row>
    <row r="2819" spans="1:9" x14ac:dyDescent="0.3">
      <c r="A2819" s="5">
        <v>8356</v>
      </c>
      <c r="B2819" s="5" t="s">
        <v>4383</v>
      </c>
      <c r="C2819" s="5">
        <v>1</v>
      </c>
      <c r="D2819" s="5" t="s">
        <v>10</v>
      </c>
      <c r="E2819" t="s">
        <v>4384</v>
      </c>
      <c r="F2819" t="s">
        <v>4385</v>
      </c>
      <c r="G2819">
        <v>3</v>
      </c>
      <c r="H2819" t="s">
        <v>581</v>
      </c>
      <c r="I2819" s="2">
        <v>2500</v>
      </c>
    </row>
    <row r="2820" spans="1:9" x14ac:dyDescent="0.3">
      <c r="A2820" s="5">
        <v>8352</v>
      </c>
      <c r="B2820" s="5" t="s">
        <v>4386</v>
      </c>
      <c r="C2820" s="5">
        <v>2</v>
      </c>
      <c r="D2820" s="5" t="s">
        <v>261</v>
      </c>
      <c r="E2820" t="s">
        <v>4387</v>
      </c>
      <c r="F2820" t="s">
        <v>4388</v>
      </c>
      <c r="G2820">
        <v>3</v>
      </c>
      <c r="H2820" t="s">
        <v>642</v>
      </c>
      <c r="I2820" s="2">
        <v>5000</v>
      </c>
    </row>
    <row r="2821" spans="1:9" x14ac:dyDescent="0.3">
      <c r="A2821" s="5">
        <v>8352</v>
      </c>
      <c r="B2821" s="5" t="s">
        <v>4386</v>
      </c>
      <c r="C2821" s="5">
        <v>2</v>
      </c>
      <c r="D2821" s="5" t="s">
        <v>261</v>
      </c>
      <c r="E2821" t="s">
        <v>4387</v>
      </c>
      <c r="F2821" t="s">
        <v>4388</v>
      </c>
      <c r="G2821">
        <v>3</v>
      </c>
      <c r="H2821" t="s">
        <v>280</v>
      </c>
      <c r="I2821" s="2">
        <v>6000</v>
      </c>
    </row>
    <row r="2822" spans="1:9" x14ac:dyDescent="0.3">
      <c r="A2822" s="5">
        <v>8352</v>
      </c>
      <c r="B2822" s="5" t="s">
        <v>4386</v>
      </c>
      <c r="C2822" s="5">
        <v>2</v>
      </c>
      <c r="D2822" s="5" t="s">
        <v>261</v>
      </c>
      <c r="E2822" t="s">
        <v>4387</v>
      </c>
      <c r="F2822" t="s">
        <v>4388</v>
      </c>
      <c r="G2822">
        <v>3</v>
      </c>
      <c r="H2822" t="s">
        <v>372</v>
      </c>
      <c r="I2822" s="2">
        <v>5000</v>
      </c>
    </row>
    <row r="2823" spans="1:9" x14ac:dyDescent="0.3">
      <c r="A2823" s="5">
        <v>8352</v>
      </c>
      <c r="B2823" s="5" t="s">
        <v>4386</v>
      </c>
      <c r="C2823" s="5">
        <v>2</v>
      </c>
      <c r="D2823" s="5" t="s">
        <v>261</v>
      </c>
      <c r="E2823" t="s">
        <v>4387</v>
      </c>
      <c r="F2823" t="s">
        <v>4388</v>
      </c>
      <c r="G2823">
        <v>3</v>
      </c>
      <c r="H2823" t="s">
        <v>265</v>
      </c>
      <c r="I2823" s="2">
        <v>6000</v>
      </c>
    </row>
    <row r="2824" spans="1:9" x14ac:dyDescent="0.3">
      <c r="A2824" s="5">
        <v>8350</v>
      </c>
      <c r="B2824" s="5" t="s">
        <v>4389</v>
      </c>
      <c r="C2824" s="5">
        <v>1</v>
      </c>
      <c r="D2824" s="5" t="s">
        <v>10</v>
      </c>
      <c r="E2824" t="s">
        <v>4390</v>
      </c>
      <c r="F2824" t="s">
        <v>4391</v>
      </c>
      <c r="G2824">
        <v>3</v>
      </c>
      <c r="H2824" t="s">
        <v>581</v>
      </c>
      <c r="I2824" s="2">
        <v>3000</v>
      </c>
    </row>
    <row r="2825" spans="1:9" x14ac:dyDescent="0.3">
      <c r="A2825" s="5">
        <v>8350</v>
      </c>
      <c r="B2825" s="5" t="s">
        <v>4389</v>
      </c>
      <c r="C2825" s="5">
        <v>1</v>
      </c>
      <c r="D2825" s="5" t="s">
        <v>10</v>
      </c>
      <c r="E2825" t="s">
        <v>4390</v>
      </c>
      <c r="F2825" t="s">
        <v>4391</v>
      </c>
      <c r="G2825">
        <v>3</v>
      </c>
      <c r="H2825" t="s">
        <v>19</v>
      </c>
      <c r="I2825" s="2">
        <v>5000</v>
      </c>
    </row>
    <row r="2826" spans="1:9" x14ac:dyDescent="0.3">
      <c r="A2826" s="5">
        <v>8350</v>
      </c>
      <c r="B2826" s="5" t="s">
        <v>4389</v>
      </c>
      <c r="C2826" s="5">
        <v>1</v>
      </c>
      <c r="D2826" s="5" t="s">
        <v>10</v>
      </c>
      <c r="E2826" t="s">
        <v>4390</v>
      </c>
      <c r="F2826" t="s">
        <v>4391</v>
      </c>
      <c r="G2826">
        <v>3</v>
      </c>
      <c r="H2826" t="s">
        <v>229</v>
      </c>
      <c r="I2826" s="2">
        <v>5000</v>
      </c>
    </row>
    <row r="2827" spans="1:9" x14ac:dyDescent="0.3">
      <c r="A2827" s="5">
        <v>8350</v>
      </c>
      <c r="B2827" s="5" t="s">
        <v>4389</v>
      </c>
      <c r="C2827" s="5">
        <v>1</v>
      </c>
      <c r="D2827" s="5" t="s">
        <v>10</v>
      </c>
      <c r="E2827" t="s">
        <v>4390</v>
      </c>
      <c r="F2827" t="s">
        <v>4391</v>
      </c>
      <c r="G2827">
        <v>3</v>
      </c>
      <c r="H2827" t="s">
        <v>374</v>
      </c>
      <c r="I2827" s="2">
        <v>2500</v>
      </c>
    </row>
    <row r="2828" spans="1:9" x14ac:dyDescent="0.3">
      <c r="A2828" s="5">
        <v>8349</v>
      </c>
      <c r="B2828" s="5" t="s">
        <v>4392</v>
      </c>
      <c r="C2828" s="5">
        <v>5</v>
      </c>
      <c r="D2828" s="5" t="s">
        <v>63</v>
      </c>
      <c r="E2828" t="s">
        <v>4393</v>
      </c>
      <c r="F2828" t="s">
        <v>4394</v>
      </c>
      <c r="G2828">
        <v>8</v>
      </c>
      <c r="H2828" t="s">
        <v>1720</v>
      </c>
      <c r="I2828" s="2">
        <v>7000</v>
      </c>
    </row>
    <row r="2829" spans="1:9" x14ac:dyDescent="0.3">
      <c r="A2829" s="5">
        <v>8349</v>
      </c>
      <c r="B2829" s="5" t="s">
        <v>4392</v>
      </c>
      <c r="C2829" s="5">
        <v>5</v>
      </c>
      <c r="D2829" s="5" t="s">
        <v>63</v>
      </c>
      <c r="E2829" t="s">
        <v>4393</v>
      </c>
      <c r="F2829" t="s">
        <v>4394</v>
      </c>
      <c r="G2829">
        <v>8</v>
      </c>
      <c r="H2829" t="s">
        <v>117</v>
      </c>
      <c r="I2829" s="2">
        <v>6000</v>
      </c>
    </row>
    <row r="2830" spans="1:9" x14ac:dyDescent="0.3">
      <c r="A2830" s="5">
        <v>8349</v>
      </c>
      <c r="B2830" s="5" t="s">
        <v>4392</v>
      </c>
      <c r="C2830" s="5">
        <v>5</v>
      </c>
      <c r="D2830" s="5" t="s">
        <v>63</v>
      </c>
      <c r="E2830" t="s">
        <v>4393</v>
      </c>
      <c r="F2830" t="s">
        <v>4394</v>
      </c>
      <c r="G2830">
        <v>8</v>
      </c>
      <c r="H2830" t="s">
        <v>66</v>
      </c>
      <c r="I2830" s="2">
        <v>10000</v>
      </c>
    </row>
    <row r="2831" spans="1:9" x14ac:dyDescent="0.3">
      <c r="A2831" s="5">
        <v>8345</v>
      </c>
      <c r="B2831" s="5" t="s">
        <v>4395</v>
      </c>
      <c r="C2831" s="5">
        <v>5</v>
      </c>
      <c r="D2831" s="5" t="s">
        <v>63</v>
      </c>
      <c r="E2831" t="s">
        <v>4396</v>
      </c>
      <c r="F2831" t="s">
        <v>816</v>
      </c>
      <c r="G2831">
        <v>3</v>
      </c>
      <c r="H2831" t="s">
        <v>67</v>
      </c>
      <c r="I2831" s="2">
        <v>4000</v>
      </c>
    </row>
    <row r="2832" spans="1:9" x14ac:dyDescent="0.3">
      <c r="A2832" s="5">
        <v>8345</v>
      </c>
      <c r="B2832" s="5" t="s">
        <v>4395</v>
      </c>
      <c r="C2832" s="5">
        <v>5</v>
      </c>
      <c r="D2832" s="5" t="s">
        <v>63</v>
      </c>
      <c r="E2832" t="s">
        <v>4396</v>
      </c>
      <c r="F2832" t="s">
        <v>816</v>
      </c>
      <c r="G2832">
        <v>3</v>
      </c>
      <c r="H2832" t="s">
        <v>88</v>
      </c>
      <c r="I2832" s="2">
        <v>15000</v>
      </c>
    </row>
    <row r="2833" spans="1:9" x14ac:dyDescent="0.3">
      <c r="A2833" s="5">
        <v>8345</v>
      </c>
      <c r="B2833" s="5" t="s">
        <v>4395</v>
      </c>
      <c r="C2833" s="5">
        <v>5</v>
      </c>
      <c r="D2833" s="5" t="s">
        <v>63</v>
      </c>
      <c r="E2833" t="s">
        <v>4396</v>
      </c>
      <c r="F2833" t="s">
        <v>816</v>
      </c>
      <c r="G2833">
        <v>3</v>
      </c>
      <c r="H2833" t="s">
        <v>66</v>
      </c>
      <c r="I2833" s="2">
        <v>10000</v>
      </c>
    </row>
    <row r="2834" spans="1:9" x14ac:dyDescent="0.3">
      <c r="A2834" s="5">
        <v>8341</v>
      </c>
      <c r="B2834" s="5" t="s">
        <v>4397</v>
      </c>
      <c r="C2834" s="5">
        <v>1</v>
      </c>
      <c r="D2834" s="5" t="s">
        <v>10</v>
      </c>
      <c r="E2834" t="s">
        <v>4398</v>
      </c>
      <c r="F2834" t="s">
        <v>4399</v>
      </c>
      <c r="G2834">
        <v>3</v>
      </c>
      <c r="H2834" t="s">
        <v>21</v>
      </c>
      <c r="I2834" s="2">
        <v>6000</v>
      </c>
    </row>
    <row r="2835" spans="1:9" x14ac:dyDescent="0.3">
      <c r="A2835" s="5">
        <v>8341</v>
      </c>
      <c r="B2835" s="5" t="s">
        <v>4397</v>
      </c>
      <c r="C2835" s="5">
        <v>1</v>
      </c>
      <c r="D2835" s="5" t="s">
        <v>10</v>
      </c>
      <c r="E2835" t="s">
        <v>4398</v>
      </c>
      <c r="F2835" t="s">
        <v>4399</v>
      </c>
      <c r="G2835">
        <v>3</v>
      </c>
      <c r="H2835" t="s">
        <v>139</v>
      </c>
      <c r="I2835" s="2">
        <v>7000</v>
      </c>
    </row>
    <row r="2836" spans="1:9" x14ac:dyDescent="0.3">
      <c r="A2836" s="5">
        <v>8341</v>
      </c>
      <c r="B2836" s="5" t="s">
        <v>4397</v>
      </c>
      <c r="C2836" s="5">
        <v>1</v>
      </c>
      <c r="D2836" s="5" t="s">
        <v>10</v>
      </c>
      <c r="E2836" t="s">
        <v>4398</v>
      </c>
      <c r="F2836" t="s">
        <v>4399</v>
      </c>
      <c r="G2836">
        <v>3</v>
      </c>
      <c r="H2836" t="s">
        <v>126</v>
      </c>
      <c r="I2836" s="2">
        <v>7000</v>
      </c>
    </row>
    <row r="2837" spans="1:9" x14ac:dyDescent="0.3">
      <c r="A2837" s="5">
        <v>8341</v>
      </c>
      <c r="B2837" s="5" t="s">
        <v>4397</v>
      </c>
      <c r="C2837" s="5">
        <v>1</v>
      </c>
      <c r="D2837" s="5" t="s">
        <v>10</v>
      </c>
      <c r="E2837" t="s">
        <v>4398</v>
      </c>
      <c r="F2837" t="s">
        <v>4399</v>
      </c>
      <c r="G2837">
        <v>3</v>
      </c>
      <c r="H2837" t="s">
        <v>374</v>
      </c>
      <c r="I2837" s="2">
        <v>3000</v>
      </c>
    </row>
    <row r="2838" spans="1:9" x14ac:dyDescent="0.3">
      <c r="A2838" s="5">
        <v>8340</v>
      </c>
      <c r="B2838" s="5" t="s">
        <v>4400</v>
      </c>
      <c r="C2838" s="5">
        <v>2</v>
      </c>
      <c r="D2838" s="5" t="s">
        <v>261</v>
      </c>
      <c r="E2838" t="s">
        <v>4401</v>
      </c>
      <c r="F2838" t="s">
        <v>4402</v>
      </c>
      <c r="G2838">
        <v>3</v>
      </c>
      <c r="H2838" t="s">
        <v>642</v>
      </c>
      <c r="I2838" s="2">
        <v>5500</v>
      </c>
    </row>
    <row r="2839" spans="1:9" x14ac:dyDescent="0.3">
      <c r="A2839" s="5">
        <v>8340</v>
      </c>
      <c r="B2839" s="5" t="s">
        <v>4400</v>
      </c>
      <c r="C2839" s="5">
        <v>2</v>
      </c>
      <c r="D2839" s="5" t="s">
        <v>261</v>
      </c>
      <c r="E2839" t="s">
        <v>4401</v>
      </c>
      <c r="F2839" t="s">
        <v>4402</v>
      </c>
      <c r="G2839">
        <v>3</v>
      </c>
      <c r="H2839" t="s">
        <v>265</v>
      </c>
      <c r="I2839" s="2">
        <v>6500</v>
      </c>
    </row>
    <row r="2840" spans="1:9" x14ac:dyDescent="0.3">
      <c r="A2840" s="5">
        <v>8340</v>
      </c>
      <c r="B2840" s="5" t="s">
        <v>4400</v>
      </c>
      <c r="C2840" s="5">
        <v>2</v>
      </c>
      <c r="D2840" s="5" t="s">
        <v>261</v>
      </c>
      <c r="E2840" t="s">
        <v>4401</v>
      </c>
      <c r="F2840" t="s">
        <v>4402</v>
      </c>
      <c r="G2840">
        <v>3</v>
      </c>
      <c r="H2840" t="s">
        <v>383</v>
      </c>
      <c r="I2840" s="2">
        <v>6500</v>
      </c>
    </row>
    <row r="2841" spans="1:9" x14ac:dyDescent="0.3">
      <c r="A2841" s="5">
        <v>8340</v>
      </c>
      <c r="B2841" s="5" t="s">
        <v>4400</v>
      </c>
      <c r="C2841" s="5">
        <v>2</v>
      </c>
      <c r="D2841" s="5" t="s">
        <v>261</v>
      </c>
      <c r="E2841" t="s">
        <v>4401</v>
      </c>
      <c r="F2841" t="s">
        <v>4402</v>
      </c>
      <c r="G2841">
        <v>3</v>
      </c>
      <c r="H2841" t="s">
        <v>641</v>
      </c>
      <c r="I2841" s="2">
        <v>18000</v>
      </c>
    </row>
    <row r="2842" spans="1:9" x14ac:dyDescent="0.3">
      <c r="A2842" s="5">
        <v>8335</v>
      </c>
      <c r="B2842" s="5" t="s">
        <v>4403</v>
      </c>
      <c r="C2842" s="5">
        <v>5</v>
      </c>
      <c r="D2842" s="5" t="s">
        <v>63</v>
      </c>
      <c r="E2842" t="s">
        <v>4404</v>
      </c>
      <c r="F2842" t="s">
        <v>4405</v>
      </c>
      <c r="G2842">
        <v>3</v>
      </c>
      <c r="H2842" t="s">
        <v>117</v>
      </c>
      <c r="I2842" s="2">
        <v>6000</v>
      </c>
    </row>
    <row r="2843" spans="1:9" x14ac:dyDescent="0.3">
      <c r="A2843" s="5">
        <v>8326</v>
      </c>
      <c r="B2843" s="5" t="s">
        <v>4406</v>
      </c>
      <c r="C2843" s="5">
        <v>7</v>
      </c>
      <c r="D2843" s="5" t="s">
        <v>360</v>
      </c>
      <c r="E2843" t="s">
        <v>4407</v>
      </c>
      <c r="F2843" t="s">
        <v>4408</v>
      </c>
      <c r="G2843">
        <v>3</v>
      </c>
      <c r="H2843" t="s">
        <v>4409</v>
      </c>
      <c r="I2843" s="2">
        <v>7000</v>
      </c>
    </row>
    <row r="2844" spans="1:9" x14ac:dyDescent="0.3">
      <c r="A2844" s="5">
        <v>8324</v>
      </c>
      <c r="B2844" s="5" t="s">
        <v>4410</v>
      </c>
      <c r="C2844" s="5">
        <v>1</v>
      </c>
      <c r="D2844" s="5" t="s">
        <v>10</v>
      </c>
      <c r="E2844" t="s">
        <v>4411</v>
      </c>
      <c r="F2844" t="s">
        <v>4412</v>
      </c>
      <c r="G2844">
        <v>3</v>
      </c>
      <c r="H2844" t="s">
        <v>139</v>
      </c>
      <c r="I2844" s="2">
        <v>5000</v>
      </c>
    </row>
    <row r="2845" spans="1:9" x14ac:dyDescent="0.3">
      <c r="A2845" s="5">
        <v>8324</v>
      </c>
      <c r="B2845" s="5" t="s">
        <v>4410</v>
      </c>
      <c r="C2845" s="5">
        <v>1</v>
      </c>
      <c r="D2845" s="5" t="s">
        <v>10</v>
      </c>
      <c r="E2845" t="s">
        <v>4411</v>
      </c>
      <c r="F2845" t="s">
        <v>4412</v>
      </c>
      <c r="G2845">
        <v>3</v>
      </c>
      <c r="H2845" t="s">
        <v>126</v>
      </c>
      <c r="I2845" s="2">
        <v>5000</v>
      </c>
    </row>
    <row r="2846" spans="1:9" x14ac:dyDescent="0.3">
      <c r="A2846" s="5">
        <v>8323</v>
      </c>
      <c r="B2846" s="5" t="s">
        <v>4413</v>
      </c>
      <c r="C2846" s="5">
        <v>1</v>
      </c>
      <c r="D2846" s="5" t="s">
        <v>10</v>
      </c>
      <c r="E2846" t="s">
        <v>4414</v>
      </c>
      <c r="F2846" t="s">
        <v>4415</v>
      </c>
      <c r="G2846">
        <v>3</v>
      </c>
      <c r="H2846" t="s">
        <v>1042</v>
      </c>
      <c r="I2846" s="2">
        <v>5000</v>
      </c>
    </row>
    <row r="2847" spans="1:9" x14ac:dyDescent="0.3">
      <c r="A2847" s="5">
        <v>8323</v>
      </c>
      <c r="B2847" s="5" t="s">
        <v>4413</v>
      </c>
      <c r="C2847" s="5">
        <v>1</v>
      </c>
      <c r="D2847" s="5" t="s">
        <v>10</v>
      </c>
      <c r="E2847" t="s">
        <v>4414</v>
      </c>
      <c r="F2847" t="s">
        <v>4415</v>
      </c>
      <c r="G2847">
        <v>3</v>
      </c>
      <c r="H2847" t="s">
        <v>4416</v>
      </c>
      <c r="I2847" s="2">
        <v>10480</v>
      </c>
    </row>
    <row r="2848" spans="1:9" x14ac:dyDescent="0.3">
      <c r="A2848" s="5">
        <v>8323</v>
      </c>
      <c r="B2848" s="5" t="s">
        <v>4413</v>
      </c>
      <c r="C2848" s="5">
        <v>1</v>
      </c>
      <c r="D2848" s="5" t="s">
        <v>10</v>
      </c>
      <c r="E2848" t="s">
        <v>4414</v>
      </c>
      <c r="F2848" t="s">
        <v>4415</v>
      </c>
      <c r="G2848">
        <v>3</v>
      </c>
      <c r="H2848" t="s">
        <v>4417</v>
      </c>
      <c r="I2848" s="2">
        <v>11600</v>
      </c>
    </row>
    <row r="2849" spans="1:9" x14ac:dyDescent="0.3">
      <c r="A2849" s="5">
        <v>8319</v>
      </c>
      <c r="B2849" s="5" t="s">
        <v>4418</v>
      </c>
      <c r="C2849" s="5">
        <v>5</v>
      </c>
      <c r="D2849" s="5" t="s">
        <v>63</v>
      </c>
      <c r="E2849" t="s">
        <v>4419</v>
      </c>
      <c r="F2849" t="s">
        <v>816</v>
      </c>
      <c r="G2849">
        <v>3</v>
      </c>
      <c r="H2849" t="s">
        <v>117</v>
      </c>
      <c r="I2849" s="2">
        <v>6000</v>
      </c>
    </row>
    <row r="2850" spans="1:9" x14ac:dyDescent="0.3">
      <c r="A2850" s="5">
        <v>8317</v>
      </c>
      <c r="B2850" s="5" t="s">
        <v>4420</v>
      </c>
      <c r="C2850" s="5">
        <v>7</v>
      </c>
      <c r="D2850" s="5" t="s">
        <v>360</v>
      </c>
      <c r="E2850" t="s">
        <v>4421</v>
      </c>
      <c r="F2850" t="s">
        <v>4422</v>
      </c>
      <c r="G2850">
        <v>3</v>
      </c>
      <c r="H2850" t="s">
        <v>4423</v>
      </c>
      <c r="I2850" s="2">
        <v>2000</v>
      </c>
    </row>
    <row r="2851" spans="1:9" x14ac:dyDescent="0.3">
      <c r="A2851" s="5">
        <v>8317</v>
      </c>
      <c r="B2851" s="5" t="s">
        <v>4420</v>
      </c>
      <c r="C2851" s="5">
        <v>7</v>
      </c>
      <c r="D2851" s="5" t="s">
        <v>360</v>
      </c>
      <c r="E2851" t="s">
        <v>4421</v>
      </c>
      <c r="F2851" t="s">
        <v>4422</v>
      </c>
      <c r="G2851">
        <v>3</v>
      </c>
      <c r="H2851" t="s">
        <v>4424</v>
      </c>
      <c r="I2851" s="2">
        <v>4000</v>
      </c>
    </row>
    <row r="2852" spans="1:9" x14ac:dyDescent="0.3">
      <c r="A2852" s="5">
        <v>8317</v>
      </c>
      <c r="B2852" s="5" t="s">
        <v>4420</v>
      </c>
      <c r="C2852" s="5">
        <v>7</v>
      </c>
      <c r="D2852" s="5" t="s">
        <v>360</v>
      </c>
      <c r="E2852" t="s">
        <v>4421</v>
      </c>
      <c r="F2852" t="s">
        <v>4422</v>
      </c>
      <c r="G2852">
        <v>3</v>
      </c>
      <c r="H2852" t="s">
        <v>4425</v>
      </c>
      <c r="I2852" s="2">
        <v>3000</v>
      </c>
    </row>
    <row r="2853" spans="1:9" x14ac:dyDescent="0.3">
      <c r="A2853" s="5">
        <v>8317</v>
      </c>
      <c r="B2853" s="5" t="s">
        <v>4420</v>
      </c>
      <c r="C2853" s="5">
        <v>7</v>
      </c>
      <c r="D2853" s="5" t="s">
        <v>360</v>
      </c>
      <c r="E2853" t="s">
        <v>4421</v>
      </c>
      <c r="F2853" t="s">
        <v>4422</v>
      </c>
      <c r="G2853">
        <v>3</v>
      </c>
      <c r="H2853" t="s">
        <v>4426</v>
      </c>
      <c r="I2853" s="2">
        <v>2000</v>
      </c>
    </row>
    <row r="2854" spans="1:9" x14ac:dyDescent="0.3">
      <c r="A2854" s="5">
        <v>8315</v>
      </c>
      <c r="B2854" s="5" t="s">
        <v>4427</v>
      </c>
      <c r="C2854" s="5">
        <v>2</v>
      </c>
      <c r="D2854" s="5" t="s">
        <v>261</v>
      </c>
      <c r="E2854" t="s">
        <v>4428</v>
      </c>
      <c r="F2854" t="s">
        <v>4429</v>
      </c>
      <c r="G2854">
        <v>3</v>
      </c>
      <c r="H2854" t="s">
        <v>4430</v>
      </c>
      <c r="I2854" s="2">
        <v>5000</v>
      </c>
    </row>
    <row r="2855" spans="1:9" x14ac:dyDescent="0.3">
      <c r="A2855" s="5">
        <v>8315</v>
      </c>
      <c r="B2855" s="5" t="s">
        <v>4427</v>
      </c>
      <c r="C2855" s="5">
        <v>2</v>
      </c>
      <c r="D2855" s="5" t="s">
        <v>261</v>
      </c>
      <c r="E2855" t="s">
        <v>4428</v>
      </c>
      <c r="F2855" t="s">
        <v>4429</v>
      </c>
      <c r="G2855">
        <v>3</v>
      </c>
      <c r="H2855" t="s">
        <v>265</v>
      </c>
      <c r="I2855" s="2">
        <v>6000</v>
      </c>
    </row>
    <row r="2856" spans="1:9" x14ac:dyDescent="0.3">
      <c r="A2856" s="5">
        <v>8314</v>
      </c>
      <c r="B2856" s="5" t="s">
        <v>4431</v>
      </c>
      <c r="C2856" s="5">
        <v>1</v>
      </c>
      <c r="D2856" s="5" t="s">
        <v>10</v>
      </c>
      <c r="E2856" t="s">
        <v>4432</v>
      </c>
      <c r="F2856" t="s">
        <v>4433</v>
      </c>
      <c r="G2856">
        <v>3</v>
      </c>
      <c r="H2856" t="s">
        <v>879</v>
      </c>
      <c r="I2856" s="2">
        <v>6500</v>
      </c>
    </row>
    <row r="2857" spans="1:9" x14ac:dyDescent="0.3">
      <c r="A2857" s="5">
        <v>8314</v>
      </c>
      <c r="B2857" s="5" t="s">
        <v>4431</v>
      </c>
      <c r="C2857" s="5">
        <v>1</v>
      </c>
      <c r="D2857" s="5" t="s">
        <v>10</v>
      </c>
      <c r="E2857" t="s">
        <v>4432</v>
      </c>
      <c r="F2857" t="s">
        <v>4433</v>
      </c>
      <c r="G2857">
        <v>3</v>
      </c>
      <c r="H2857" t="s">
        <v>139</v>
      </c>
      <c r="I2857" s="2">
        <v>5500</v>
      </c>
    </row>
    <row r="2858" spans="1:9" x14ac:dyDescent="0.3">
      <c r="A2858" s="5">
        <v>8314</v>
      </c>
      <c r="B2858" s="5" t="s">
        <v>4431</v>
      </c>
      <c r="C2858" s="5">
        <v>1</v>
      </c>
      <c r="D2858" s="5" t="s">
        <v>10</v>
      </c>
      <c r="E2858" t="s">
        <v>4432</v>
      </c>
      <c r="F2858" t="s">
        <v>4433</v>
      </c>
      <c r="G2858">
        <v>3</v>
      </c>
      <c r="H2858" t="s">
        <v>133</v>
      </c>
      <c r="I2858" s="2">
        <v>5500</v>
      </c>
    </row>
    <row r="2859" spans="1:9" x14ac:dyDescent="0.3">
      <c r="A2859" s="5">
        <v>8314</v>
      </c>
      <c r="B2859" s="5" t="s">
        <v>4431</v>
      </c>
      <c r="C2859" s="5">
        <v>1</v>
      </c>
      <c r="D2859" s="5" t="s">
        <v>10</v>
      </c>
      <c r="E2859" t="s">
        <v>4432</v>
      </c>
      <c r="F2859" t="s">
        <v>4433</v>
      </c>
      <c r="G2859">
        <v>3</v>
      </c>
      <c r="H2859" t="s">
        <v>37</v>
      </c>
      <c r="I2859" s="2">
        <v>5500</v>
      </c>
    </row>
    <row r="2860" spans="1:9" x14ac:dyDescent="0.3">
      <c r="A2860" s="5">
        <v>8312</v>
      </c>
      <c r="B2860" s="5" t="s">
        <v>4434</v>
      </c>
      <c r="C2860" s="5">
        <v>1</v>
      </c>
      <c r="D2860" s="5" t="s">
        <v>10</v>
      </c>
      <c r="E2860" t="s">
        <v>4435</v>
      </c>
      <c r="F2860" t="s">
        <v>4436</v>
      </c>
      <c r="G2860">
        <v>3</v>
      </c>
      <c r="H2860" t="s">
        <v>374</v>
      </c>
      <c r="I2860" s="2">
        <v>3000</v>
      </c>
    </row>
    <row r="2861" spans="1:9" x14ac:dyDescent="0.3">
      <c r="A2861" s="5">
        <v>8312</v>
      </c>
      <c r="B2861" s="5" t="s">
        <v>4434</v>
      </c>
      <c r="C2861" s="5">
        <v>1</v>
      </c>
      <c r="D2861" s="5" t="s">
        <v>10</v>
      </c>
      <c r="E2861" t="s">
        <v>4435</v>
      </c>
      <c r="F2861" t="s">
        <v>4436</v>
      </c>
      <c r="G2861">
        <v>3</v>
      </c>
      <c r="H2861" t="s">
        <v>37</v>
      </c>
      <c r="I2861" s="2">
        <v>6500</v>
      </c>
    </row>
    <row r="2862" spans="1:9" x14ac:dyDescent="0.3">
      <c r="A2862" s="5">
        <v>8312</v>
      </c>
      <c r="B2862" s="5" t="s">
        <v>4434</v>
      </c>
      <c r="C2862" s="5">
        <v>1</v>
      </c>
      <c r="D2862" s="5" t="s">
        <v>10</v>
      </c>
      <c r="E2862" t="s">
        <v>4435</v>
      </c>
      <c r="F2862" t="s">
        <v>4436</v>
      </c>
      <c r="G2862">
        <v>3</v>
      </c>
      <c r="H2862" t="s">
        <v>126</v>
      </c>
      <c r="I2862" s="2">
        <v>6500</v>
      </c>
    </row>
    <row r="2863" spans="1:9" x14ac:dyDescent="0.3">
      <c r="A2863" s="5">
        <v>8312</v>
      </c>
      <c r="B2863" s="5" t="s">
        <v>4434</v>
      </c>
      <c r="C2863" s="5">
        <v>1</v>
      </c>
      <c r="D2863" s="5" t="s">
        <v>10</v>
      </c>
      <c r="E2863" t="s">
        <v>4435</v>
      </c>
      <c r="F2863" t="s">
        <v>4436</v>
      </c>
      <c r="G2863">
        <v>3</v>
      </c>
      <c r="H2863" t="s">
        <v>139</v>
      </c>
      <c r="I2863" s="2">
        <v>6500</v>
      </c>
    </row>
    <row r="2864" spans="1:9" x14ac:dyDescent="0.3">
      <c r="A2864" s="5">
        <v>8309</v>
      </c>
      <c r="B2864" s="5" t="s">
        <v>4437</v>
      </c>
      <c r="C2864" s="5">
        <v>1</v>
      </c>
      <c r="D2864" s="5" t="s">
        <v>10</v>
      </c>
      <c r="E2864" t="s">
        <v>4438</v>
      </c>
      <c r="F2864" t="s">
        <v>4439</v>
      </c>
      <c r="G2864">
        <v>4</v>
      </c>
      <c r="H2864" t="s">
        <v>126</v>
      </c>
      <c r="I2864" s="2">
        <v>8000</v>
      </c>
    </row>
    <row r="2865" spans="1:9" x14ac:dyDescent="0.3">
      <c r="A2865" s="5">
        <v>8309</v>
      </c>
      <c r="B2865" s="5" t="s">
        <v>4437</v>
      </c>
      <c r="C2865" s="5">
        <v>1</v>
      </c>
      <c r="D2865" s="5" t="s">
        <v>10</v>
      </c>
      <c r="E2865" t="s">
        <v>4438</v>
      </c>
      <c r="F2865" t="s">
        <v>4439</v>
      </c>
      <c r="G2865">
        <v>4</v>
      </c>
      <c r="H2865" t="s">
        <v>149</v>
      </c>
      <c r="I2865" s="2">
        <v>8000</v>
      </c>
    </row>
    <row r="2866" spans="1:9" x14ac:dyDescent="0.3">
      <c r="A2866" s="5">
        <v>8308</v>
      </c>
      <c r="B2866" s="5" t="s">
        <v>4440</v>
      </c>
      <c r="C2866" s="5">
        <v>5</v>
      </c>
      <c r="D2866" s="5" t="s">
        <v>63</v>
      </c>
      <c r="E2866" t="s">
        <v>4441</v>
      </c>
      <c r="F2866" t="s">
        <v>4442</v>
      </c>
      <c r="G2866">
        <v>3</v>
      </c>
      <c r="H2866" t="s">
        <v>117</v>
      </c>
      <c r="I2866" s="2">
        <v>7000</v>
      </c>
    </row>
    <row r="2867" spans="1:9" x14ac:dyDescent="0.3">
      <c r="A2867" s="5">
        <v>8308</v>
      </c>
      <c r="B2867" s="5" t="s">
        <v>4440</v>
      </c>
      <c r="C2867" s="5">
        <v>5</v>
      </c>
      <c r="D2867" s="5" t="s">
        <v>63</v>
      </c>
      <c r="E2867" t="s">
        <v>4441</v>
      </c>
      <c r="F2867" t="s">
        <v>4442</v>
      </c>
      <c r="G2867">
        <v>3</v>
      </c>
      <c r="H2867" t="s">
        <v>66</v>
      </c>
      <c r="I2867" s="2">
        <v>15000</v>
      </c>
    </row>
    <row r="2868" spans="1:9" x14ac:dyDescent="0.3">
      <c r="A2868" s="5">
        <v>8306</v>
      </c>
      <c r="B2868" s="5" t="s">
        <v>4443</v>
      </c>
      <c r="C2868" s="5">
        <v>1</v>
      </c>
      <c r="D2868" s="5" t="s">
        <v>10</v>
      </c>
      <c r="E2868" t="s">
        <v>4444</v>
      </c>
      <c r="F2868" t="s">
        <v>4445</v>
      </c>
      <c r="G2868">
        <v>3</v>
      </c>
      <c r="H2868" t="s">
        <v>37</v>
      </c>
      <c r="I2868" s="2">
        <v>5500</v>
      </c>
    </row>
    <row r="2869" spans="1:9" x14ac:dyDescent="0.3">
      <c r="A2869" s="5">
        <v>8306</v>
      </c>
      <c r="B2869" s="5" t="s">
        <v>4443</v>
      </c>
      <c r="C2869" s="5">
        <v>1</v>
      </c>
      <c r="D2869" s="5" t="s">
        <v>10</v>
      </c>
      <c r="E2869" t="s">
        <v>4444</v>
      </c>
      <c r="F2869" t="s">
        <v>4445</v>
      </c>
      <c r="G2869">
        <v>3</v>
      </c>
      <c r="H2869" t="s">
        <v>139</v>
      </c>
      <c r="I2869" s="2">
        <v>5500</v>
      </c>
    </row>
    <row r="2870" spans="1:9" x14ac:dyDescent="0.3">
      <c r="A2870" s="5">
        <v>8306</v>
      </c>
      <c r="B2870" s="5" t="s">
        <v>4443</v>
      </c>
      <c r="C2870" s="5">
        <v>1</v>
      </c>
      <c r="D2870" s="5" t="s">
        <v>10</v>
      </c>
      <c r="E2870" t="s">
        <v>4444</v>
      </c>
      <c r="F2870" t="s">
        <v>4445</v>
      </c>
      <c r="G2870">
        <v>3</v>
      </c>
      <c r="H2870" t="s">
        <v>126</v>
      </c>
      <c r="I2870" s="2">
        <v>5500</v>
      </c>
    </row>
    <row r="2871" spans="1:9" x14ac:dyDescent="0.3">
      <c r="A2871" s="5">
        <v>8305</v>
      </c>
      <c r="B2871" s="5" t="s">
        <v>4446</v>
      </c>
      <c r="C2871" s="5">
        <v>1</v>
      </c>
      <c r="D2871" s="5" t="s">
        <v>10</v>
      </c>
      <c r="E2871" t="s">
        <v>4447</v>
      </c>
      <c r="F2871" t="s">
        <v>4448</v>
      </c>
      <c r="G2871">
        <v>3</v>
      </c>
      <c r="H2871" t="s">
        <v>139</v>
      </c>
      <c r="I2871" s="2">
        <v>6000</v>
      </c>
    </row>
    <row r="2872" spans="1:9" x14ac:dyDescent="0.3">
      <c r="A2872" s="5">
        <v>8305</v>
      </c>
      <c r="B2872" s="5" t="s">
        <v>4446</v>
      </c>
      <c r="C2872" s="5">
        <v>1</v>
      </c>
      <c r="D2872" s="5" t="s">
        <v>10</v>
      </c>
      <c r="E2872" t="s">
        <v>4447</v>
      </c>
      <c r="F2872" t="s">
        <v>4448</v>
      </c>
      <c r="G2872">
        <v>3</v>
      </c>
      <c r="H2872" t="s">
        <v>4449</v>
      </c>
      <c r="I2872" s="2">
        <v>7000</v>
      </c>
    </row>
    <row r="2873" spans="1:9" x14ac:dyDescent="0.3">
      <c r="A2873" s="5">
        <v>8305</v>
      </c>
      <c r="B2873" s="5" t="s">
        <v>4446</v>
      </c>
      <c r="C2873" s="5">
        <v>1</v>
      </c>
      <c r="D2873" s="5" t="s">
        <v>10</v>
      </c>
      <c r="E2873" t="s">
        <v>4447</v>
      </c>
      <c r="F2873" t="s">
        <v>4448</v>
      </c>
      <c r="G2873">
        <v>3</v>
      </c>
      <c r="H2873" t="s">
        <v>37</v>
      </c>
      <c r="I2873" s="2">
        <v>6000</v>
      </c>
    </row>
    <row r="2874" spans="1:9" x14ac:dyDescent="0.3">
      <c r="A2874" s="5">
        <v>8305</v>
      </c>
      <c r="B2874" s="5" t="s">
        <v>4446</v>
      </c>
      <c r="C2874" s="5">
        <v>1</v>
      </c>
      <c r="D2874" s="5" t="s">
        <v>10</v>
      </c>
      <c r="E2874" t="s">
        <v>4447</v>
      </c>
      <c r="F2874" t="s">
        <v>4448</v>
      </c>
      <c r="G2874">
        <v>3</v>
      </c>
      <c r="H2874" t="s">
        <v>37</v>
      </c>
      <c r="I2874" s="2">
        <v>4000</v>
      </c>
    </row>
    <row r="2875" spans="1:9" x14ac:dyDescent="0.3">
      <c r="A2875" s="5">
        <v>8300</v>
      </c>
      <c r="B2875" s="5" t="s">
        <v>4450</v>
      </c>
      <c r="C2875" s="5">
        <v>5</v>
      </c>
      <c r="D2875" s="5" t="s">
        <v>63</v>
      </c>
      <c r="E2875" t="s">
        <v>4451</v>
      </c>
      <c r="F2875" t="s">
        <v>4452</v>
      </c>
      <c r="G2875">
        <v>3</v>
      </c>
      <c r="H2875" t="s">
        <v>88</v>
      </c>
      <c r="I2875" s="2">
        <v>20000</v>
      </c>
    </row>
    <row r="2876" spans="1:9" x14ac:dyDescent="0.3">
      <c r="A2876" s="5">
        <v>8300</v>
      </c>
      <c r="B2876" s="5" t="s">
        <v>4450</v>
      </c>
      <c r="C2876" s="5">
        <v>5</v>
      </c>
      <c r="D2876" s="5" t="s">
        <v>63</v>
      </c>
      <c r="E2876" t="s">
        <v>4451</v>
      </c>
      <c r="F2876" t="s">
        <v>4452</v>
      </c>
      <c r="G2876">
        <v>3</v>
      </c>
      <c r="H2876" t="s">
        <v>909</v>
      </c>
      <c r="I2876" s="2">
        <v>8000</v>
      </c>
    </row>
    <row r="2877" spans="1:9" x14ac:dyDescent="0.3">
      <c r="A2877" s="5">
        <v>8300</v>
      </c>
      <c r="B2877" s="5" t="s">
        <v>4450</v>
      </c>
      <c r="C2877" s="5">
        <v>5</v>
      </c>
      <c r="D2877" s="5" t="s">
        <v>63</v>
      </c>
      <c r="E2877" t="s">
        <v>4451</v>
      </c>
      <c r="F2877" t="s">
        <v>4452</v>
      </c>
      <c r="G2877">
        <v>3</v>
      </c>
      <c r="H2877" t="s">
        <v>66</v>
      </c>
      <c r="I2877" s="2">
        <v>15000</v>
      </c>
    </row>
    <row r="2878" spans="1:9" x14ac:dyDescent="0.3">
      <c r="A2878" s="5">
        <v>8300</v>
      </c>
      <c r="B2878" s="5" t="s">
        <v>4450</v>
      </c>
      <c r="C2878" s="5">
        <v>5</v>
      </c>
      <c r="D2878" s="5" t="s">
        <v>63</v>
      </c>
      <c r="E2878" t="s">
        <v>4451</v>
      </c>
      <c r="F2878" t="s">
        <v>4452</v>
      </c>
      <c r="G2878">
        <v>3</v>
      </c>
      <c r="H2878" t="s">
        <v>67</v>
      </c>
      <c r="I2878" s="2">
        <v>8000</v>
      </c>
    </row>
    <row r="2879" spans="1:9" x14ac:dyDescent="0.3">
      <c r="A2879" s="5">
        <v>8299</v>
      </c>
      <c r="B2879" s="5" t="s">
        <v>4453</v>
      </c>
      <c r="C2879" s="5">
        <v>5</v>
      </c>
      <c r="D2879" s="5" t="s">
        <v>63</v>
      </c>
      <c r="E2879" t="s">
        <v>4454</v>
      </c>
      <c r="F2879" t="s">
        <v>4455</v>
      </c>
      <c r="G2879">
        <v>3</v>
      </c>
      <c r="H2879" t="s">
        <v>88</v>
      </c>
      <c r="I2879" s="2">
        <v>20000</v>
      </c>
    </row>
    <row r="2880" spans="1:9" x14ac:dyDescent="0.3">
      <c r="A2880" s="5">
        <v>8299</v>
      </c>
      <c r="B2880" s="5" t="s">
        <v>4453</v>
      </c>
      <c r="C2880" s="5">
        <v>5</v>
      </c>
      <c r="D2880" s="5" t="s">
        <v>63</v>
      </c>
      <c r="E2880" t="s">
        <v>4454</v>
      </c>
      <c r="F2880" t="s">
        <v>4455</v>
      </c>
      <c r="G2880">
        <v>3</v>
      </c>
      <c r="H2880" t="s">
        <v>67</v>
      </c>
      <c r="I2880" s="2">
        <v>6000</v>
      </c>
    </row>
    <row r="2881" spans="1:9" x14ac:dyDescent="0.3">
      <c r="A2881" s="5">
        <v>8297</v>
      </c>
      <c r="B2881" s="5" t="s">
        <v>4456</v>
      </c>
      <c r="C2881" s="5">
        <v>5</v>
      </c>
      <c r="D2881" s="5" t="s">
        <v>63</v>
      </c>
      <c r="E2881" t="s">
        <v>4457</v>
      </c>
      <c r="F2881" t="s">
        <v>4458</v>
      </c>
      <c r="G2881">
        <v>3</v>
      </c>
      <c r="H2881" t="s">
        <v>67</v>
      </c>
      <c r="I2881" s="2">
        <v>10000</v>
      </c>
    </row>
    <row r="2882" spans="1:9" x14ac:dyDescent="0.3">
      <c r="A2882" s="5">
        <v>8297</v>
      </c>
      <c r="B2882" s="5" t="s">
        <v>4456</v>
      </c>
      <c r="C2882" s="5">
        <v>5</v>
      </c>
      <c r="D2882" s="5" t="s">
        <v>63</v>
      </c>
      <c r="E2882" t="s">
        <v>4457</v>
      </c>
      <c r="F2882" t="s">
        <v>4458</v>
      </c>
      <c r="G2882">
        <v>3</v>
      </c>
      <c r="H2882" t="s">
        <v>88</v>
      </c>
      <c r="I2882" s="2">
        <v>30000</v>
      </c>
    </row>
    <row r="2883" spans="1:9" x14ac:dyDescent="0.3">
      <c r="A2883" s="5">
        <v>8295</v>
      </c>
      <c r="B2883" s="5" t="s">
        <v>4459</v>
      </c>
      <c r="C2883" s="5">
        <v>1</v>
      </c>
      <c r="D2883" s="5" t="s">
        <v>10</v>
      </c>
      <c r="E2883" t="s">
        <v>4460</v>
      </c>
      <c r="F2883" t="s">
        <v>4461</v>
      </c>
      <c r="G2883">
        <v>3</v>
      </c>
      <c r="H2883" t="s">
        <v>21</v>
      </c>
      <c r="I2883" s="2">
        <v>6000</v>
      </c>
    </row>
    <row r="2884" spans="1:9" x14ac:dyDescent="0.3">
      <c r="A2884" s="5">
        <v>8295</v>
      </c>
      <c r="B2884" s="5" t="s">
        <v>4459</v>
      </c>
      <c r="C2884" s="5">
        <v>1</v>
      </c>
      <c r="D2884" s="5" t="s">
        <v>10</v>
      </c>
      <c r="E2884" t="s">
        <v>4460</v>
      </c>
      <c r="F2884" t="s">
        <v>4461</v>
      </c>
      <c r="G2884">
        <v>3</v>
      </c>
      <c r="H2884" t="s">
        <v>374</v>
      </c>
      <c r="I2884" s="2">
        <v>3000</v>
      </c>
    </row>
    <row r="2885" spans="1:9" x14ac:dyDescent="0.3">
      <c r="A2885" s="5">
        <v>8295</v>
      </c>
      <c r="B2885" s="5" t="s">
        <v>4459</v>
      </c>
      <c r="C2885" s="5">
        <v>1</v>
      </c>
      <c r="D2885" s="5" t="s">
        <v>10</v>
      </c>
      <c r="E2885" t="s">
        <v>4460</v>
      </c>
      <c r="F2885" t="s">
        <v>4461</v>
      </c>
      <c r="G2885">
        <v>3</v>
      </c>
      <c r="H2885" t="s">
        <v>139</v>
      </c>
      <c r="I2885" s="2">
        <v>6500</v>
      </c>
    </row>
    <row r="2886" spans="1:9" x14ac:dyDescent="0.3">
      <c r="A2886" s="5">
        <v>8295</v>
      </c>
      <c r="B2886" s="5" t="s">
        <v>4459</v>
      </c>
      <c r="C2886" s="5">
        <v>1</v>
      </c>
      <c r="D2886" s="5" t="s">
        <v>10</v>
      </c>
      <c r="E2886" t="s">
        <v>4460</v>
      </c>
      <c r="F2886" t="s">
        <v>4461</v>
      </c>
      <c r="G2886">
        <v>3</v>
      </c>
      <c r="H2886" t="s">
        <v>126</v>
      </c>
      <c r="I2886" s="2">
        <v>6500</v>
      </c>
    </row>
    <row r="2887" spans="1:9" x14ac:dyDescent="0.3">
      <c r="A2887" s="5">
        <v>8294</v>
      </c>
      <c r="B2887" s="5" t="s">
        <v>4462</v>
      </c>
      <c r="C2887" s="5">
        <v>2</v>
      </c>
      <c r="D2887" s="5" t="s">
        <v>261</v>
      </c>
      <c r="E2887" t="s">
        <v>4463</v>
      </c>
      <c r="F2887" t="s">
        <v>4464</v>
      </c>
      <c r="G2887">
        <v>3</v>
      </c>
      <c r="H2887" t="s">
        <v>265</v>
      </c>
      <c r="I2887" s="2">
        <v>4000</v>
      </c>
    </row>
    <row r="2888" spans="1:9" x14ac:dyDescent="0.3">
      <c r="A2888" s="5">
        <v>8294</v>
      </c>
      <c r="B2888" s="5" t="s">
        <v>4462</v>
      </c>
      <c r="C2888" s="5">
        <v>2</v>
      </c>
      <c r="D2888" s="5" t="s">
        <v>261</v>
      </c>
      <c r="E2888" t="s">
        <v>4463</v>
      </c>
      <c r="F2888" t="s">
        <v>4464</v>
      </c>
      <c r="G2888">
        <v>3</v>
      </c>
      <c r="H2888" t="s">
        <v>642</v>
      </c>
      <c r="I2888" s="2">
        <v>3000</v>
      </c>
    </row>
    <row r="2889" spans="1:9" x14ac:dyDescent="0.3">
      <c r="A2889" s="5">
        <v>8294</v>
      </c>
      <c r="B2889" s="5" t="s">
        <v>4462</v>
      </c>
      <c r="C2889" s="5">
        <v>2</v>
      </c>
      <c r="D2889" s="5" t="s">
        <v>261</v>
      </c>
      <c r="E2889" t="s">
        <v>4463</v>
      </c>
      <c r="F2889" t="s">
        <v>4464</v>
      </c>
      <c r="G2889">
        <v>3</v>
      </c>
      <c r="H2889" t="s">
        <v>641</v>
      </c>
      <c r="I2889" s="2">
        <v>11000</v>
      </c>
    </row>
    <row r="2890" spans="1:9" x14ac:dyDescent="0.3">
      <c r="A2890" s="5">
        <v>8289</v>
      </c>
      <c r="B2890" s="5" t="s">
        <v>4465</v>
      </c>
      <c r="C2890" s="5">
        <v>2</v>
      </c>
      <c r="D2890" s="5" t="s">
        <v>261</v>
      </c>
      <c r="E2890" t="s">
        <v>4466</v>
      </c>
      <c r="F2890" t="s">
        <v>4467</v>
      </c>
      <c r="G2890">
        <v>3</v>
      </c>
      <c r="H2890" t="s">
        <v>642</v>
      </c>
      <c r="I2890" s="2">
        <v>3000</v>
      </c>
    </row>
    <row r="2891" spans="1:9" x14ac:dyDescent="0.3">
      <c r="A2891" s="5">
        <v>8289</v>
      </c>
      <c r="B2891" s="5" t="s">
        <v>4465</v>
      </c>
      <c r="C2891" s="5">
        <v>2</v>
      </c>
      <c r="D2891" s="5" t="s">
        <v>261</v>
      </c>
      <c r="E2891" t="s">
        <v>4466</v>
      </c>
      <c r="F2891" t="s">
        <v>4467</v>
      </c>
      <c r="G2891">
        <v>3</v>
      </c>
      <c r="H2891" t="s">
        <v>265</v>
      </c>
      <c r="I2891" s="2">
        <v>4000</v>
      </c>
    </row>
    <row r="2892" spans="1:9" x14ac:dyDescent="0.3">
      <c r="A2892" s="5">
        <v>8289</v>
      </c>
      <c r="B2892" s="5" t="s">
        <v>4465</v>
      </c>
      <c r="C2892" s="5">
        <v>2</v>
      </c>
      <c r="D2892" s="5" t="s">
        <v>261</v>
      </c>
      <c r="E2892" t="s">
        <v>4466</v>
      </c>
      <c r="F2892" t="s">
        <v>4467</v>
      </c>
      <c r="G2892">
        <v>3</v>
      </c>
      <c r="H2892" t="s">
        <v>641</v>
      </c>
      <c r="I2892" s="2">
        <v>15000</v>
      </c>
    </row>
    <row r="2893" spans="1:9" x14ac:dyDescent="0.3">
      <c r="A2893" s="5">
        <v>8287</v>
      </c>
      <c r="B2893" s="5" t="s">
        <v>4468</v>
      </c>
      <c r="C2893" s="5">
        <v>5</v>
      </c>
      <c r="D2893" s="5" t="s">
        <v>63</v>
      </c>
      <c r="E2893" t="s">
        <v>4469</v>
      </c>
      <c r="F2893" t="s">
        <v>816</v>
      </c>
      <c r="G2893">
        <v>3</v>
      </c>
      <c r="H2893" t="s">
        <v>117</v>
      </c>
      <c r="I2893" s="2">
        <v>7000</v>
      </c>
    </row>
    <row r="2894" spans="1:9" x14ac:dyDescent="0.3">
      <c r="A2894" s="5">
        <v>8285</v>
      </c>
      <c r="B2894" s="5" t="s">
        <v>4470</v>
      </c>
      <c r="C2894" s="5">
        <v>5</v>
      </c>
      <c r="D2894" s="5" t="s">
        <v>63</v>
      </c>
      <c r="E2894" t="s">
        <v>4471</v>
      </c>
      <c r="F2894" t="s">
        <v>4472</v>
      </c>
      <c r="G2894">
        <v>3</v>
      </c>
      <c r="H2894" t="s">
        <v>117</v>
      </c>
      <c r="I2894" s="2">
        <v>7000</v>
      </c>
    </row>
    <row r="2895" spans="1:9" x14ac:dyDescent="0.3">
      <c r="A2895" s="5">
        <v>8283</v>
      </c>
      <c r="B2895" s="5" t="s">
        <v>4473</v>
      </c>
      <c r="C2895" s="5">
        <v>2</v>
      </c>
      <c r="D2895" s="5" t="s">
        <v>261</v>
      </c>
      <c r="E2895" t="s">
        <v>4474</v>
      </c>
      <c r="F2895" t="s">
        <v>4475</v>
      </c>
      <c r="G2895">
        <v>3</v>
      </c>
      <c r="H2895" t="s">
        <v>642</v>
      </c>
      <c r="I2895" s="2">
        <v>3500</v>
      </c>
    </row>
    <row r="2896" spans="1:9" x14ac:dyDescent="0.3">
      <c r="A2896" s="5">
        <v>8283</v>
      </c>
      <c r="B2896" s="5" t="s">
        <v>4473</v>
      </c>
      <c r="C2896" s="5">
        <v>2</v>
      </c>
      <c r="D2896" s="5" t="s">
        <v>261</v>
      </c>
      <c r="E2896" t="s">
        <v>4474</v>
      </c>
      <c r="F2896" t="s">
        <v>4475</v>
      </c>
      <c r="G2896">
        <v>3</v>
      </c>
      <c r="H2896" t="s">
        <v>641</v>
      </c>
      <c r="I2896" s="2">
        <v>12000</v>
      </c>
    </row>
    <row r="2897" spans="1:9" x14ac:dyDescent="0.3">
      <c r="A2897" s="5">
        <v>8283</v>
      </c>
      <c r="B2897" s="5" t="s">
        <v>4473</v>
      </c>
      <c r="C2897" s="5">
        <v>2</v>
      </c>
      <c r="D2897" s="5" t="s">
        <v>261</v>
      </c>
      <c r="E2897" t="s">
        <v>4474</v>
      </c>
      <c r="F2897" t="s">
        <v>4475</v>
      </c>
      <c r="G2897">
        <v>3</v>
      </c>
      <c r="H2897" t="s">
        <v>265</v>
      </c>
      <c r="I2897" s="2">
        <v>4000</v>
      </c>
    </row>
    <row r="2898" spans="1:9" x14ac:dyDescent="0.3">
      <c r="A2898" s="5">
        <v>8282</v>
      </c>
      <c r="B2898" s="5" t="s">
        <v>4476</v>
      </c>
      <c r="C2898" s="5">
        <v>1</v>
      </c>
      <c r="D2898" s="5" t="s">
        <v>10</v>
      </c>
      <c r="E2898" t="s">
        <v>4477</v>
      </c>
      <c r="F2898" t="s">
        <v>4478</v>
      </c>
      <c r="G2898">
        <v>3</v>
      </c>
      <c r="H2898" t="s">
        <v>1847</v>
      </c>
      <c r="I2898" s="2">
        <v>5000</v>
      </c>
    </row>
    <row r="2899" spans="1:9" x14ac:dyDescent="0.3">
      <c r="A2899" s="5">
        <v>8282</v>
      </c>
      <c r="B2899" s="5" t="s">
        <v>4476</v>
      </c>
      <c r="C2899" s="5">
        <v>1</v>
      </c>
      <c r="D2899" s="5" t="s">
        <v>10</v>
      </c>
      <c r="E2899" t="s">
        <v>4477</v>
      </c>
      <c r="F2899" t="s">
        <v>4478</v>
      </c>
      <c r="G2899">
        <v>3</v>
      </c>
      <c r="H2899" t="s">
        <v>126</v>
      </c>
      <c r="I2899" s="2">
        <v>6000</v>
      </c>
    </row>
    <row r="2900" spans="1:9" x14ac:dyDescent="0.3">
      <c r="A2900" s="5">
        <v>8282</v>
      </c>
      <c r="B2900" s="5" t="s">
        <v>4476</v>
      </c>
      <c r="C2900" s="5">
        <v>1</v>
      </c>
      <c r="D2900" s="5" t="s">
        <v>10</v>
      </c>
      <c r="E2900" t="s">
        <v>4477</v>
      </c>
      <c r="F2900" t="s">
        <v>4478</v>
      </c>
      <c r="G2900">
        <v>3</v>
      </c>
      <c r="H2900" t="s">
        <v>217</v>
      </c>
      <c r="I2900" s="2">
        <v>10000</v>
      </c>
    </row>
    <row r="2901" spans="1:9" x14ac:dyDescent="0.3">
      <c r="A2901" s="5">
        <v>8281</v>
      </c>
      <c r="B2901" s="5" t="s">
        <v>4479</v>
      </c>
      <c r="C2901" s="5">
        <v>4</v>
      </c>
      <c r="D2901" s="5" t="s">
        <v>39</v>
      </c>
      <c r="E2901" t="s">
        <v>4480</v>
      </c>
      <c r="F2901" t="s">
        <v>4481</v>
      </c>
      <c r="G2901">
        <v>3</v>
      </c>
      <c r="H2901" t="s">
        <v>592</v>
      </c>
      <c r="I2901" s="2">
        <v>2000</v>
      </c>
    </row>
    <row r="2902" spans="1:9" x14ac:dyDescent="0.3">
      <c r="A2902" s="5">
        <v>8281</v>
      </c>
      <c r="B2902" s="5" t="s">
        <v>4479</v>
      </c>
      <c r="C2902" s="5">
        <v>4</v>
      </c>
      <c r="D2902" s="5" t="s">
        <v>39</v>
      </c>
      <c r="E2902" t="s">
        <v>4480</v>
      </c>
      <c r="F2902" t="s">
        <v>4481</v>
      </c>
      <c r="G2902">
        <v>3</v>
      </c>
      <c r="H2902" t="s">
        <v>581</v>
      </c>
      <c r="I2902" s="2">
        <v>3500</v>
      </c>
    </row>
    <row r="2903" spans="1:9" x14ac:dyDescent="0.3">
      <c r="A2903" s="5">
        <v>8281</v>
      </c>
      <c r="B2903" s="5" t="s">
        <v>4479</v>
      </c>
      <c r="C2903" s="5">
        <v>4</v>
      </c>
      <c r="D2903" s="5" t="s">
        <v>39</v>
      </c>
      <c r="E2903" t="s">
        <v>4480</v>
      </c>
      <c r="F2903" t="s">
        <v>4481</v>
      </c>
      <c r="G2903">
        <v>3</v>
      </c>
      <c r="H2903" t="s">
        <v>21</v>
      </c>
      <c r="I2903" s="2">
        <v>5500</v>
      </c>
    </row>
    <row r="2904" spans="1:9" x14ac:dyDescent="0.3">
      <c r="A2904" s="5">
        <v>8281</v>
      </c>
      <c r="B2904" s="5" t="s">
        <v>4479</v>
      </c>
      <c r="C2904" s="5">
        <v>4</v>
      </c>
      <c r="D2904" s="5" t="s">
        <v>39</v>
      </c>
      <c r="E2904" t="s">
        <v>4480</v>
      </c>
      <c r="F2904" t="s">
        <v>4481</v>
      </c>
      <c r="G2904">
        <v>3</v>
      </c>
      <c r="H2904" t="s">
        <v>665</v>
      </c>
      <c r="I2904" s="2">
        <v>5500</v>
      </c>
    </row>
    <row r="2905" spans="1:9" x14ac:dyDescent="0.3">
      <c r="A2905" s="5">
        <v>8281</v>
      </c>
      <c r="B2905" s="5" t="s">
        <v>4479</v>
      </c>
      <c r="C2905" s="5">
        <v>4</v>
      </c>
      <c r="D2905" s="5" t="s">
        <v>39</v>
      </c>
      <c r="E2905" t="s">
        <v>4480</v>
      </c>
      <c r="F2905" t="s">
        <v>4481</v>
      </c>
      <c r="G2905">
        <v>3</v>
      </c>
      <c r="H2905" t="s">
        <v>374</v>
      </c>
      <c r="I2905" s="2">
        <v>3000</v>
      </c>
    </row>
    <row r="2906" spans="1:9" x14ac:dyDescent="0.3">
      <c r="A2906" s="5">
        <v>8279</v>
      </c>
      <c r="B2906" s="5" t="s">
        <v>4482</v>
      </c>
      <c r="C2906" s="5">
        <v>1</v>
      </c>
      <c r="D2906" s="5" t="s">
        <v>10</v>
      </c>
      <c r="E2906" t="s">
        <v>4483</v>
      </c>
      <c r="F2906" t="s">
        <v>4484</v>
      </c>
      <c r="G2906">
        <v>5</v>
      </c>
      <c r="H2906" t="s">
        <v>188</v>
      </c>
      <c r="I2906" s="2">
        <v>7000</v>
      </c>
    </row>
    <row r="2907" spans="1:9" x14ac:dyDescent="0.3">
      <c r="A2907" s="5">
        <v>8279</v>
      </c>
      <c r="B2907" s="5" t="s">
        <v>4482</v>
      </c>
      <c r="C2907" s="5">
        <v>1</v>
      </c>
      <c r="D2907" s="5" t="s">
        <v>10</v>
      </c>
      <c r="E2907" t="s">
        <v>4483</v>
      </c>
      <c r="F2907" t="s">
        <v>4484</v>
      </c>
      <c r="G2907">
        <v>5</v>
      </c>
      <c r="H2907" t="s">
        <v>189</v>
      </c>
      <c r="I2907" s="2">
        <v>8000</v>
      </c>
    </row>
    <row r="2908" spans="1:9" x14ac:dyDescent="0.3">
      <c r="A2908" s="5">
        <v>8279</v>
      </c>
      <c r="B2908" s="5" t="s">
        <v>4482</v>
      </c>
      <c r="C2908" s="5">
        <v>1</v>
      </c>
      <c r="D2908" s="5" t="s">
        <v>10</v>
      </c>
      <c r="E2908" t="s">
        <v>4483</v>
      </c>
      <c r="F2908" t="s">
        <v>4484</v>
      </c>
      <c r="G2908">
        <v>5</v>
      </c>
      <c r="H2908" t="s">
        <v>1504</v>
      </c>
      <c r="I2908" s="2">
        <v>12000</v>
      </c>
    </row>
    <row r="2909" spans="1:9" x14ac:dyDescent="0.3">
      <c r="A2909" s="5">
        <v>8279</v>
      </c>
      <c r="B2909" s="5" t="s">
        <v>4482</v>
      </c>
      <c r="C2909" s="5">
        <v>1</v>
      </c>
      <c r="D2909" s="5" t="s">
        <v>10</v>
      </c>
      <c r="E2909" t="s">
        <v>4483</v>
      </c>
      <c r="F2909" t="s">
        <v>4484</v>
      </c>
      <c r="G2909">
        <v>5</v>
      </c>
      <c r="H2909" t="s">
        <v>4485</v>
      </c>
      <c r="I2909" s="2">
        <v>6000</v>
      </c>
    </row>
    <row r="2910" spans="1:9" x14ac:dyDescent="0.3">
      <c r="A2910" s="5">
        <v>8277</v>
      </c>
      <c r="B2910" s="5" t="s">
        <v>4486</v>
      </c>
      <c r="C2910" s="5">
        <v>5</v>
      </c>
      <c r="D2910" s="5" t="s">
        <v>63</v>
      </c>
      <c r="E2910" t="s">
        <v>4487</v>
      </c>
      <c r="F2910" t="s">
        <v>4488</v>
      </c>
      <c r="G2910">
        <v>3</v>
      </c>
      <c r="H2910" t="s">
        <v>67</v>
      </c>
      <c r="I2910" s="2">
        <v>8000</v>
      </c>
    </row>
    <row r="2911" spans="1:9" x14ac:dyDescent="0.3">
      <c r="A2911" s="5">
        <v>8277</v>
      </c>
      <c r="B2911" s="5" t="s">
        <v>4486</v>
      </c>
      <c r="C2911" s="5">
        <v>5</v>
      </c>
      <c r="D2911" s="5" t="s">
        <v>63</v>
      </c>
      <c r="E2911" t="s">
        <v>4487</v>
      </c>
      <c r="F2911" t="s">
        <v>4488</v>
      </c>
      <c r="G2911">
        <v>3</v>
      </c>
      <c r="H2911" t="s">
        <v>909</v>
      </c>
      <c r="I2911" s="2">
        <v>8000</v>
      </c>
    </row>
    <row r="2912" spans="1:9" x14ac:dyDescent="0.3">
      <c r="A2912" s="5">
        <v>8277</v>
      </c>
      <c r="B2912" s="5" t="s">
        <v>4486</v>
      </c>
      <c r="C2912" s="5">
        <v>5</v>
      </c>
      <c r="D2912" s="5" t="s">
        <v>63</v>
      </c>
      <c r="E2912" t="s">
        <v>4487</v>
      </c>
      <c r="F2912" t="s">
        <v>4488</v>
      </c>
      <c r="G2912">
        <v>3</v>
      </c>
      <c r="H2912" t="s">
        <v>2126</v>
      </c>
      <c r="I2912" s="2">
        <v>25000</v>
      </c>
    </row>
    <row r="2913" spans="1:9" x14ac:dyDescent="0.3">
      <c r="A2913" s="5">
        <v>8277</v>
      </c>
      <c r="B2913" s="5" t="s">
        <v>4486</v>
      </c>
      <c r="C2913" s="5">
        <v>5</v>
      </c>
      <c r="D2913" s="5" t="s">
        <v>63</v>
      </c>
      <c r="E2913" t="s">
        <v>4487</v>
      </c>
      <c r="F2913" t="s">
        <v>4488</v>
      </c>
      <c r="G2913">
        <v>3</v>
      </c>
      <c r="H2913" t="s">
        <v>4489</v>
      </c>
      <c r="I2913" s="2">
        <v>6000</v>
      </c>
    </row>
    <row r="2914" spans="1:9" x14ac:dyDescent="0.3">
      <c r="A2914" s="5">
        <v>8274</v>
      </c>
      <c r="B2914" s="5" t="s">
        <v>233</v>
      </c>
      <c r="C2914" s="5">
        <v>4</v>
      </c>
      <c r="D2914" s="5" t="s">
        <v>39</v>
      </c>
      <c r="E2914" t="s">
        <v>4490</v>
      </c>
      <c r="F2914" t="s">
        <v>235</v>
      </c>
      <c r="G2914">
        <v>3</v>
      </c>
      <c r="H2914" t="s">
        <v>21</v>
      </c>
      <c r="I2914" s="2">
        <v>5000</v>
      </c>
    </row>
    <row r="2915" spans="1:9" x14ac:dyDescent="0.3">
      <c r="A2915" s="5">
        <v>8274</v>
      </c>
      <c r="B2915" s="5" t="s">
        <v>233</v>
      </c>
      <c r="C2915" s="5">
        <v>4</v>
      </c>
      <c r="D2915" s="5" t="s">
        <v>39</v>
      </c>
      <c r="E2915" t="s">
        <v>4490</v>
      </c>
      <c r="F2915" t="s">
        <v>235</v>
      </c>
      <c r="G2915">
        <v>3</v>
      </c>
      <c r="H2915" t="s">
        <v>37</v>
      </c>
      <c r="I2915" s="2">
        <v>5000</v>
      </c>
    </row>
    <row r="2916" spans="1:9" x14ac:dyDescent="0.3">
      <c r="A2916" s="5">
        <v>8270</v>
      </c>
      <c r="B2916" s="5" t="s">
        <v>4491</v>
      </c>
      <c r="C2916" s="5">
        <v>5</v>
      </c>
      <c r="D2916" s="5" t="s">
        <v>63</v>
      </c>
      <c r="E2916" t="s">
        <v>4492</v>
      </c>
      <c r="F2916" t="s">
        <v>4493</v>
      </c>
      <c r="G2916">
        <v>3</v>
      </c>
      <c r="H2916" t="s">
        <v>67</v>
      </c>
      <c r="I2916" s="2">
        <v>10000</v>
      </c>
    </row>
    <row r="2917" spans="1:9" x14ac:dyDescent="0.3">
      <c r="A2917" s="5">
        <v>8270</v>
      </c>
      <c r="B2917" s="5" t="s">
        <v>4491</v>
      </c>
      <c r="C2917" s="5">
        <v>5</v>
      </c>
      <c r="D2917" s="5" t="s">
        <v>63</v>
      </c>
      <c r="E2917" t="s">
        <v>4492</v>
      </c>
      <c r="F2917" t="s">
        <v>4493</v>
      </c>
      <c r="G2917">
        <v>3</v>
      </c>
      <c r="H2917" t="s">
        <v>2126</v>
      </c>
      <c r="I2917" s="2">
        <v>30000</v>
      </c>
    </row>
    <row r="2918" spans="1:9" x14ac:dyDescent="0.3">
      <c r="A2918" s="5">
        <v>8270</v>
      </c>
      <c r="B2918" s="5" t="s">
        <v>4491</v>
      </c>
      <c r="C2918" s="5">
        <v>5</v>
      </c>
      <c r="D2918" s="5" t="s">
        <v>63</v>
      </c>
      <c r="E2918" t="s">
        <v>4492</v>
      </c>
      <c r="F2918" t="s">
        <v>4493</v>
      </c>
      <c r="G2918">
        <v>3</v>
      </c>
      <c r="H2918" t="s">
        <v>909</v>
      </c>
      <c r="I2918" s="2">
        <v>10000</v>
      </c>
    </row>
    <row r="2919" spans="1:9" x14ac:dyDescent="0.3">
      <c r="A2919" s="5">
        <v>8270</v>
      </c>
      <c r="B2919" s="5" t="s">
        <v>4491</v>
      </c>
      <c r="C2919" s="5">
        <v>5</v>
      </c>
      <c r="D2919" s="5" t="s">
        <v>63</v>
      </c>
      <c r="E2919" t="s">
        <v>4492</v>
      </c>
      <c r="F2919" t="s">
        <v>4493</v>
      </c>
      <c r="G2919">
        <v>3</v>
      </c>
      <c r="H2919" t="s">
        <v>4489</v>
      </c>
      <c r="I2919" s="2">
        <v>8000</v>
      </c>
    </row>
    <row r="2920" spans="1:9" x14ac:dyDescent="0.3">
      <c r="A2920" s="5">
        <v>8267</v>
      </c>
      <c r="B2920" s="5" t="s">
        <v>2516</v>
      </c>
      <c r="C2920" s="5">
        <v>1</v>
      </c>
      <c r="D2920" s="5" t="s">
        <v>10</v>
      </c>
      <c r="E2920" t="s">
        <v>4494</v>
      </c>
      <c r="F2920" t="s">
        <v>4495</v>
      </c>
      <c r="G2920">
        <v>3</v>
      </c>
      <c r="H2920" t="s">
        <v>139</v>
      </c>
      <c r="I2920" s="2">
        <v>6500</v>
      </c>
    </row>
    <row r="2921" spans="1:9" x14ac:dyDescent="0.3">
      <c r="A2921" s="5">
        <v>8267</v>
      </c>
      <c r="B2921" s="5" t="s">
        <v>2516</v>
      </c>
      <c r="C2921" s="5">
        <v>1</v>
      </c>
      <c r="D2921" s="5" t="s">
        <v>10</v>
      </c>
      <c r="E2921" t="s">
        <v>4494</v>
      </c>
      <c r="F2921" t="s">
        <v>4495</v>
      </c>
      <c r="G2921">
        <v>3</v>
      </c>
      <c r="H2921" t="s">
        <v>57</v>
      </c>
      <c r="I2921" s="2">
        <v>8000</v>
      </c>
    </row>
    <row r="2922" spans="1:9" x14ac:dyDescent="0.3">
      <c r="A2922" s="5">
        <v>8267</v>
      </c>
      <c r="B2922" s="5" t="s">
        <v>2516</v>
      </c>
      <c r="C2922" s="5">
        <v>1</v>
      </c>
      <c r="D2922" s="5" t="s">
        <v>10</v>
      </c>
      <c r="E2922" t="s">
        <v>4494</v>
      </c>
      <c r="F2922" t="s">
        <v>4495</v>
      </c>
      <c r="G2922">
        <v>3</v>
      </c>
      <c r="H2922" t="s">
        <v>126</v>
      </c>
      <c r="I2922" s="2">
        <v>6500</v>
      </c>
    </row>
    <row r="2923" spans="1:9" x14ac:dyDescent="0.3">
      <c r="A2923" s="5">
        <v>8267</v>
      </c>
      <c r="B2923" s="5" t="s">
        <v>2516</v>
      </c>
      <c r="C2923" s="5">
        <v>1</v>
      </c>
      <c r="D2923" s="5" t="s">
        <v>10</v>
      </c>
      <c r="E2923" t="s">
        <v>4494</v>
      </c>
      <c r="F2923" t="s">
        <v>4495</v>
      </c>
      <c r="G2923">
        <v>3</v>
      </c>
      <c r="H2923" t="s">
        <v>35</v>
      </c>
      <c r="I2923" s="2">
        <v>7500</v>
      </c>
    </row>
    <row r="2924" spans="1:9" x14ac:dyDescent="0.3">
      <c r="A2924" s="5">
        <v>8266</v>
      </c>
      <c r="B2924" s="5" t="s">
        <v>638</v>
      </c>
      <c r="C2924" s="5">
        <v>2</v>
      </c>
      <c r="D2924" s="5" t="s">
        <v>261</v>
      </c>
      <c r="E2924" t="s">
        <v>4496</v>
      </c>
      <c r="F2924" t="s">
        <v>4497</v>
      </c>
      <c r="G2924">
        <v>3</v>
      </c>
      <c r="H2924" t="s">
        <v>265</v>
      </c>
      <c r="I2924" s="2">
        <v>4000</v>
      </c>
    </row>
    <row r="2925" spans="1:9" x14ac:dyDescent="0.3">
      <c r="A2925" s="5">
        <v>8266</v>
      </c>
      <c r="B2925" s="5" t="s">
        <v>638</v>
      </c>
      <c r="C2925" s="5">
        <v>2</v>
      </c>
      <c r="D2925" s="5" t="s">
        <v>261</v>
      </c>
      <c r="E2925" t="s">
        <v>4496</v>
      </c>
      <c r="F2925" t="s">
        <v>4497</v>
      </c>
      <c r="G2925">
        <v>3</v>
      </c>
      <c r="H2925" t="s">
        <v>264</v>
      </c>
      <c r="I2925" s="2">
        <v>3000</v>
      </c>
    </row>
    <row r="2926" spans="1:9" x14ac:dyDescent="0.3">
      <c r="A2926" s="5">
        <v>8265</v>
      </c>
      <c r="B2926" s="5" t="s">
        <v>4498</v>
      </c>
      <c r="C2926" s="5">
        <v>1</v>
      </c>
      <c r="D2926" s="5" t="s">
        <v>10</v>
      </c>
      <c r="E2926" t="s">
        <v>4499</v>
      </c>
      <c r="F2926" t="s">
        <v>4500</v>
      </c>
      <c r="G2926">
        <v>75</v>
      </c>
      <c r="H2926" t="s">
        <v>21</v>
      </c>
      <c r="I2926" s="2">
        <v>6000</v>
      </c>
    </row>
    <row r="2927" spans="1:9" x14ac:dyDescent="0.3">
      <c r="A2927" s="5">
        <v>8265</v>
      </c>
      <c r="B2927" s="5" t="s">
        <v>4498</v>
      </c>
      <c r="C2927" s="5">
        <v>1</v>
      </c>
      <c r="D2927" s="5" t="s">
        <v>10</v>
      </c>
      <c r="E2927" t="s">
        <v>4499</v>
      </c>
      <c r="F2927" t="s">
        <v>4500</v>
      </c>
      <c r="G2927">
        <v>75</v>
      </c>
      <c r="H2927" t="s">
        <v>259</v>
      </c>
      <c r="I2927" s="2">
        <v>6000</v>
      </c>
    </row>
    <row r="2928" spans="1:9" x14ac:dyDescent="0.3">
      <c r="A2928" s="5">
        <v>8265</v>
      </c>
      <c r="B2928" s="5" t="s">
        <v>4498</v>
      </c>
      <c r="C2928" s="5">
        <v>1</v>
      </c>
      <c r="D2928" s="5" t="s">
        <v>10</v>
      </c>
      <c r="E2928" t="s">
        <v>4499</v>
      </c>
      <c r="F2928" t="s">
        <v>4500</v>
      </c>
      <c r="G2928">
        <v>75</v>
      </c>
      <c r="H2928" t="s">
        <v>1042</v>
      </c>
      <c r="I2928" s="2">
        <v>6000</v>
      </c>
    </row>
    <row r="2929" spans="1:9" x14ac:dyDescent="0.3">
      <c r="A2929" s="5">
        <v>8265</v>
      </c>
      <c r="B2929" s="5" t="s">
        <v>4498</v>
      </c>
      <c r="C2929" s="5">
        <v>1</v>
      </c>
      <c r="D2929" s="5" t="s">
        <v>10</v>
      </c>
      <c r="E2929" t="s">
        <v>4499</v>
      </c>
      <c r="F2929" t="s">
        <v>4500</v>
      </c>
      <c r="G2929">
        <v>75</v>
      </c>
      <c r="H2929" t="s">
        <v>126</v>
      </c>
      <c r="I2929" s="2">
        <v>7000</v>
      </c>
    </row>
    <row r="2930" spans="1:9" x14ac:dyDescent="0.3">
      <c r="A2930" s="5">
        <v>8264</v>
      </c>
      <c r="B2930" s="5" t="s">
        <v>4501</v>
      </c>
      <c r="C2930" s="5">
        <v>4</v>
      </c>
      <c r="D2930" s="5" t="s">
        <v>39</v>
      </c>
      <c r="E2930" t="s">
        <v>4502</v>
      </c>
      <c r="F2930" t="s">
        <v>4503</v>
      </c>
      <c r="G2930">
        <v>3</v>
      </c>
      <c r="H2930" t="s">
        <v>4504</v>
      </c>
      <c r="I2930" s="2">
        <v>17000</v>
      </c>
    </row>
    <row r="2931" spans="1:9" x14ac:dyDescent="0.3">
      <c r="A2931" s="5">
        <v>8264</v>
      </c>
      <c r="B2931" s="5" t="s">
        <v>4501</v>
      </c>
      <c r="C2931" s="5">
        <v>4</v>
      </c>
      <c r="D2931" s="5" t="s">
        <v>39</v>
      </c>
      <c r="E2931" t="s">
        <v>4502</v>
      </c>
      <c r="F2931" t="s">
        <v>4503</v>
      </c>
      <c r="G2931">
        <v>3</v>
      </c>
      <c r="H2931" t="s">
        <v>1560</v>
      </c>
      <c r="I2931" s="2">
        <v>15000</v>
      </c>
    </row>
    <row r="2932" spans="1:9" x14ac:dyDescent="0.3">
      <c r="A2932" s="5">
        <v>8264</v>
      </c>
      <c r="B2932" s="5" t="s">
        <v>4501</v>
      </c>
      <c r="C2932" s="5">
        <v>4</v>
      </c>
      <c r="D2932" s="5" t="s">
        <v>39</v>
      </c>
      <c r="E2932" t="s">
        <v>4502</v>
      </c>
      <c r="F2932" t="s">
        <v>4503</v>
      </c>
      <c r="G2932">
        <v>3</v>
      </c>
      <c r="H2932" t="s">
        <v>320</v>
      </c>
      <c r="I2932" s="2">
        <v>14000</v>
      </c>
    </row>
    <row r="2933" spans="1:9" x14ac:dyDescent="0.3">
      <c r="A2933" s="5">
        <v>8264</v>
      </c>
      <c r="B2933" s="5" t="s">
        <v>4501</v>
      </c>
      <c r="C2933" s="5">
        <v>4</v>
      </c>
      <c r="D2933" s="5" t="s">
        <v>39</v>
      </c>
      <c r="E2933" t="s">
        <v>4502</v>
      </c>
      <c r="F2933" t="s">
        <v>4503</v>
      </c>
      <c r="G2933">
        <v>3</v>
      </c>
      <c r="H2933" t="s">
        <v>1562</v>
      </c>
      <c r="I2933" s="2">
        <v>15000</v>
      </c>
    </row>
    <row r="2934" spans="1:9" x14ac:dyDescent="0.3">
      <c r="A2934" s="5">
        <v>8263</v>
      </c>
      <c r="B2934" s="5" t="s">
        <v>4505</v>
      </c>
      <c r="C2934" s="5">
        <v>5</v>
      </c>
      <c r="D2934" s="5" t="s">
        <v>63</v>
      </c>
      <c r="E2934" t="s">
        <v>4506</v>
      </c>
      <c r="F2934" t="s">
        <v>4507</v>
      </c>
      <c r="G2934">
        <v>3</v>
      </c>
      <c r="H2934" t="s">
        <v>88</v>
      </c>
      <c r="I2934" s="2">
        <v>25000</v>
      </c>
    </row>
    <row r="2935" spans="1:9" x14ac:dyDescent="0.3">
      <c r="A2935" s="5">
        <v>8263</v>
      </c>
      <c r="B2935" s="5" t="s">
        <v>4505</v>
      </c>
      <c r="C2935" s="5">
        <v>5</v>
      </c>
      <c r="D2935" s="5" t="s">
        <v>63</v>
      </c>
      <c r="E2935" t="s">
        <v>4506</v>
      </c>
      <c r="F2935" t="s">
        <v>4507</v>
      </c>
      <c r="G2935">
        <v>3</v>
      </c>
      <c r="H2935" t="s">
        <v>67</v>
      </c>
      <c r="I2935" s="2">
        <v>6000</v>
      </c>
    </row>
    <row r="2936" spans="1:9" x14ac:dyDescent="0.3">
      <c r="A2936" s="5">
        <v>8260</v>
      </c>
      <c r="B2936" s="5" t="s">
        <v>4508</v>
      </c>
      <c r="C2936" s="5">
        <v>5</v>
      </c>
      <c r="D2936" s="5" t="s">
        <v>63</v>
      </c>
      <c r="E2936" t="s">
        <v>4509</v>
      </c>
      <c r="F2936" t="s">
        <v>4510</v>
      </c>
      <c r="G2936">
        <v>3</v>
      </c>
      <c r="H2936" t="s">
        <v>66</v>
      </c>
      <c r="I2936" s="2">
        <v>16000</v>
      </c>
    </row>
    <row r="2937" spans="1:9" x14ac:dyDescent="0.3">
      <c r="A2937" s="5">
        <v>8260</v>
      </c>
      <c r="B2937" s="5" t="s">
        <v>4508</v>
      </c>
      <c r="C2937" s="5">
        <v>5</v>
      </c>
      <c r="D2937" s="5" t="s">
        <v>63</v>
      </c>
      <c r="E2937" t="s">
        <v>4509</v>
      </c>
      <c r="F2937" t="s">
        <v>4510</v>
      </c>
      <c r="G2937">
        <v>3</v>
      </c>
      <c r="H2937" t="s">
        <v>4511</v>
      </c>
      <c r="I2937" s="2">
        <v>8000</v>
      </c>
    </row>
    <row r="2938" spans="1:9" x14ac:dyDescent="0.3">
      <c r="A2938" s="5">
        <v>8258</v>
      </c>
      <c r="B2938" s="5" t="s">
        <v>4512</v>
      </c>
      <c r="C2938" s="5">
        <v>5</v>
      </c>
      <c r="D2938" s="5" t="s">
        <v>63</v>
      </c>
      <c r="E2938" t="s">
        <v>4513</v>
      </c>
      <c r="F2938" t="s">
        <v>4514</v>
      </c>
      <c r="G2938">
        <v>3</v>
      </c>
      <c r="H2938" t="s">
        <v>117</v>
      </c>
      <c r="I2938" s="2">
        <v>8000</v>
      </c>
    </row>
    <row r="2939" spans="1:9" x14ac:dyDescent="0.3">
      <c r="A2939" s="5">
        <v>8258</v>
      </c>
      <c r="B2939" s="5" t="s">
        <v>4512</v>
      </c>
      <c r="C2939" s="5">
        <v>5</v>
      </c>
      <c r="D2939" s="5" t="s">
        <v>63</v>
      </c>
      <c r="E2939" t="s">
        <v>4513</v>
      </c>
      <c r="F2939" t="s">
        <v>4514</v>
      </c>
      <c r="G2939">
        <v>3</v>
      </c>
      <c r="H2939" t="s">
        <v>66</v>
      </c>
      <c r="I2939" s="2">
        <v>16000</v>
      </c>
    </row>
    <row r="2940" spans="1:9" x14ac:dyDescent="0.3">
      <c r="A2940" s="5">
        <v>8240</v>
      </c>
      <c r="B2940" s="5" t="s">
        <v>4515</v>
      </c>
      <c r="C2940" s="5">
        <v>1</v>
      </c>
      <c r="D2940" s="5" t="s">
        <v>10</v>
      </c>
      <c r="E2940" t="s">
        <v>4516</v>
      </c>
      <c r="F2940" t="s">
        <v>4517</v>
      </c>
      <c r="G2940">
        <v>3</v>
      </c>
      <c r="H2940" t="s">
        <v>37</v>
      </c>
      <c r="I2940" s="2">
        <v>4000</v>
      </c>
    </row>
    <row r="2941" spans="1:9" x14ac:dyDescent="0.3">
      <c r="A2941" s="5">
        <v>8240</v>
      </c>
      <c r="B2941" s="5" t="s">
        <v>4515</v>
      </c>
      <c r="C2941" s="5">
        <v>1</v>
      </c>
      <c r="D2941" s="5" t="s">
        <v>10</v>
      </c>
      <c r="E2941" t="s">
        <v>4516</v>
      </c>
      <c r="F2941" t="s">
        <v>4517</v>
      </c>
      <c r="G2941">
        <v>3</v>
      </c>
      <c r="H2941" t="s">
        <v>1655</v>
      </c>
      <c r="I2941" s="2">
        <v>4000</v>
      </c>
    </row>
    <row r="2942" spans="1:9" x14ac:dyDescent="0.3">
      <c r="A2942" s="5">
        <v>8234</v>
      </c>
      <c r="B2942" s="5" t="s">
        <v>4518</v>
      </c>
      <c r="C2942" s="5">
        <v>5</v>
      </c>
      <c r="D2942" s="5" t="s">
        <v>63</v>
      </c>
      <c r="E2942" t="s">
        <v>4519</v>
      </c>
      <c r="F2942" t="s">
        <v>4520</v>
      </c>
      <c r="G2942">
        <v>3</v>
      </c>
      <c r="H2942" t="s">
        <v>4521</v>
      </c>
      <c r="I2942" s="2">
        <v>10000</v>
      </c>
    </row>
    <row r="2943" spans="1:9" x14ac:dyDescent="0.3">
      <c r="A2943" s="5">
        <v>8228</v>
      </c>
      <c r="B2943" s="5" t="s">
        <v>4522</v>
      </c>
      <c r="C2943" s="5">
        <v>7</v>
      </c>
      <c r="D2943" s="5" t="s">
        <v>360</v>
      </c>
      <c r="E2943" t="s">
        <v>4523</v>
      </c>
      <c r="F2943" t="s">
        <v>4524</v>
      </c>
      <c r="G2943">
        <v>3</v>
      </c>
      <c r="H2943" t="s">
        <v>446</v>
      </c>
      <c r="I2943" s="2">
        <v>5000</v>
      </c>
    </row>
    <row r="2944" spans="1:9" x14ac:dyDescent="0.3">
      <c r="A2944" s="5">
        <v>8224</v>
      </c>
      <c r="B2944" s="5" t="s">
        <v>4525</v>
      </c>
      <c r="C2944" s="5">
        <v>7</v>
      </c>
      <c r="D2944" s="5" t="s">
        <v>360</v>
      </c>
      <c r="E2944" t="s">
        <v>4526</v>
      </c>
      <c r="F2944" t="s">
        <v>4527</v>
      </c>
      <c r="G2944">
        <v>3</v>
      </c>
      <c r="H2944" t="s">
        <v>4528</v>
      </c>
      <c r="I2944" s="2">
        <v>3000</v>
      </c>
    </row>
    <row r="2945" spans="1:9" x14ac:dyDescent="0.3">
      <c r="A2945" s="5">
        <v>8224</v>
      </c>
      <c r="B2945" s="5" t="s">
        <v>4525</v>
      </c>
      <c r="C2945" s="5">
        <v>7</v>
      </c>
      <c r="D2945" s="5" t="s">
        <v>360</v>
      </c>
      <c r="E2945" t="s">
        <v>4526</v>
      </c>
      <c r="F2945" t="s">
        <v>4527</v>
      </c>
      <c r="G2945">
        <v>3</v>
      </c>
      <c r="H2945" t="s">
        <v>446</v>
      </c>
      <c r="I2945" s="2">
        <v>7000</v>
      </c>
    </row>
    <row r="2946" spans="1:9" x14ac:dyDescent="0.3">
      <c r="A2946" s="5">
        <v>8217</v>
      </c>
      <c r="B2946" s="5" t="s">
        <v>4529</v>
      </c>
      <c r="C2946" s="5">
        <v>3</v>
      </c>
      <c r="D2946" s="5" t="s">
        <v>44</v>
      </c>
      <c r="E2946" t="s">
        <v>4530</v>
      </c>
      <c r="F2946" t="s">
        <v>4531</v>
      </c>
      <c r="G2946">
        <v>5</v>
      </c>
      <c r="H2946" t="s">
        <v>4532</v>
      </c>
      <c r="I2946" s="2">
        <v>5000</v>
      </c>
    </row>
    <row r="2947" spans="1:9" x14ac:dyDescent="0.3">
      <c r="A2947" s="5">
        <v>8217</v>
      </c>
      <c r="B2947" s="5" t="s">
        <v>4529</v>
      </c>
      <c r="C2947" s="5">
        <v>3</v>
      </c>
      <c r="D2947" s="5" t="s">
        <v>44</v>
      </c>
      <c r="E2947" t="s">
        <v>4530</v>
      </c>
      <c r="F2947" t="s">
        <v>4531</v>
      </c>
      <c r="G2947">
        <v>5</v>
      </c>
      <c r="H2947" t="s">
        <v>4532</v>
      </c>
      <c r="I2947" s="2">
        <v>5000</v>
      </c>
    </row>
    <row r="2948" spans="1:9" x14ac:dyDescent="0.3">
      <c r="A2948" s="5">
        <v>8217</v>
      </c>
      <c r="B2948" s="5" t="s">
        <v>4529</v>
      </c>
      <c r="C2948" s="5">
        <v>3</v>
      </c>
      <c r="D2948" s="5" t="s">
        <v>44</v>
      </c>
      <c r="E2948" t="s">
        <v>4530</v>
      </c>
      <c r="F2948" t="s">
        <v>4531</v>
      </c>
      <c r="G2948">
        <v>5</v>
      </c>
      <c r="H2948" t="s">
        <v>4533</v>
      </c>
      <c r="I2948" s="2">
        <v>12000</v>
      </c>
    </row>
    <row r="2949" spans="1:9" x14ac:dyDescent="0.3">
      <c r="A2949" s="5">
        <v>8214</v>
      </c>
      <c r="B2949" s="5" t="s">
        <v>4534</v>
      </c>
      <c r="C2949" s="5">
        <v>7</v>
      </c>
      <c r="D2949" s="5" t="s">
        <v>360</v>
      </c>
      <c r="E2949" t="s">
        <v>4535</v>
      </c>
      <c r="F2949" t="s">
        <v>4536</v>
      </c>
      <c r="G2949">
        <v>3</v>
      </c>
      <c r="H2949" t="s">
        <v>3879</v>
      </c>
      <c r="I2949" s="2">
        <v>3900</v>
      </c>
    </row>
    <row r="2950" spans="1:9" x14ac:dyDescent="0.3">
      <c r="A2950" s="5">
        <v>8214</v>
      </c>
      <c r="B2950" s="5" t="s">
        <v>4534</v>
      </c>
      <c r="C2950" s="5">
        <v>7</v>
      </c>
      <c r="D2950" s="5" t="s">
        <v>360</v>
      </c>
      <c r="E2950" t="s">
        <v>4535</v>
      </c>
      <c r="F2950" t="s">
        <v>4536</v>
      </c>
      <c r="G2950">
        <v>3</v>
      </c>
      <c r="H2950" t="s">
        <v>3879</v>
      </c>
      <c r="I2950" s="2">
        <v>3900</v>
      </c>
    </row>
    <row r="2951" spans="1:9" x14ac:dyDescent="0.3">
      <c r="A2951" s="5">
        <v>8213</v>
      </c>
      <c r="B2951" s="5" t="s">
        <v>4537</v>
      </c>
      <c r="C2951" s="5">
        <v>1</v>
      </c>
      <c r="D2951" s="5" t="s">
        <v>10</v>
      </c>
      <c r="E2951" t="s">
        <v>4538</v>
      </c>
      <c r="F2951" t="s">
        <v>4539</v>
      </c>
      <c r="G2951">
        <v>3</v>
      </c>
      <c r="H2951" t="s">
        <v>126</v>
      </c>
      <c r="I2951" s="2">
        <v>6000</v>
      </c>
    </row>
    <row r="2952" spans="1:9" x14ac:dyDescent="0.3">
      <c r="A2952" s="5">
        <v>8213</v>
      </c>
      <c r="B2952" s="5" t="s">
        <v>4537</v>
      </c>
      <c r="C2952" s="5">
        <v>1</v>
      </c>
      <c r="D2952" s="5" t="s">
        <v>10</v>
      </c>
      <c r="E2952" t="s">
        <v>4538</v>
      </c>
      <c r="F2952" t="s">
        <v>4539</v>
      </c>
      <c r="G2952">
        <v>3</v>
      </c>
      <c r="H2952" t="s">
        <v>37</v>
      </c>
      <c r="I2952" s="2">
        <v>5000</v>
      </c>
    </row>
    <row r="2953" spans="1:9" x14ac:dyDescent="0.3">
      <c r="A2953" s="5">
        <v>8213</v>
      </c>
      <c r="B2953" s="5" t="s">
        <v>4537</v>
      </c>
      <c r="C2953" s="5">
        <v>1</v>
      </c>
      <c r="D2953" s="5" t="s">
        <v>10</v>
      </c>
      <c r="E2953" t="s">
        <v>4538</v>
      </c>
      <c r="F2953" t="s">
        <v>4539</v>
      </c>
      <c r="G2953">
        <v>3</v>
      </c>
      <c r="H2953" t="s">
        <v>139</v>
      </c>
      <c r="I2953" s="2">
        <v>5000</v>
      </c>
    </row>
    <row r="2954" spans="1:9" x14ac:dyDescent="0.3">
      <c r="A2954" s="5">
        <v>8210</v>
      </c>
      <c r="B2954" s="5" t="s">
        <v>4540</v>
      </c>
      <c r="C2954" s="5">
        <v>1</v>
      </c>
      <c r="D2954" s="5" t="s">
        <v>10</v>
      </c>
      <c r="E2954" t="s">
        <v>4541</v>
      </c>
      <c r="F2954" t="s">
        <v>4542</v>
      </c>
      <c r="G2954">
        <v>8</v>
      </c>
      <c r="H2954" t="s">
        <v>126</v>
      </c>
      <c r="I2954" s="2">
        <v>4500</v>
      </c>
    </row>
    <row r="2955" spans="1:9" x14ac:dyDescent="0.3">
      <c r="A2955" s="5">
        <v>8210</v>
      </c>
      <c r="B2955" s="5" t="s">
        <v>4540</v>
      </c>
      <c r="C2955" s="5">
        <v>1</v>
      </c>
      <c r="D2955" s="5" t="s">
        <v>10</v>
      </c>
      <c r="E2955" t="s">
        <v>4541</v>
      </c>
      <c r="F2955" t="s">
        <v>4542</v>
      </c>
      <c r="G2955">
        <v>8</v>
      </c>
      <c r="H2955" t="s">
        <v>374</v>
      </c>
      <c r="I2955" s="2">
        <v>2000</v>
      </c>
    </row>
    <row r="2956" spans="1:9" x14ac:dyDescent="0.3">
      <c r="A2956" s="5">
        <v>8210</v>
      </c>
      <c r="B2956" s="5" t="s">
        <v>4540</v>
      </c>
      <c r="C2956" s="5">
        <v>1</v>
      </c>
      <c r="D2956" s="5" t="s">
        <v>10</v>
      </c>
      <c r="E2956" t="s">
        <v>4541</v>
      </c>
      <c r="F2956" t="s">
        <v>4542</v>
      </c>
      <c r="G2956">
        <v>8</v>
      </c>
      <c r="H2956" t="s">
        <v>37</v>
      </c>
      <c r="I2956" s="2">
        <v>4000</v>
      </c>
    </row>
    <row r="2957" spans="1:9" x14ac:dyDescent="0.3">
      <c r="A2957" s="5">
        <v>8209</v>
      </c>
      <c r="B2957" s="5" t="s">
        <v>4543</v>
      </c>
      <c r="C2957" s="5">
        <v>1</v>
      </c>
      <c r="D2957" s="5" t="s">
        <v>10</v>
      </c>
      <c r="E2957" t="s">
        <v>4544</v>
      </c>
      <c r="F2957" t="s">
        <v>4545</v>
      </c>
      <c r="G2957">
        <v>3</v>
      </c>
      <c r="H2957" t="s">
        <v>4309</v>
      </c>
      <c r="I2957" s="2">
        <v>6000</v>
      </c>
    </row>
    <row r="2958" spans="1:9" x14ac:dyDescent="0.3">
      <c r="A2958" s="5">
        <v>8209</v>
      </c>
      <c r="B2958" s="5" t="s">
        <v>4543</v>
      </c>
      <c r="C2958" s="5">
        <v>1</v>
      </c>
      <c r="D2958" s="5" t="s">
        <v>10</v>
      </c>
      <c r="E2958" t="s">
        <v>4544</v>
      </c>
      <c r="F2958" t="s">
        <v>4545</v>
      </c>
      <c r="G2958">
        <v>3</v>
      </c>
      <c r="H2958" t="s">
        <v>35</v>
      </c>
      <c r="I2958" s="2">
        <v>6000</v>
      </c>
    </row>
    <row r="2959" spans="1:9" x14ac:dyDescent="0.3">
      <c r="A2959" s="5">
        <v>8209</v>
      </c>
      <c r="B2959" s="5" t="s">
        <v>4543</v>
      </c>
      <c r="C2959" s="5">
        <v>1</v>
      </c>
      <c r="D2959" s="5" t="s">
        <v>10</v>
      </c>
      <c r="E2959" t="s">
        <v>4544</v>
      </c>
      <c r="F2959" t="s">
        <v>4545</v>
      </c>
      <c r="G2959">
        <v>3</v>
      </c>
      <c r="H2959" t="s">
        <v>139</v>
      </c>
      <c r="I2959" s="2">
        <v>5000</v>
      </c>
    </row>
    <row r="2960" spans="1:9" x14ac:dyDescent="0.3">
      <c r="A2960" s="5">
        <v>8209</v>
      </c>
      <c r="B2960" s="5" t="s">
        <v>4543</v>
      </c>
      <c r="C2960" s="5">
        <v>1</v>
      </c>
      <c r="D2960" s="5" t="s">
        <v>10</v>
      </c>
      <c r="E2960" t="s">
        <v>4544</v>
      </c>
      <c r="F2960" t="s">
        <v>4545</v>
      </c>
      <c r="G2960">
        <v>3</v>
      </c>
      <c r="H2960" t="s">
        <v>149</v>
      </c>
      <c r="I2960" s="2">
        <v>6000</v>
      </c>
    </row>
    <row r="2961" spans="1:9" x14ac:dyDescent="0.3">
      <c r="A2961" s="5">
        <v>8209</v>
      </c>
      <c r="B2961" s="5" t="s">
        <v>4543</v>
      </c>
      <c r="C2961" s="5">
        <v>1</v>
      </c>
      <c r="D2961" s="5" t="s">
        <v>10</v>
      </c>
      <c r="E2961" t="s">
        <v>4544</v>
      </c>
      <c r="F2961" t="s">
        <v>4545</v>
      </c>
      <c r="G2961">
        <v>3</v>
      </c>
      <c r="H2961" t="s">
        <v>149</v>
      </c>
      <c r="I2961" s="2">
        <v>6000</v>
      </c>
    </row>
    <row r="2962" spans="1:9" x14ac:dyDescent="0.3">
      <c r="A2962" s="5">
        <v>8209</v>
      </c>
      <c r="B2962" s="5" t="s">
        <v>4543</v>
      </c>
      <c r="C2962" s="5">
        <v>1</v>
      </c>
      <c r="D2962" s="5" t="s">
        <v>10</v>
      </c>
      <c r="E2962" t="s">
        <v>4544</v>
      </c>
      <c r="F2962" t="s">
        <v>4545</v>
      </c>
      <c r="G2962">
        <v>3</v>
      </c>
      <c r="H2962" t="s">
        <v>37</v>
      </c>
      <c r="I2962" s="2">
        <v>5000</v>
      </c>
    </row>
    <row r="2963" spans="1:9" x14ac:dyDescent="0.3">
      <c r="A2963" s="5">
        <v>8209</v>
      </c>
      <c r="B2963" s="5" t="s">
        <v>4543</v>
      </c>
      <c r="C2963" s="5">
        <v>1</v>
      </c>
      <c r="D2963" s="5" t="s">
        <v>10</v>
      </c>
      <c r="E2963" t="s">
        <v>4544</v>
      </c>
      <c r="F2963" t="s">
        <v>4545</v>
      </c>
      <c r="G2963">
        <v>3</v>
      </c>
      <c r="H2963" t="s">
        <v>4546</v>
      </c>
      <c r="I2963" s="2">
        <v>6000</v>
      </c>
    </row>
    <row r="2964" spans="1:9" x14ac:dyDescent="0.3">
      <c r="A2964" s="5">
        <v>8209</v>
      </c>
      <c r="B2964" s="5" t="s">
        <v>4543</v>
      </c>
      <c r="C2964" s="5">
        <v>1</v>
      </c>
      <c r="D2964" s="5" t="s">
        <v>10</v>
      </c>
      <c r="E2964" t="s">
        <v>4544</v>
      </c>
      <c r="F2964" t="s">
        <v>4545</v>
      </c>
      <c r="G2964">
        <v>3</v>
      </c>
      <c r="H2964" t="s">
        <v>4547</v>
      </c>
      <c r="I2964" s="2">
        <v>5000</v>
      </c>
    </row>
    <row r="2965" spans="1:9" x14ac:dyDescent="0.3">
      <c r="A2965" s="5">
        <v>8193</v>
      </c>
      <c r="B2965" s="5" t="s">
        <v>4548</v>
      </c>
      <c r="C2965" s="5">
        <v>1</v>
      </c>
      <c r="D2965" s="5" t="s">
        <v>10</v>
      </c>
      <c r="E2965" t="s">
        <v>4549</v>
      </c>
      <c r="F2965" t="s">
        <v>4550</v>
      </c>
      <c r="G2965">
        <v>4</v>
      </c>
      <c r="H2965" t="s">
        <v>133</v>
      </c>
      <c r="I2965" s="2">
        <v>7000</v>
      </c>
    </row>
    <row r="2966" spans="1:9" x14ac:dyDescent="0.3">
      <c r="A2966" s="5">
        <v>8193</v>
      </c>
      <c r="B2966" s="5" t="s">
        <v>4548</v>
      </c>
      <c r="C2966" s="5">
        <v>1</v>
      </c>
      <c r="D2966" s="5" t="s">
        <v>10</v>
      </c>
      <c r="E2966" t="s">
        <v>4549</v>
      </c>
      <c r="F2966" t="s">
        <v>4550</v>
      </c>
      <c r="G2966">
        <v>4</v>
      </c>
      <c r="H2966" t="s">
        <v>139</v>
      </c>
      <c r="I2966" s="2">
        <v>7000</v>
      </c>
    </row>
    <row r="2967" spans="1:9" x14ac:dyDescent="0.3">
      <c r="A2967" s="5">
        <v>8193</v>
      </c>
      <c r="B2967" s="5" t="s">
        <v>4548</v>
      </c>
      <c r="C2967" s="5">
        <v>1</v>
      </c>
      <c r="D2967" s="5" t="s">
        <v>10</v>
      </c>
      <c r="E2967" t="s">
        <v>4549</v>
      </c>
      <c r="F2967" t="s">
        <v>4550</v>
      </c>
      <c r="G2967">
        <v>4</v>
      </c>
      <c r="H2967" t="s">
        <v>4551</v>
      </c>
      <c r="I2967" s="2">
        <v>51000</v>
      </c>
    </row>
    <row r="2968" spans="1:9" x14ac:dyDescent="0.3">
      <c r="A2968" s="5">
        <v>8192</v>
      </c>
      <c r="B2968" s="5" t="s">
        <v>4552</v>
      </c>
      <c r="C2968" s="5">
        <v>5</v>
      </c>
      <c r="D2968" s="5" t="s">
        <v>63</v>
      </c>
      <c r="E2968" t="s">
        <v>4553</v>
      </c>
      <c r="F2968" t="s">
        <v>4554</v>
      </c>
      <c r="G2968">
        <v>3</v>
      </c>
      <c r="H2968" t="s">
        <v>67</v>
      </c>
      <c r="I2968" s="2">
        <v>8000</v>
      </c>
    </row>
    <row r="2969" spans="1:9" x14ac:dyDescent="0.3">
      <c r="A2969" s="5">
        <v>8192</v>
      </c>
      <c r="B2969" s="5" t="s">
        <v>4552</v>
      </c>
      <c r="C2969" s="5">
        <v>5</v>
      </c>
      <c r="D2969" s="5" t="s">
        <v>63</v>
      </c>
      <c r="E2969" t="s">
        <v>4553</v>
      </c>
      <c r="F2969" t="s">
        <v>4554</v>
      </c>
      <c r="G2969">
        <v>3</v>
      </c>
      <c r="H2969" t="s">
        <v>88</v>
      </c>
      <c r="I2969" s="2">
        <v>25000</v>
      </c>
    </row>
    <row r="2970" spans="1:9" x14ac:dyDescent="0.3">
      <c r="A2970" s="5">
        <v>8191</v>
      </c>
      <c r="B2970" s="5" t="s">
        <v>4555</v>
      </c>
      <c r="C2970" s="5">
        <v>1</v>
      </c>
      <c r="D2970" s="5" t="s">
        <v>10</v>
      </c>
      <c r="E2970" t="s">
        <v>4556</v>
      </c>
      <c r="F2970" t="s">
        <v>4557</v>
      </c>
      <c r="G2970">
        <v>3</v>
      </c>
      <c r="H2970" t="s">
        <v>4558</v>
      </c>
      <c r="I2970" s="2">
        <v>13000</v>
      </c>
    </row>
    <row r="2971" spans="1:9" x14ac:dyDescent="0.3">
      <c r="A2971" s="5">
        <v>8191</v>
      </c>
      <c r="B2971" s="5" t="s">
        <v>4555</v>
      </c>
      <c r="C2971" s="5">
        <v>1</v>
      </c>
      <c r="D2971" s="5" t="s">
        <v>10</v>
      </c>
      <c r="E2971" t="s">
        <v>4556</v>
      </c>
      <c r="F2971" t="s">
        <v>4557</v>
      </c>
      <c r="G2971">
        <v>3</v>
      </c>
      <c r="H2971" t="s">
        <v>4559</v>
      </c>
      <c r="I2971" s="2">
        <v>12000</v>
      </c>
    </row>
    <row r="2972" spans="1:9" x14ac:dyDescent="0.3">
      <c r="A2972" s="5">
        <v>8188</v>
      </c>
      <c r="B2972" s="5" t="s">
        <v>4560</v>
      </c>
      <c r="C2972" s="5">
        <v>1</v>
      </c>
      <c r="D2972" s="5" t="s">
        <v>10</v>
      </c>
      <c r="E2972" t="s">
        <v>4561</v>
      </c>
      <c r="F2972" t="s">
        <v>4562</v>
      </c>
      <c r="G2972">
        <v>7</v>
      </c>
      <c r="H2972" t="s">
        <v>21</v>
      </c>
      <c r="I2972" s="2">
        <v>5000</v>
      </c>
    </row>
    <row r="2973" spans="1:9" x14ac:dyDescent="0.3">
      <c r="A2973" s="5">
        <v>8188</v>
      </c>
      <c r="B2973" s="5" t="s">
        <v>4560</v>
      </c>
      <c r="C2973" s="5">
        <v>1</v>
      </c>
      <c r="D2973" s="5" t="s">
        <v>10</v>
      </c>
      <c r="E2973" t="s">
        <v>4561</v>
      </c>
      <c r="F2973" t="s">
        <v>4562</v>
      </c>
      <c r="G2973">
        <v>7</v>
      </c>
      <c r="H2973" t="s">
        <v>20</v>
      </c>
      <c r="I2973" s="2">
        <v>5000</v>
      </c>
    </row>
    <row r="2974" spans="1:9" x14ac:dyDescent="0.3">
      <c r="A2974" s="5">
        <v>8180</v>
      </c>
      <c r="B2974" s="5" t="s">
        <v>4563</v>
      </c>
      <c r="C2974" s="5">
        <v>1</v>
      </c>
      <c r="D2974" s="5" t="s">
        <v>10</v>
      </c>
      <c r="E2974" t="s">
        <v>4564</v>
      </c>
      <c r="F2974" t="s">
        <v>4565</v>
      </c>
      <c r="G2974">
        <v>3</v>
      </c>
      <c r="H2974" t="s">
        <v>133</v>
      </c>
      <c r="I2974" s="2">
        <v>7000</v>
      </c>
    </row>
    <row r="2975" spans="1:9" x14ac:dyDescent="0.3">
      <c r="A2975" s="5">
        <v>8180</v>
      </c>
      <c r="B2975" s="5" t="s">
        <v>4563</v>
      </c>
      <c r="C2975" s="5">
        <v>1</v>
      </c>
      <c r="D2975" s="5" t="s">
        <v>10</v>
      </c>
      <c r="E2975" t="s">
        <v>4564</v>
      </c>
      <c r="F2975" t="s">
        <v>4565</v>
      </c>
      <c r="G2975">
        <v>3</v>
      </c>
      <c r="H2975" t="s">
        <v>139</v>
      </c>
      <c r="I2975" s="2">
        <v>7000</v>
      </c>
    </row>
    <row r="2976" spans="1:9" x14ac:dyDescent="0.3">
      <c r="A2976" s="5">
        <v>8180</v>
      </c>
      <c r="B2976" s="5" t="s">
        <v>4563</v>
      </c>
      <c r="C2976" s="5">
        <v>1</v>
      </c>
      <c r="D2976" s="5" t="s">
        <v>10</v>
      </c>
      <c r="E2976" t="s">
        <v>4564</v>
      </c>
      <c r="F2976" t="s">
        <v>4565</v>
      </c>
      <c r="G2976">
        <v>3</v>
      </c>
      <c r="H2976" t="s">
        <v>126</v>
      </c>
      <c r="I2976" s="2">
        <v>7000</v>
      </c>
    </row>
    <row r="2977" spans="1:9" x14ac:dyDescent="0.3">
      <c r="A2977" s="5">
        <v>8178</v>
      </c>
      <c r="B2977" s="5" t="s">
        <v>4566</v>
      </c>
      <c r="C2977" s="5">
        <v>1</v>
      </c>
      <c r="D2977" s="5" t="s">
        <v>10</v>
      </c>
      <c r="E2977" t="s">
        <v>4567</v>
      </c>
      <c r="F2977" t="s">
        <v>4568</v>
      </c>
      <c r="G2977">
        <v>3</v>
      </c>
      <c r="H2977" t="s">
        <v>139</v>
      </c>
      <c r="I2977" s="2">
        <v>5000</v>
      </c>
    </row>
    <row r="2978" spans="1:9" x14ac:dyDescent="0.3">
      <c r="A2978" s="5">
        <v>8178</v>
      </c>
      <c r="B2978" s="5" t="s">
        <v>4566</v>
      </c>
      <c r="C2978" s="5">
        <v>1</v>
      </c>
      <c r="D2978" s="5" t="s">
        <v>10</v>
      </c>
      <c r="E2978" t="s">
        <v>4567</v>
      </c>
      <c r="F2978" t="s">
        <v>4568</v>
      </c>
      <c r="G2978">
        <v>3</v>
      </c>
      <c r="H2978" t="s">
        <v>13</v>
      </c>
      <c r="I2978" s="2">
        <v>12000</v>
      </c>
    </row>
    <row r="2979" spans="1:9" x14ac:dyDescent="0.3">
      <c r="A2979" s="5">
        <v>8178</v>
      </c>
      <c r="B2979" s="5" t="s">
        <v>4566</v>
      </c>
      <c r="C2979" s="5">
        <v>1</v>
      </c>
      <c r="D2979" s="5" t="s">
        <v>10</v>
      </c>
      <c r="E2979" t="s">
        <v>4567</v>
      </c>
      <c r="F2979" t="s">
        <v>4568</v>
      </c>
      <c r="G2979">
        <v>3</v>
      </c>
      <c r="H2979" t="s">
        <v>126</v>
      </c>
      <c r="I2979" s="2">
        <v>6000</v>
      </c>
    </row>
    <row r="2980" spans="1:9" x14ac:dyDescent="0.3">
      <c r="A2980" s="5">
        <v>8177</v>
      </c>
      <c r="B2980" s="5" t="s">
        <v>4569</v>
      </c>
      <c r="C2980" s="5">
        <v>2</v>
      </c>
      <c r="D2980" s="5" t="s">
        <v>261</v>
      </c>
      <c r="E2980" t="s">
        <v>4570</v>
      </c>
      <c r="F2980" t="s">
        <v>4571</v>
      </c>
      <c r="G2980">
        <v>3</v>
      </c>
      <c r="H2980" t="s">
        <v>642</v>
      </c>
      <c r="I2980" s="2">
        <v>4500</v>
      </c>
    </row>
    <row r="2981" spans="1:9" x14ac:dyDescent="0.3">
      <c r="A2981" s="5">
        <v>8177</v>
      </c>
      <c r="B2981" s="5" t="s">
        <v>4569</v>
      </c>
      <c r="C2981" s="5">
        <v>2</v>
      </c>
      <c r="D2981" s="5" t="s">
        <v>261</v>
      </c>
      <c r="E2981" t="s">
        <v>4570</v>
      </c>
      <c r="F2981" t="s">
        <v>4571</v>
      </c>
      <c r="G2981">
        <v>3</v>
      </c>
      <c r="H2981" t="s">
        <v>265</v>
      </c>
      <c r="I2981" s="2">
        <v>6000</v>
      </c>
    </row>
    <row r="2982" spans="1:9" x14ac:dyDescent="0.3">
      <c r="A2982" s="5">
        <v>8177</v>
      </c>
      <c r="B2982" s="5" t="s">
        <v>4569</v>
      </c>
      <c r="C2982" s="5">
        <v>2</v>
      </c>
      <c r="D2982" s="5" t="s">
        <v>261</v>
      </c>
      <c r="E2982" t="s">
        <v>4570</v>
      </c>
      <c r="F2982" t="s">
        <v>4571</v>
      </c>
      <c r="G2982">
        <v>3</v>
      </c>
      <c r="H2982" t="s">
        <v>2429</v>
      </c>
      <c r="I2982" s="2">
        <v>16000</v>
      </c>
    </row>
    <row r="2983" spans="1:9" x14ac:dyDescent="0.3">
      <c r="A2983" s="5">
        <v>8175</v>
      </c>
      <c r="B2983" s="5" t="s">
        <v>4572</v>
      </c>
      <c r="C2983" s="5">
        <v>2</v>
      </c>
      <c r="D2983" s="5" t="s">
        <v>261</v>
      </c>
      <c r="E2983" t="s">
        <v>4573</v>
      </c>
      <c r="F2983" t="s">
        <v>4574</v>
      </c>
      <c r="G2983">
        <v>3</v>
      </c>
      <c r="H2983" t="s">
        <v>2429</v>
      </c>
      <c r="I2983" s="2">
        <v>15000</v>
      </c>
    </row>
    <row r="2984" spans="1:9" x14ac:dyDescent="0.3">
      <c r="A2984" s="5">
        <v>8175</v>
      </c>
      <c r="B2984" s="5" t="s">
        <v>4572</v>
      </c>
      <c r="C2984" s="5">
        <v>2</v>
      </c>
      <c r="D2984" s="5" t="s">
        <v>261</v>
      </c>
      <c r="E2984" t="s">
        <v>4573</v>
      </c>
      <c r="F2984" t="s">
        <v>4574</v>
      </c>
      <c r="G2984">
        <v>3</v>
      </c>
      <c r="H2984" t="s">
        <v>264</v>
      </c>
      <c r="I2984" s="2">
        <v>4000</v>
      </c>
    </row>
    <row r="2985" spans="1:9" x14ac:dyDescent="0.3">
      <c r="A2985" s="5">
        <v>8175</v>
      </c>
      <c r="B2985" s="5" t="s">
        <v>4572</v>
      </c>
      <c r="C2985" s="5">
        <v>2</v>
      </c>
      <c r="D2985" s="5" t="s">
        <v>261</v>
      </c>
      <c r="E2985" t="s">
        <v>4573</v>
      </c>
      <c r="F2985" t="s">
        <v>4574</v>
      </c>
      <c r="G2985">
        <v>3</v>
      </c>
      <c r="H2985" t="s">
        <v>265</v>
      </c>
      <c r="I2985" s="2">
        <v>5000</v>
      </c>
    </row>
    <row r="2986" spans="1:9" x14ac:dyDescent="0.3">
      <c r="A2986" s="5">
        <v>8174</v>
      </c>
      <c r="B2986" s="5" t="s">
        <v>129</v>
      </c>
      <c r="C2986" s="5">
        <v>1</v>
      </c>
      <c r="D2986" s="5" t="s">
        <v>10</v>
      </c>
      <c r="E2986" t="s">
        <v>4575</v>
      </c>
      <c r="F2986" t="s">
        <v>4576</v>
      </c>
      <c r="G2986">
        <v>5</v>
      </c>
      <c r="H2986" t="s">
        <v>126</v>
      </c>
      <c r="I2986" s="2">
        <v>5000</v>
      </c>
    </row>
    <row r="2987" spans="1:9" x14ac:dyDescent="0.3">
      <c r="A2987" s="5">
        <v>8174</v>
      </c>
      <c r="B2987" s="5" t="s">
        <v>129</v>
      </c>
      <c r="C2987" s="5">
        <v>1</v>
      </c>
      <c r="D2987" s="5" t="s">
        <v>10</v>
      </c>
      <c r="E2987" t="s">
        <v>4575</v>
      </c>
      <c r="F2987" t="s">
        <v>4576</v>
      </c>
      <c r="G2987">
        <v>5</v>
      </c>
      <c r="H2987" t="s">
        <v>139</v>
      </c>
      <c r="I2987" s="2">
        <v>5000</v>
      </c>
    </row>
    <row r="2988" spans="1:9" x14ac:dyDescent="0.3">
      <c r="A2988" s="5">
        <v>8173</v>
      </c>
      <c r="B2988" s="5" t="s">
        <v>4577</v>
      </c>
      <c r="C2988" s="5">
        <v>1</v>
      </c>
      <c r="D2988" s="5" t="s">
        <v>10</v>
      </c>
      <c r="E2988" t="s">
        <v>4578</v>
      </c>
      <c r="F2988" t="s">
        <v>4579</v>
      </c>
      <c r="G2988">
        <v>3</v>
      </c>
      <c r="H2988" t="s">
        <v>1754</v>
      </c>
      <c r="I2988" s="2">
        <v>8000</v>
      </c>
    </row>
    <row r="2989" spans="1:9" x14ac:dyDescent="0.3">
      <c r="A2989" s="5">
        <v>8173</v>
      </c>
      <c r="B2989" s="5" t="s">
        <v>4577</v>
      </c>
      <c r="C2989" s="5">
        <v>1</v>
      </c>
      <c r="D2989" s="5" t="s">
        <v>10</v>
      </c>
      <c r="E2989" t="s">
        <v>4578</v>
      </c>
      <c r="F2989" t="s">
        <v>4579</v>
      </c>
      <c r="G2989">
        <v>3</v>
      </c>
      <c r="H2989" t="s">
        <v>126</v>
      </c>
      <c r="I2989" s="2">
        <v>8000</v>
      </c>
    </row>
    <row r="2990" spans="1:9" x14ac:dyDescent="0.3">
      <c r="A2990" s="5">
        <v>8171</v>
      </c>
      <c r="B2990" s="5" t="s">
        <v>4580</v>
      </c>
      <c r="C2990" s="5">
        <v>1</v>
      </c>
      <c r="D2990" s="5" t="s">
        <v>10</v>
      </c>
      <c r="E2990" t="s">
        <v>4581</v>
      </c>
      <c r="F2990" t="s">
        <v>4582</v>
      </c>
      <c r="G2990">
        <v>106</v>
      </c>
      <c r="H2990" t="s">
        <v>1042</v>
      </c>
      <c r="I2990" s="2">
        <v>8000</v>
      </c>
    </row>
    <row r="2991" spans="1:9" x14ac:dyDescent="0.3">
      <c r="A2991" s="5">
        <v>8171</v>
      </c>
      <c r="B2991" s="5" t="s">
        <v>4580</v>
      </c>
      <c r="C2991" s="5">
        <v>1</v>
      </c>
      <c r="D2991" s="5" t="s">
        <v>10</v>
      </c>
      <c r="E2991" t="s">
        <v>4581</v>
      </c>
      <c r="F2991" t="s">
        <v>4582</v>
      </c>
      <c r="G2991">
        <v>106</v>
      </c>
      <c r="H2991" t="s">
        <v>21</v>
      </c>
      <c r="I2991" s="2">
        <v>6000</v>
      </c>
    </row>
    <row r="2992" spans="1:9" x14ac:dyDescent="0.3">
      <c r="A2992" s="5">
        <v>8170</v>
      </c>
      <c r="B2992" s="5" t="s">
        <v>4583</v>
      </c>
      <c r="C2992" s="5">
        <v>1</v>
      </c>
      <c r="D2992" s="5" t="s">
        <v>10</v>
      </c>
      <c r="E2992" t="s">
        <v>4584</v>
      </c>
      <c r="F2992" t="s">
        <v>4585</v>
      </c>
      <c r="G2992">
        <v>3</v>
      </c>
      <c r="H2992" t="s">
        <v>217</v>
      </c>
      <c r="I2992" s="2">
        <v>11000</v>
      </c>
    </row>
    <row r="2993" spans="1:9" x14ac:dyDescent="0.3">
      <c r="A2993" s="5">
        <v>8170</v>
      </c>
      <c r="B2993" s="5" t="s">
        <v>4583</v>
      </c>
      <c r="C2993" s="5">
        <v>1</v>
      </c>
      <c r="D2993" s="5" t="s">
        <v>10</v>
      </c>
      <c r="E2993" t="s">
        <v>4584</v>
      </c>
      <c r="F2993" t="s">
        <v>4585</v>
      </c>
      <c r="G2993">
        <v>3</v>
      </c>
      <c r="H2993" t="s">
        <v>1042</v>
      </c>
      <c r="I2993" s="2">
        <v>4000</v>
      </c>
    </row>
    <row r="2994" spans="1:9" x14ac:dyDescent="0.3">
      <c r="A2994" s="5">
        <v>8165</v>
      </c>
      <c r="B2994" s="5" t="s">
        <v>4586</v>
      </c>
      <c r="C2994" s="5">
        <v>5</v>
      </c>
      <c r="D2994" s="5" t="s">
        <v>63</v>
      </c>
      <c r="E2994" t="s">
        <v>4587</v>
      </c>
      <c r="F2994" t="s">
        <v>4588</v>
      </c>
      <c r="G2994">
        <v>3</v>
      </c>
      <c r="H2994" t="s">
        <v>673</v>
      </c>
      <c r="I2994" s="2">
        <v>7000</v>
      </c>
    </row>
    <row r="2995" spans="1:9" x14ac:dyDescent="0.3">
      <c r="A2995" s="5">
        <v>8165</v>
      </c>
      <c r="B2995" s="5" t="s">
        <v>4586</v>
      </c>
      <c r="C2995" s="5">
        <v>5</v>
      </c>
      <c r="D2995" s="5" t="s">
        <v>63</v>
      </c>
      <c r="E2995" t="s">
        <v>4587</v>
      </c>
      <c r="F2995" t="s">
        <v>4588</v>
      </c>
      <c r="G2995">
        <v>3</v>
      </c>
      <c r="H2995" t="s">
        <v>4589</v>
      </c>
      <c r="I2995" s="2">
        <v>20000</v>
      </c>
    </row>
    <row r="2996" spans="1:9" x14ac:dyDescent="0.3">
      <c r="A2996" s="5">
        <v>8148</v>
      </c>
      <c r="B2996" s="5" t="s">
        <v>4590</v>
      </c>
      <c r="C2996" s="5">
        <v>1</v>
      </c>
      <c r="D2996" s="5" t="s">
        <v>10</v>
      </c>
      <c r="E2996" t="s">
        <v>4591</v>
      </c>
      <c r="F2996" t="s">
        <v>4592</v>
      </c>
      <c r="G2996">
        <v>5</v>
      </c>
      <c r="H2996" t="s">
        <v>128</v>
      </c>
      <c r="I2996" s="2">
        <v>8000</v>
      </c>
    </row>
    <row r="2997" spans="1:9" x14ac:dyDescent="0.3">
      <c r="A2997" s="5">
        <v>8148</v>
      </c>
      <c r="B2997" s="5" t="s">
        <v>4590</v>
      </c>
      <c r="C2997" s="5">
        <v>1</v>
      </c>
      <c r="D2997" s="5" t="s">
        <v>10</v>
      </c>
      <c r="E2997" t="s">
        <v>4591</v>
      </c>
      <c r="F2997" t="s">
        <v>4592</v>
      </c>
      <c r="G2997">
        <v>5</v>
      </c>
      <c r="H2997" t="s">
        <v>1087</v>
      </c>
      <c r="I2997" s="2">
        <v>8000</v>
      </c>
    </row>
    <row r="2998" spans="1:9" x14ac:dyDescent="0.3">
      <c r="A2998" s="5">
        <v>8148</v>
      </c>
      <c r="B2998" s="5" t="s">
        <v>4590</v>
      </c>
      <c r="C2998" s="5">
        <v>1</v>
      </c>
      <c r="D2998" s="5" t="s">
        <v>10</v>
      </c>
      <c r="E2998" t="s">
        <v>4591</v>
      </c>
      <c r="F2998" t="s">
        <v>4592</v>
      </c>
      <c r="G2998">
        <v>5</v>
      </c>
      <c r="H2998" t="s">
        <v>128</v>
      </c>
      <c r="I2998" s="2">
        <v>8000</v>
      </c>
    </row>
    <row r="2999" spans="1:9" x14ac:dyDescent="0.3">
      <c r="A2999" s="5">
        <v>8148</v>
      </c>
      <c r="B2999" s="5" t="s">
        <v>4590</v>
      </c>
      <c r="C2999" s="5">
        <v>1</v>
      </c>
      <c r="D2999" s="5" t="s">
        <v>10</v>
      </c>
      <c r="E2999" t="s">
        <v>4591</v>
      </c>
      <c r="F2999" t="s">
        <v>4592</v>
      </c>
      <c r="G2999">
        <v>5</v>
      </c>
      <c r="H2999" t="s">
        <v>139</v>
      </c>
      <c r="I2999" s="2">
        <v>8000</v>
      </c>
    </row>
    <row r="3000" spans="1:9" x14ac:dyDescent="0.3">
      <c r="A3000" s="5">
        <v>8148</v>
      </c>
      <c r="B3000" s="5" t="s">
        <v>4590</v>
      </c>
      <c r="C3000" s="5">
        <v>1</v>
      </c>
      <c r="D3000" s="5" t="s">
        <v>10</v>
      </c>
      <c r="E3000" t="s">
        <v>4591</v>
      </c>
      <c r="F3000" t="s">
        <v>4592</v>
      </c>
      <c r="G3000">
        <v>5</v>
      </c>
      <c r="H3000" t="s">
        <v>126</v>
      </c>
      <c r="I3000" s="2">
        <v>8000</v>
      </c>
    </row>
    <row r="3001" spans="1:9" x14ac:dyDescent="0.3">
      <c r="A3001" s="5">
        <v>8148</v>
      </c>
      <c r="B3001" s="5" t="s">
        <v>4590</v>
      </c>
      <c r="C3001" s="5">
        <v>1</v>
      </c>
      <c r="D3001" s="5" t="s">
        <v>10</v>
      </c>
      <c r="E3001" t="s">
        <v>4591</v>
      </c>
      <c r="F3001" t="s">
        <v>4592</v>
      </c>
      <c r="G3001">
        <v>5</v>
      </c>
      <c r="H3001" t="s">
        <v>149</v>
      </c>
      <c r="I3001" s="2">
        <v>8000</v>
      </c>
    </row>
    <row r="3002" spans="1:9" x14ac:dyDescent="0.3">
      <c r="A3002" s="5">
        <v>8148</v>
      </c>
      <c r="B3002" s="5" t="s">
        <v>4590</v>
      </c>
      <c r="C3002" s="5">
        <v>1</v>
      </c>
      <c r="D3002" s="5" t="s">
        <v>10</v>
      </c>
      <c r="E3002" t="s">
        <v>4591</v>
      </c>
      <c r="F3002" t="s">
        <v>4592</v>
      </c>
      <c r="G3002">
        <v>5</v>
      </c>
      <c r="H3002" t="s">
        <v>149</v>
      </c>
      <c r="I3002" s="2">
        <v>8000</v>
      </c>
    </row>
    <row r="3003" spans="1:9" x14ac:dyDescent="0.3">
      <c r="A3003" s="5">
        <v>8140</v>
      </c>
      <c r="B3003" s="5" t="s">
        <v>4593</v>
      </c>
      <c r="C3003" s="5">
        <v>1</v>
      </c>
      <c r="D3003" s="5" t="s">
        <v>10</v>
      </c>
      <c r="E3003" t="s">
        <v>4594</v>
      </c>
      <c r="F3003" t="s">
        <v>4595</v>
      </c>
      <c r="G3003">
        <v>7</v>
      </c>
      <c r="H3003" t="s">
        <v>139</v>
      </c>
      <c r="I3003" s="2">
        <v>4900</v>
      </c>
    </row>
    <row r="3004" spans="1:9" x14ac:dyDescent="0.3">
      <c r="A3004" s="5">
        <v>8140</v>
      </c>
      <c r="B3004" s="5" t="s">
        <v>4593</v>
      </c>
      <c r="C3004" s="5">
        <v>1</v>
      </c>
      <c r="D3004" s="5" t="s">
        <v>10</v>
      </c>
      <c r="E3004" t="s">
        <v>4594</v>
      </c>
      <c r="F3004" t="s">
        <v>4595</v>
      </c>
      <c r="G3004">
        <v>7</v>
      </c>
      <c r="H3004" t="s">
        <v>188</v>
      </c>
      <c r="I3004" s="2">
        <v>5000</v>
      </c>
    </row>
    <row r="3005" spans="1:9" x14ac:dyDescent="0.3">
      <c r="A3005" s="5">
        <v>8137</v>
      </c>
      <c r="B3005" s="5" t="s">
        <v>4596</v>
      </c>
      <c r="C3005" s="5">
        <v>1</v>
      </c>
      <c r="D3005" s="5" t="s">
        <v>10</v>
      </c>
      <c r="E3005" t="s">
        <v>4597</v>
      </c>
      <c r="F3005" t="s">
        <v>4598</v>
      </c>
      <c r="G3005">
        <v>3</v>
      </c>
      <c r="H3005" t="s">
        <v>259</v>
      </c>
      <c r="I3005" s="2">
        <v>7000</v>
      </c>
    </row>
    <row r="3006" spans="1:9" x14ac:dyDescent="0.3">
      <c r="A3006" s="5">
        <v>8137</v>
      </c>
      <c r="B3006" s="5" t="s">
        <v>4596</v>
      </c>
      <c r="C3006" s="5">
        <v>1</v>
      </c>
      <c r="D3006" s="5" t="s">
        <v>10</v>
      </c>
      <c r="E3006" t="s">
        <v>4597</v>
      </c>
      <c r="F3006" t="s">
        <v>4598</v>
      </c>
      <c r="G3006">
        <v>3</v>
      </c>
      <c r="H3006" t="s">
        <v>352</v>
      </c>
      <c r="I3006" s="2">
        <v>13000</v>
      </c>
    </row>
    <row r="3007" spans="1:9" x14ac:dyDescent="0.3">
      <c r="A3007" s="5">
        <v>8136</v>
      </c>
      <c r="B3007" s="5" t="s">
        <v>4599</v>
      </c>
      <c r="C3007" s="5">
        <v>4</v>
      </c>
      <c r="D3007" s="5" t="s">
        <v>39</v>
      </c>
      <c r="E3007" t="s">
        <v>4600</v>
      </c>
      <c r="F3007" t="s">
        <v>4601</v>
      </c>
      <c r="G3007">
        <v>7</v>
      </c>
      <c r="H3007" t="s">
        <v>4602</v>
      </c>
      <c r="I3007" s="2">
        <v>18000</v>
      </c>
    </row>
    <row r="3008" spans="1:9" x14ac:dyDescent="0.3">
      <c r="A3008" s="5">
        <v>8136</v>
      </c>
      <c r="B3008" s="5" t="s">
        <v>4599</v>
      </c>
      <c r="C3008" s="5">
        <v>4</v>
      </c>
      <c r="D3008" s="5" t="s">
        <v>39</v>
      </c>
      <c r="E3008" t="s">
        <v>4600</v>
      </c>
      <c r="F3008" t="s">
        <v>4601</v>
      </c>
      <c r="G3008">
        <v>7</v>
      </c>
      <c r="H3008" t="s">
        <v>4603</v>
      </c>
      <c r="I3008" s="2">
        <v>18000</v>
      </c>
    </row>
    <row r="3009" spans="1:9" x14ac:dyDescent="0.3">
      <c r="A3009" s="5">
        <v>8136</v>
      </c>
      <c r="B3009" s="5" t="s">
        <v>4599</v>
      </c>
      <c r="C3009" s="5">
        <v>4</v>
      </c>
      <c r="D3009" s="5" t="s">
        <v>39</v>
      </c>
      <c r="E3009" t="s">
        <v>4600</v>
      </c>
      <c r="F3009" t="s">
        <v>4601</v>
      </c>
      <c r="G3009">
        <v>7</v>
      </c>
      <c r="H3009" t="s">
        <v>4604</v>
      </c>
      <c r="I3009" s="2">
        <v>17000</v>
      </c>
    </row>
    <row r="3010" spans="1:9" x14ac:dyDescent="0.3">
      <c r="A3010" s="5">
        <v>8136</v>
      </c>
      <c r="B3010" s="5" t="s">
        <v>4599</v>
      </c>
      <c r="C3010" s="5">
        <v>4</v>
      </c>
      <c r="D3010" s="5" t="s">
        <v>39</v>
      </c>
      <c r="E3010" t="s">
        <v>4600</v>
      </c>
      <c r="F3010" t="s">
        <v>4601</v>
      </c>
      <c r="G3010">
        <v>7</v>
      </c>
      <c r="H3010" t="s">
        <v>4605</v>
      </c>
      <c r="I3010" s="2">
        <v>19000</v>
      </c>
    </row>
    <row r="3011" spans="1:9" x14ac:dyDescent="0.3">
      <c r="A3011" s="5">
        <v>8136</v>
      </c>
      <c r="B3011" s="5" t="s">
        <v>4599</v>
      </c>
      <c r="C3011" s="5">
        <v>4</v>
      </c>
      <c r="D3011" s="5" t="s">
        <v>39</v>
      </c>
      <c r="E3011" t="s">
        <v>4600</v>
      </c>
      <c r="F3011" t="s">
        <v>4601</v>
      </c>
      <c r="G3011">
        <v>7</v>
      </c>
      <c r="H3011" t="s">
        <v>1562</v>
      </c>
      <c r="I3011" s="2">
        <v>18000</v>
      </c>
    </row>
    <row r="3012" spans="1:9" x14ac:dyDescent="0.3">
      <c r="A3012" s="5">
        <v>8134</v>
      </c>
      <c r="B3012" s="5" t="s">
        <v>4606</v>
      </c>
      <c r="C3012" s="5">
        <v>1</v>
      </c>
      <c r="D3012" s="5" t="s">
        <v>10</v>
      </c>
      <c r="E3012" t="s">
        <v>4607</v>
      </c>
      <c r="F3012" t="s">
        <v>4608</v>
      </c>
      <c r="G3012">
        <v>5</v>
      </c>
      <c r="H3012" t="s">
        <v>21</v>
      </c>
      <c r="I3012" s="2">
        <v>6000</v>
      </c>
    </row>
    <row r="3013" spans="1:9" x14ac:dyDescent="0.3">
      <c r="A3013" s="5">
        <v>8134</v>
      </c>
      <c r="B3013" s="5" t="s">
        <v>4606</v>
      </c>
      <c r="C3013" s="5">
        <v>1</v>
      </c>
      <c r="D3013" s="5" t="s">
        <v>10</v>
      </c>
      <c r="E3013" t="s">
        <v>4607</v>
      </c>
      <c r="F3013" t="s">
        <v>4608</v>
      </c>
      <c r="G3013">
        <v>5</v>
      </c>
      <c r="H3013" t="s">
        <v>37</v>
      </c>
      <c r="I3013" s="2">
        <v>6000</v>
      </c>
    </row>
    <row r="3014" spans="1:9" x14ac:dyDescent="0.3">
      <c r="A3014" s="5">
        <v>8127</v>
      </c>
      <c r="B3014" s="5" t="s">
        <v>4609</v>
      </c>
      <c r="C3014" s="5">
        <v>2</v>
      </c>
      <c r="D3014" s="5" t="s">
        <v>261</v>
      </c>
      <c r="E3014" t="s">
        <v>4610</v>
      </c>
      <c r="F3014" t="s">
        <v>4611</v>
      </c>
      <c r="G3014">
        <v>3</v>
      </c>
      <c r="H3014" t="s">
        <v>265</v>
      </c>
      <c r="I3014" s="2">
        <v>6500</v>
      </c>
    </row>
    <row r="3015" spans="1:9" x14ac:dyDescent="0.3">
      <c r="A3015" s="5">
        <v>8127</v>
      </c>
      <c r="B3015" s="5" t="s">
        <v>4609</v>
      </c>
      <c r="C3015" s="5">
        <v>2</v>
      </c>
      <c r="D3015" s="5" t="s">
        <v>261</v>
      </c>
      <c r="E3015" t="s">
        <v>4610</v>
      </c>
      <c r="F3015" t="s">
        <v>4611</v>
      </c>
      <c r="G3015">
        <v>3</v>
      </c>
      <c r="H3015" t="s">
        <v>1234</v>
      </c>
      <c r="I3015" s="2">
        <v>11000</v>
      </c>
    </row>
    <row r="3016" spans="1:9" x14ac:dyDescent="0.3">
      <c r="A3016" s="5">
        <v>8127</v>
      </c>
      <c r="B3016" s="5" t="s">
        <v>4609</v>
      </c>
      <c r="C3016" s="5">
        <v>2</v>
      </c>
      <c r="D3016" s="5" t="s">
        <v>261</v>
      </c>
      <c r="E3016" t="s">
        <v>4610</v>
      </c>
      <c r="F3016" t="s">
        <v>4611</v>
      </c>
      <c r="G3016">
        <v>3</v>
      </c>
      <c r="H3016" t="s">
        <v>264</v>
      </c>
      <c r="I3016" s="2">
        <v>6000</v>
      </c>
    </row>
    <row r="3017" spans="1:9" x14ac:dyDescent="0.3">
      <c r="A3017" s="5">
        <v>8126</v>
      </c>
      <c r="B3017" s="5" t="s">
        <v>4612</v>
      </c>
      <c r="C3017" s="5">
        <v>1</v>
      </c>
      <c r="D3017" s="5" t="s">
        <v>10</v>
      </c>
      <c r="E3017" t="s">
        <v>4613</v>
      </c>
      <c r="F3017" t="s">
        <v>4614</v>
      </c>
      <c r="G3017">
        <v>3</v>
      </c>
      <c r="H3017" t="s">
        <v>153</v>
      </c>
      <c r="I3017" s="2">
        <v>9000</v>
      </c>
    </row>
    <row r="3018" spans="1:9" x14ac:dyDescent="0.3">
      <c r="A3018" s="5">
        <v>8126</v>
      </c>
      <c r="B3018" s="5" t="s">
        <v>4612</v>
      </c>
      <c r="C3018" s="5">
        <v>1</v>
      </c>
      <c r="D3018" s="5" t="s">
        <v>10</v>
      </c>
      <c r="E3018" t="s">
        <v>4613</v>
      </c>
      <c r="F3018" t="s">
        <v>4614</v>
      </c>
      <c r="G3018">
        <v>3</v>
      </c>
      <c r="H3018" t="s">
        <v>35</v>
      </c>
      <c r="I3018" s="2">
        <v>9000</v>
      </c>
    </row>
    <row r="3019" spans="1:9" x14ac:dyDescent="0.3">
      <c r="A3019" s="5">
        <v>8126</v>
      </c>
      <c r="B3019" s="5" t="s">
        <v>4612</v>
      </c>
      <c r="C3019" s="5">
        <v>1</v>
      </c>
      <c r="D3019" s="5" t="s">
        <v>10</v>
      </c>
      <c r="E3019" t="s">
        <v>4613</v>
      </c>
      <c r="F3019" t="s">
        <v>4614</v>
      </c>
      <c r="G3019">
        <v>3</v>
      </c>
      <c r="H3019" t="s">
        <v>189</v>
      </c>
      <c r="I3019" s="2">
        <v>11000</v>
      </c>
    </row>
    <row r="3020" spans="1:9" x14ac:dyDescent="0.3">
      <c r="A3020" s="5">
        <v>8123</v>
      </c>
      <c r="B3020" s="5" t="s">
        <v>4615</v>
      </c>
      <c r="C3020" s="5">
        <v>1</v>
      </c>
      <c r="D3020" s="5" t="s">
        <v>10</v>
      </c>
      <c r="E3020" t="s">
        <v>4616</v>
      </c>
      <c r="F3020" t="s">
        <v>4617</v>
      </c>
      <c r="G3020">
        <v>3</v>
      </c>
      <c r="H3020" t="s">
        <v>4618</v>
      </c>
      <c r="I3020" s="2">
        <v>25000</v>
      </c>
    </row>
    <row r="3021" spans="1:9" x14ac:dyDescent="0.3">
      <c r="A3021" s="5">
        <v>8122</v>
      </c>
      <c r="B3021" s="5" t="s">
        <v>4619</v>
      </c>
      <c r="C3021" s="5">
        <v>5</v>
      </c>
      <c r="D3021" s="5" t="s">
        <v>63</v>
      </c>
      <c r="E3021" t="s">
        <v>4620</v>
      </c>
      <c r="F3021" t="s">
        <v>4621</v>
      </c>
      <c r="G3021">
        <v>7</v>
      </c>
      <c r="H3021" t="s">
        <v>67</v>
      </c>
      <c r="I3021" s="2">
        <v>6000</v>
      </c>
    </row>
    <row r="3022" spans="1:9" x14ac:dyDescent="0.3">
      <c r="A3022" s="5">
        <v>8122</v>
      </c>
      <c r="B3022" s="5" t="s">
        <v>4619</v>
      </c>
      <c r="C3022" s="5">
        <v>5</v>
      </c>
      <c r="D3022" s="5" t="s">
        <v>63</v>
      </c>
      <c r="E3022" t="s">
        <v>4620</v>
      </c>
      <c r="F3022" t="s">
        <v>4621</v>
      </c>
      <c r="G3022">
        <v>7</v>
      </c>
      <c r="H3022" t="s">
        <v>4622</v>
      </c>
      <c r="I3022" s="2">
        <v>9000</v>
      </c>
    </row>
    <row r="3023" spans="1:9" x14ac:dyDescent="0.3">
      <c r="A3023" s="5">
        <v>8122</v>
      </c>
      <c r="B3023" s="5" t="s">
        <v>4619</v>
      </c>
      <c r="C3023" s="5">
        <v>5</v>
      </c>
      <c r="D3023" s="5" t="s">
        <v>63</v>
      </c>
      <c r="E3023" t="s">
        <v>4620</v>
      </c>
      <c r="F3023" t="s">
        <v>4621</v>
      </c>
      <c r="G3023">
        <v>7</v>
      </c>
      <c r="H3023" t="s">
        <v>1720</v>
      </c>
      <c r="I3023" s="2">
        <v>5000</v>
      </c>
    </row>
    <row r="3024" spans="1:9" x14ac:dyDescent="0.3">
      <c r="A3024" s="5">
        <v>8121</v>
      </c>
      <c r="B3024" s="5" t="s">
        <v>4623</v>
      </c>
      <c r="C3024" s="5">
        <v>1</v>
      </c>
      <c r="D3024" s="5" t="s">
        <v>10</v>
      </c>
      <c r="E3024" t="s">
        <v>4624</v>
      </c>
      <c r="F3024" t="s">
        <v>4625</v>
      </c>
      <c r="G3024">
        <v>3</v>
      </c>
      <c r="H3024" t="s">
        <v>37</v>
      </c>
      <c r="I3024" s="2">
        <v>3500</v>
      </c>
    </row>
    <row r="3025" spans="1:9" x14ac:dyDescent="0.3">
      <c r="A3025" s="5">
        <v>8121</v>
      </c>
      <c r="B3025" s="5" t="s">
        <v>4623</v>
      </c>
      <c r="C3025" s="5">
        <v>1</v>
      </c>
      <c r="D3025" s="5" t="s">
        <v>10</v>
      </c>
      <c r="E3025" t="s">
        <v>4624</v>
      </c>
      <c r="F3025" t="s">
        <v>4625</v>
      </c>
      <c r="G3025">
        <v>3</v>
      </c>
      <c r="H3025" t="s">
        <v>139</v>
      </c>
      <c r="I3025" s="2">
        <v>4000</v>
      </c>
    </row>
    <row r="3026" spans="1:9" x14ac:dyDescent="0.3">
      <c r="A3026" s="5">
        <v>8121</v>
      </c>
      <c r="B3026" s="5" t="s">
        <v>4623</v>
      </c>
      <c r="C3026" s="5">
        <v>1</v>
      </c>
      <c r="D3026" s="5" t="s">
        <v>10</v>
      </c>
      <c r="E3026" t="s">
        <v>4624</v>
      </c>
      <c r="F3026" t="s">
        <v>4625</v>
      </c>
      <c r="G3026">
        <v>3</v>
      </c>
      <c r="H3026" t="s">
        <v>189</v>
      </c>
      <c r="I3026" s="2">
        <v>6000</v>
      </c>
    </row>
    <row r="3027" spans="1:9" x14ac:dyDescent="0.3">
      <c r="A3027" s="5">
        <v>8119</v>
      </c>
      <c r="B3027" s="5" t="s">
        <v>4626</v>
      </c>
      <c r="C3027" s="5">
        <v>4</v>
      </c>
      <c r="D3027" s="5" t="s">
        <v>39</v>
      </c>
      <c r="E3027" t="s">
        <v>4627</v>
      </c>
      <c r="F3027" t="s">
        <v>4628</v>
      </c>
      <c r="G3027">
        <v>7</v>
      </c>
      <c r="H3027" t="s">
        <v>320</v>
      </c>
      <c r="I3027" s="2">
        <v>8000</v>
      </c>
    </row>
    <row r="3028" spans="1:9" x14ac:dyDescent="0.3">
      <c r="A3028" s="5">
        <v>8114</v>
      </c>
      <c r="B3028" s="5" t="s">
        <v>4629</v>
      </c>
      <c r="C3028" s="5">
        <v>5</v>
      </c>
      <c r="D3028" s="5" t="s">
        <v>63</v>
      </c>
      <c r="E3028" t="s">
        <v>4630</v>
      </c>
      <c r="F3028" t="s">
        <v>4631</v>
      </c>
      <c r="G3028">
        <v>3</v>
      </c>
      <c r="H3028" t="s">
        <v>67</v>
      </c>
      <c r="I3028" s="2">
        <v>7000</v>
      </c>
    </row>
    <row r="3029" spans="1:9" x14ac:dyDescent="0.3">
      <c r="A3029" s="5">
        <v>8114</v>
      </c>
      <c r="B3029" s="5" t="s">
        <v>4629</v>
      </c>
      <c r="C3029" s="5">
        <v>5</v>
      </c>
      <c r="D3029" s="5" t="s">
        <v>63</v>
      </c>
      <c r="E3029" t="s">
        <v>4630</v>
      </c>
      <c r="F3029" t="s">
        <v>4631</v>
      </c>
      <c r="G3029">
        <v>3</v>
      </c>
      <c r="H3029" t="s">
        <v>88</v>
      </c>
      <c r="I3029" s="2">
        <v>20000</v>
      </c>
    </row>
    <row r="3030" spans="1:9" x14ac:dyDescent="0.3">
      <c r="A3030" s="5">
        <v>8112</v>
      </c>
      <c r="B3030" s="5" t="s">
        <v>1331</v>
      </c>
      <c r="C3030" s="5">
        <v>5</v>
      </c>
      <c r="D3030" s="5" t="s">
        <v>63</v>
      </c>
      <c r="E3030" t="s">
        <v>4632</v>
      </c>
      <c r="F3030" t="s">
        <v>1333</v>
      </c>
      <c r="G3030">
        <v>3</v>
      </c>
      <c r="H3030" t="s">
        <v>88</v>
      </c>
      <c r="I3030" s="2">
        <v>20000</v>
      </c>
    </row>
    <row r="3031" spans="1:9" x14ac:dyDescent="0.3">
      <c r="A3031" s="5">
        <v>8112</v>
      </c>
      <c r="B3031" s="5" t="s">
        <v>1331</v>
      </c>
      <c r="C3031" s="5">
        <v>5</v>
      </c>
      <c r="D3031" s="5" t="s">
        <v>63</v>
      </c>
      <c r="E3031" t="s">
        <v>4632</v>
      </c>
      <c r="F3031" t="s">
        <v>1333</v>
      </c>
      <c r="G3031">
        <v>3</v>
      </c>
      <c r="H3031" t="s">
        <v>67</v>
      </c>
      <c r="I3031" s="2">
        <v>7000</v>
      </c>
    </row>
    <row r="3032" spans="1:9" x14ac:dyDescent="0.3">
      <c r="A3032" s="5">
        <v>8110</v>
      </c>
      <c r="B3032" s="5" t="s">
        <v>4633</v>
      </c>
      <c r="C3032" s="5">
        <v>5</v>
      </c>
      <c r="D3032" s="5" t="s">
        <v>63</v>
      </c>
      <c r="E3032" t="s">
        <v>4634</v>
      </c>
      <c r="F3032" t="s">
        <v>4635</v>
      </c>
      <c r="G3032">
        <v>3</v>
      </c>
      <c r="H3032" t="s">
        <v>3798</v>
      </c>
      <c r="I3032" s="2">
        <v>6000</v>
      </c>
    </row>
    <row r="3033" spans="1:9" x14ac:dyDescent="0.3">
      <c r="A3033" s="5">
        <v>8110</v>
      </c>
      <c r="B3033" s="5" t="s">
        <v>4633</v>
      </c>
      <c r="C3033" s="5">
        <v>5</v>
      </c>
      <c r="D3033" s="5" t="s">
        <v>63</v>
      </c>
      <c r="E3033" t="s">
        <v>4634</v>
      </c>
      <c r="F3033" t="s">
        <v>4635</v>
      </c>
      <c r="G3033">
        <v>3</v>
      </c>
      <c r="H3033" t="s">
        <v>1786</v>
      </c>
      <c r="I3033" s="2">
        <v>6000</v>
      </c>
    </row>
    <row r="3034" spans="1:9" x14ac:dyDescent="0.3">
      <c r="A3034" s="5">
        <v>8109</v>
      </c>
      <c r="B3034" s="5" t="s">
        <v>4636</v>
      </c>
      <c r="C3034" s="5">
        <v>1</v>
      </c>
      <c r="D3034" s="5" t="s">
        <v>10</v>
      </c>
      <c r="E3034" t="s">
        <v>4637</v>
      </c>
      <c r="F3034" t="s">
        <v>4638</v>
      </c>
      <c r="G3034">
        <v>4</v>
      </c>
      <c r="H3034" t="s">
        <v>21</v>
      </c>
      <c r="I3034" s="2">
        <v>5000</v>
      </c>
    </row>
    <row r="3035" spans="1:9" x14ac:dyDescent="0.3">
      <c r="A3035" s="5">
        <v>8109</v>
      </c>
      <c r="B3035" s="5" t="s">
        <v>4636</v>
      </c>
      <c r="C3035" s="5">
        <v>1</v>
      </c>
      <c r="D3035" s="5" t="s">
        <v>10</v>
      </c>
      <c r="E3035" t="s">
        <v>4637</v>
      </c>
      <c r="F3035" t="s">
        <v>4638</v>
      </c>
      <c r="G3035">
        <v>4</v>
      </c>
      <c r="H3035" t="s">
        <v>229</v>
      </c>
      <c r="I3035" s="2">
        <v>6000</v>
      </c>
    </row>
    <row r="3036" spans="1:9" x14ac:dyDescent="0.3">
      <c r="A3036" s="5">
        <v>8109</v>
      </c>
      <c r="B3036" s="5" t="s">
        <v>4636</v>
      </c>
      <c r="C3036" s="5">
        <v>1</v>
      </c>
      <c r="D3036" s="5" t="s">
        <v>10</v>
      </c>
      <c r="E3036" t="s">
        <v>4637</v>
      </c>
      <c r="F3036" t="s">
        <v>4638</v>
      </c>
      <c r="G3036">
        <v>4</v>
      </c>
      <c r="H3036" t="s">
        <v>175</v>
      </c>
      <c r="I3036" s="2">
        <v>5000</v>
      </c>
    </row>
    <row r="3037" spans="1:9" x14ac:dyDescent="0.3">
      <c r="A3037" s="5">
        <v>8104</v>
      </c>
      <c r="B3037" s="5" t="s">
        <v>4639</v>
      </c>
      <c r="C3037" s="5">
        <v>1</v>
      </c>
      <c r="D3037" s="5" t="s">
        <v>10</v>
      </c>
      <c r="E3037" t="s">
        <v>4640</v>
      </c>
      <c r="F3037" t="s">
        <v>4641</v>
      </c>
      <c r="G3037">
        <v>3</v>
      </c>
      <c r="H3037" t="s">
        <v>229</v>
      </c>
      <c r="I3037" s="2">
        <v>5500</v>
      </c>
    </row>
    <row r="3038" spans="1:9" x14ac:dyDescent="0.3">
      <c r="A3038" s="5">
        <v>8104</v>
      </c>
      <c r="B3038" s="5" t="s">
        <v>4639</v>
      </c>
      <c r="C3038" s="5">
        <v>1</v>
      </c>
      <c r="D3038" s="5" t="s">
        <v>10</v>
      </c>
      <c r="E3038" t="s">
        <v>4640</v>
      </c>
      <c r="F3038" t="s">
        <v>4641</v>
      </c>
      <c r="G3038">
        <v>3</v>
      </c>
      <c r="H3038" t="s">
        <v>139</v>
      </c>
      <c r="I3038" s="2">
        <v>5500</v>
      </c>
    </row>
    <row r="3039" spans="1:9" x14ac:dyDescent="0.3">
      <c r="A3039" s="5">
        <v>8104</v>
      </c>
      <c r="B3039" s="5" t="s">
        <v>4639</v>
      </c>
      <c r="C3039" s="5">
        <v>1</v>
      </c>
      <c r="D3039" s="5" t="s">
        <v>10</v>
      </c>
      <c r="E3039" t="s">
        <v>4640</v>
      </c>
      <c r="F3039" t="s">
        <v>4641</v>
      </c>
      <c r="G3039">
        <v>3</v>
      </c>
      <c r="H3039" t="s">
        <v>126</v>
      </c>
      <c r="I3039" s="2">
        <v>5500</v>
      </c>
    </row>
    <row r="3040" spans="1:9" x14ac:dyDescent="0.3">
      <c r="A3040" s="5">
        <v>8101</v>
      </c>
      <c r="B3040" s="5" t="s">
        <v>4642</v>
      </c>
      <c r="C3040" s="5">
        <v>5</v>
      </c>
      <c r="D3040" s="5" t="s">
        <v>63</v>
      </c>
      <c r="E3040" t="s">
        <v>4643</v>
      </c>
      <c r="F3040" t="s">
        <v>4644</v>
      </c>
      <c r="G3040">
        <v>5</v>
      </c>
      <c r="H3040" t="s">
        <v>67</v>
      </c>
      <c r="I3040" s="2">
        <v>8000</v>
      </c>
    </row>
    <row r="3041" spans="1:9" x14ac:dyDescent="0.3">
      <c r="A3041" s="5">
        <v>8097</v>
      </c>
      <c r="B3041" s="5" t="s">
        <v>4645</v>
      </c>
      <c r="C3041" s="5">
        <v>2</v>
      </c>
      <c r="D3041" s="5" t="s">
        <v>261</v>
      </c>
      <c r="E3041" t="s">
        <v>4646</v>
      </c>
      <c r="F3041" t="s">
        <v>4647</v>
      </c>
      <c r="G3041">
        <v>7</v>
      </c>
      <c r="H3041" t="s">
        <v>265</v>
      </c>
      <c r="I3041" s="2">
        <v>6000</v>
      </c>
    </row>
    <row r="3042" spans="1:9" x14ac:dyDescent="0.3">
      <c r="A3042" s="5">
        <v>8097</v>
      </c>
      <c r="B3042" s="5" t="s">
        <v>4645</v>
      </c>
      <c r="C3042" s="5">
        <v>2</v>
      </c>
      <c r="D3042" s="5" t="s">
        <v>261</v>
      </c>
      <c r="E3042" t="s">
        <v>4646</v>
      </c>
      <c r="F3042" t="s">
        <v>4647</v>
      </c>
      <c r="G3042">
        <v>7</v>
      </c>
      <c r="H3042" t="s">
        <v>4648</v>
      </c>
      <c r="I3042" s="2">
        <v>5000</v>
      </c>
    </row>
    <row r="3043" spans="1:9" x14ac:dyDescent="0.3">
      <c r="A3043" s="5">
        <v>8094</v>
      </c>
      <c r="B3043" s="5" t="s">
        <v>4649</v>
      </c>
      <c r="C3043" s="5">
        <v>5</v>
      </c>
      <c r="D3043" s="5" t="s">
        <v>63</v>
      </c>
      <c r="E3043" t="s">
        <v>4650</v>
      </c>
      <c r="F3043" t="s">
        <v>4651</v>
      </c>
      <c r="G3043">
        <v>5</v>
      </c>
      <c r="H3043" t="s">
        <v>2926</v>
      </c>
      <c r="I3043" s="2">
        <v>3000</v>
      </c>
    </row>
    <row r="3044" spans="1:9" x14ac:dyDescent="0.3">
      <c r="A3044" s="5">
        <v>8094</v>
      </c>
      <c r="B3044" s="5" t="s">
        <v>4649</v>
      </c>
      <c r="C3044" s="5">
        <v>5</v>
      </c>
      <c r="D3044" s="5" t="s">
        <v>63</v>
      </c>
      <c r="E3044" t="s">
        <v>4650</v>
      </c>
      <c r="F3044" t="s">
        <v>4651</v>
      </c>
      <c r="G3044">
        <v>5</v>
      </c>
      <c r="H3044" t="s">
        <v>4652</v>
      </c>
      <c r="I3044" s="2">
        <v>5000</v>
      </c>
    </row>
    <row r="3045" spans="1:9" x14ac:dyDescent="0.3">
      <c r="A3045" s="5">
        <v>8093</v>
      </c>
      <c r="B3045" s="5" t="s">
        <v>4653</v>
      </c>
      <c r="C3045" s="5">
        <v>5</v>
      </c>
      <c r="D3045" s="5" t="s">
        <v>63</v>
      </c>
      <c r="E3045" t="s">
        <v>4654</v>
      </c>
      <c r="F3045" t="s">
        <v>4655</v>
      </c>
      <c r="G3045">
        <v>7</v>
      </c>
      <c r="H3045" t="s">
        <v>67</v>
      </c>
      <c r="I3045" s="2">
        <v>8000</v>
      </c>
    </row>
    <row r="3046" spans="1:9" x14ac:dyDescent="0.3">
      <c r="A3046" s="5">
        <v>8093</v>
      </c>
      <c r="B3046" s="5" t="s">
        <v>4653</v>
      </c>
      <c r="C3046" s="5">
        <v>5</v>
      </c>
      <c r="D3046" s="5" t="s">
        <v>63</v>
      </c>
      <c r="E3046" t="s">
        <v>4654</v>
      </c>
      <c r="F3046" t="s">
        <v>4655</v>
      </c>
      <c r="G3046">
        <v>7</v>
      </c>
      <c r="H3046" t="s">
        <v>88</v>
      </c>
      <c r="I3046" s="2">
        <v>20000</v>
      </c>
    </row>
    <row r="3047" spans="1:9" x14ac:dyDescent="0.3">
      <c r="A3047" s="5">
        <v>8091</v>
      </c>
      <c r="B3047" s="5" t="s">
        <v>4656</v>
      </c>
      <c r="C3047" s="5">
        <v>1</v>
      </c>
      <c r="D3047" s="5" t="s">
        <v>10</v>
      </c>
      <c r="E3047" t="s">
        <v>4657</v>
      </c>
      <c r="F3047" t="s">
        <v>4658</v>
      </c>
      <c r="G3047">
        <v>3</v>
      </c>
      <c r="H3047" t="s">
        <v>2705</v>
      </c>
      <c r="I3047" s="2">
        <v>4300</v>
      </c>
    </row>
    <row r="3048" spans="1:9" x14ac:dyDescent="0.3">
      <c r="A3048" s="5">
        <v>8091</v>
      </c>
      <c r="B3048" s="5" t="s">
        <v>4656</v>
      </c>
      <c r="C3048" s="5">
        <v>1</v>
      </c>
      <c r="D3048" s="5" t="s">
        <v>10</v>
      </c>
      <c r="E3048" t="s">
        <v>4657</v>
      </c>
      <c r="F3048" t="s">
        <v>4658</v>
      </c>
      <c r="G3048">
        <v>3</v>
      </c>
      <c r="H3048" t="s">
        <v>4659</v>
      </c>
      <c r="I3048" s="2">
        <v>5000</v>
      </c>
    </row>
    <row r="3049" spans="1:9" x14ac:dyDescent="0.3">
      <c r="A3049" s="5">
        <v>8091</v>
      </c>
      <c r="B3049" s="5" t="s">
        <v>4656</v>
      </c>
      <c r="C3049" s="5">
        <v>1</v>
      </c>
      <c r="D3049" s="5" t="s">
        <v>10</v>
      </c>
      <c r="E3049" t="s">
        <v>4657</v>
      </c>
      <c r="F3049" t="s">
        <v>4658</v>
      </c>
      <c r="G3049">
        <v>3</v>
      </c>
      <c r="H3049" t="s">
        <v>126</v>
      </c>
      <c r="I3049" s="2">
        <v>6500</v>
      </c>
    </row>
    <row r="3050" spans="1:9" x14ac:dyDescent="0.3">
      <c r="A3050" s="5">
        <v>8090</v>
      </c>
      <c r="B3050" s="5" t="s">
        <v>4660</v>
      </c>
      <c r="C3050" s="5">
        <v>1</v>
      </c>
      <c r="D3050" s="5" t="s">
        <v>10</v>
      </c>
      <c r="E3050" t="s">
        <v>4661</v>
      </c>
      <c r="F3050" t="s">
        <v>4662</v>
      </c>
      <c r="G3050">
        <v>3</v>
      </c>
      <c r="H3050" t="s">
        <v>2116</v>
      </c>
      <c r="I3050" s="2">
        <v>10000</v>
      </c>
    </row>
    <row r="3051" spans="1:9" x14ac:dyDescent="0.3">
      <c r="A3051" s="5">
        <v>8090</v>
      </c>
      <c r="B3051" s="5" t="s">
        <v>4660</v>
      </c>
      <c r="C3051" s="5">
        <v>1</v>
      </c>
      <c r="D3051" s="5" t="s">
        <v>10</v>
      </c>
      <c r="E3051" t="s">
        <v>4661</v>
      </c>
      <c r="F3051" t="s">
        <v>4662</v>
      </c>
      <c r="G3051">
        <v>3</v>
      </c>
      <c r="H3051" t="s">
        <v>4663</v>
      </c>
      <c r="I3051" s="2">
        <v>15000</v>
      </c>
    </row>
    <row r="3052" spans="1:9" x14ac:dyDescent="0.3">
      <c r="A3052" s="5">
        <v>8089</v>
      </c>
      <c r="B3052" s="5" t="s">
        <v>4664</v>
      </c>
      <c r="C3052" s="5">
        <v>2</v>
      </c>
      <c r="D3052" s="5" t="s">
        <v>261</v>
      </c>
      <c r="E3052" t="s">
        <v>4665</v>
      </c>
      <c r="F3052" t="s">
        <v>4666</v>
      </c>
      <c r="G3052">
        <v>3</v>
      </c>
      <c r="H3052" t="s">
        <v>642</v>
      </c>
      <c r="I3052" s="2">
        <v>4000</v>
      </c>
    </row>
    <row r="3053" spans="1:9" x14ac:dyDescent="0.3">
      <c r="A3053" s="5">
        <v>8089</v>
      </c>
      <c r="B3053" s="5" t="s">
        <v>4664</v>
      </c>
      <c r="C3053" s="5">
        <v>2</v>
      </c>
      <c r="D3053" s="5" t="s">
        <v>261</v>
      </c>
      <c r="E3053" t="s">
        <v>4665</v>
      </c>
      <c r="F3053" t="s">
        <v>4666</v>
      </c>
      <c r="G3053">
        <v>3</v>
      </c>
      <c r="H3053" t="s">
        <v>265</v>
      </c>
      <c r="I3053" s="2">
        <v>6000</v>
      </c>
    </row>
    <row r="3054" spans="1:9" x14ac:dyDescent="0.3">
      <c r="A3054" s="5">
        <v>8089</v>
      </c>
      <c r="B3054" s="5" t="s">
        <v>4664</v>
      </c>
      <c r="C3054" s="5">
        <v>2</v>
      </c>
      <c r="D3054" s="5" t="s">
        <v>261</v>
      </c>
      <c r="E3054" t="s">
        <v>4665</v>
      </c>
      <c r="F3054" t="s">
        <v>4666</v>
      </c>
      <c r="G3054">
        <v>3</v>
      </c>
      <c r="H3054" t="s">
        <v>641</v>
      </c>
      <c r="I3054" s="2">
        <v>20000</v>
      </c>
    </row>
    <row r="3055" spans="1:9" x14ac:dyDescent="0.3">
      <c r="A3055" s="5">
        <v>8088</v>
      </c>
      <c r="B3055" s="5" t="s">
        <v>4667</v>
      </c>
      <c r="C3055" s="5">
        <v>1</v>
      </c>
      <c r="D3055" s="5" t="s">
        <v>10</v>
      </c>
      <c r="E3055" t="s">
        <v>4668</v>
      </c>
      <c r="F3055" t="s">
        <v>4669</v>
      </c>
      <c r="G3055">
        <v>5</v>
      </c>
      <c r="H3055" t="s">
        <v>37</v>
      </c>
      <c r="I3055" s="2">
        <v>8000</v>
      </c>
    </row>
    <row r="3056" spans="1:9" x14ac:dyDescent="0.3">
      <c r="A3056" s="5">
        <v>8088</v>
      </c>
      <c r="B3056" s="5" t="s">
        <v>4667</v>
      </c>
      <c r="C3056" s="5">
        <v>1</v>
      </c>
      <c r="D3056" s="5" t="s">
        <v>10</v>
      </c>
      <c r="E3056" t="s">
        <v>4668</v>
      </c>
      <c r="F3056" t="s">
        <v>4669</v>
      </c>
      <c r="G3056">
        <v>5</v>
      </c>
      <c r="H3056" t="s">
        <v>126</v>
      </c>
      <c r="I3056" s="2">
        <v>8000</v>
      </c>
    </row>
    <row r="3057" spans="1:9" x14ac:dyDescent="0.3">
      <c r="A3057" s="5">
        <v>8088</v>
      </c>
      <c r="B3057" s="5" t="s">
        <v>4667</v>
      </c>
      <c r="C3057" s="5">
        <v>1</v>
      </c>
      <c r="D3057" s="5" t="s">
        <v>10</v>
      </c>
      <c r="E3057" t="s">
        <v>4668</v>
      </c>
      <c r="F3057" t="s">
        <v>4669</v>
      </c>
      <c r="G3057">
        <v>5</v>
      </c>
      <c r="H3057" t="s">
        <v>4670</v>
      </c>
      <c r="I3057" s="2">
        <v>16000</v>
      </c>
    </row>
    <row r="3058" spans="1:9" x14ac:dyDescent="0.3">
      <c r="A3058" s="5">
        <v>8088</v>
      </c>
      <c r="B3058" s="5" t="s">
        <v>4667</v>
      </c>
      <c r="C3058" s="5">
        <v>1</v>
      </c>
      <c r="D3058" s="5" t="s">
        <v>10</v>
      </c>
      <c r="E3058" t="s">
        <v>4668</v>
      </c>
      <c r="F3058" t="s">
        <v>4669</v>
      </c>
      <c r="G3058">
        <v>5</v>
      </c>
      <c r="H3058" t="s">
        <v>139</v>
      </c>
      <c r="I3058" s="2">
        <v>8000</v>
      </c>
    </row>
    <row r="3059" spans="1:9" x14ac:dyDescent="0.3">
      <c r="A3059" s="5">
        <v>8086</v>
      </c>
      <c r="B3059" s="5" t="s">
        <v>4671</v>
      </c>
      <c r="C3059" s="5">
        <v>1</v>
      </c>
      <c r="D3059" s="5" t="s">
        <v>10</v>
      </c>
      <c r="E3059" t="s">
        <v>4672</v>
      </c>
      <c r="F3059" t="s">
        <v>4673</v>
      </c>
      <c r="G3059">
        <v>3</v>
      </c>
      <c r="H3059" t="s">
        <v>1754</v>
      </c>
      <c r="I3059" s="2">
        <v>7000</v>
      </c>
    </row>
    <row r="3060" spans="1:9" x14ac:dyDescent="0.3">
      <c r="A3060" s="5">
        <v>8086</v>
      </c>
      <c r="B3060" s="5" t="s">
        <v>4671</v>
      </c>
      <c r="C3060" s="5">
        <v>1</v>
      </c>
      <c r="D3060" s="5" t="s">
        <v>10</v>
      </c>
      <c r="E3060" t="s">
        <v>4672</v>
      </c>
      <c r="F3060" t="s">
        <v>4673</v>
      </c>
      <c r="G3060">
        <v>3</v>
      </c>
      <c r="H3060" t="s">
        <v>21</v>
      </c>
      <c r="I3060" s="2">
        <v>7000</v>
      </c>
    </row>
    <row r="3061" spans="1:9" x14ac:dyDescent="0.3">
      <c r="A3061" s="5">
        <v>8086</v>
      </c>
      <c r="B3061" s="5" t="s">
        <v>4671</v>
      </c>
      <c r="C3061" s="5">
        <v>1</v>
      </c>
      <c r="D3061" s="5" t="s">
        <v>10</v>
      </c>
      <c r="E3061" t="s">
        <v>4672</v>
      </c>
      <c r="F3061" t="s">
        <v>4673</v>
      </c>
      <c r="G3061">
        <v>3</v>
      </c>
      <c r="H3061" t="s">
        <v>126</v>
      </c>
      <c r="I3061" s="2">
        <v>7000</v>
      </c>
    </row>
    <row r="3062" spans="1:9" x14ac:dyDescent="0.3">
      <c r="A3062" s="5">
        <v>8085</v>
      </c>
      <c r="B3062" s="5" t="s">
        <v>4674</v>
      </c>
      <c r="C3062" s="5">
        <v>5</v>
      </c>
      <c r="D3062" s="5" t="s">
        <v>63</v>
      </c>
      <c r="E3062" t="s">
        <v>4675</v>
      </c>
      <c r="F3062" t="s">
        <v>4676</v>
      </c>
      <c r="G3062">
        <v>5</v>
      </c>
      <c r="H3062" t="s">
        <v>462</v>
      </c>
      <c r="I3062" s="2">
        <v>10000</v>
      </c>
    </row>
    <row r="3063" spans="1:9" x14ac:dyDescent="0.3">
      <c r="A3063" s="5">
        <v>8085</v>
      </c>
      <c r="B3063" s="5" t="s">
        <v>4674</v>
      </c>
      <c r="C3063" s="5">
        <v>5</v>
      </c>
      <c r="D3063" s="5" t="s">
        <v>63</v>
      </c>
      <c r="E3063" t="s">
        <v>4675</v>
      </c>
      <c r="F3063" t="s">
        <v>4676</v>
      </c>
      <c r="G3063">
        <v>5</v>
      </c>
      <c r="H3063" t="s">
        <v>88</v>
      </c>
      <c r="I3063" s="2">
        <v>25000</v>
      </c>
    </row>
    <row r="3064" spans="1:9" x14ac:dyDescent="0.3">
      <c r="A3064" s="5">
        <v>8085</v>
      </c>
      <c r="B3064" s="5" t="s">
        <v>4674</v>
      </c>
      <c r="C3064" s="5">
        <v>5</v>
      </c>
      <c r="D3064" s="5" t="s">
        <v>63</v>
      </c>
      <c r="E3064" t="s">
        <v>4675</v>
      </c>
      <c r="F3064" t="s">
        <v>4676</v>
      </c>
      <c r="G3064">
        <v>5</v>
      </c>
      <c r="H3064" t="s">
        <v>4677</v>
      </c>
      <c r="I3064" s="2">
        <v>12000</v>
      </c>
    </row>
    <row r="3065" spans="1:9" x14ac:dyDescent="0.3">
      <c r="A3065" s="5">
        <v>8083</v>
      </c>
      <c r="B3065" s="5" t="s">
        <v>4678</v>
      </c>
      <c r="C3065" s="5">
        <v>1</v>
      </c>
      <c r="D3065" s="5" t="s">
        <v>10</v>
      </c>
      <c r="E3065" t="s">
        <v>4679</v>
      </c>
      <c r="F3065" t="s">
        <v>4680</v>
      </c>
      <c r="G3065">
        <v>3</v>
      </c>
      <c r="H3065" t="s">
        <v>4681</v>
      </c>
      <c r="I3065" s="2">
        <v>7000</v>
      </c>
    </row>
    <row r="3066" spans="1:9" x14ac:dyDescent="0.3">
      <c r="A3066" s="5">
        <v>8083</v>
      </c>
      <c r="B3066" s="5" t="s">
        <v>4678</v>
      </c>
      <c r="C3066" s="5">
        <v>1</v>
      </c>
      <c r="D3066" s="5" t="s">
        <v>10</v>
      </c>
      <c r="E3066" t="s">
        <v>4679</v>
      </c>
      <c r="F3066" t="s">
        <v>4680</v>
      </c>
      <c r="G3066">
        <v>3</v>
      </c>
      <c r="H3066" t="s">
        <v>4682</v>
      </c>
      <c r="I3066" s="2">
        <v>7500</v>
      </c>
    </row>
    <row r="3067" spans="1:9" x14ac:dyDescent="0.3">
      <c r="A3067" s="5">
        <v>8082</v>
      </c>
      <c r="B3067" s="5" t="s">
        <v>4683</v>
      </c>
      <c r="C3067" s="5">
        <v>1</v>
      </c>
      <c r="D3067" s="5" t="s">
        <v>10</v>
      </c>
      <c r="E3067" t="s">
        <v>4684</v>
      </c>
      <c r="F3067" t="s">
        <v>4685</v>
      </c>
      <c r="G3067">
        <v>7</v>
      </c>
      <c r="H3067" t="s">
        <v>934</v>
      </c>
      <c r="I3067" s="2">
        <v>6000</v>
      </c>
    </row>
    <row r="3068" spans="1:9" x14ac:dyDescent="0.3">
      <c r="A3068" s="5">
        <v>8082</v>
      </c>
      <c r="B3068" s="5" t="s">
        <v>4683</v>
      </c>
      <c r="C3068" s="5">
        <v>1</v>
      </c>
      <c r="D3068" s="5" t="s">
        <v>10</v>
      </c>
      <c r="E3068" t="s">
        <v>4684</v>
      </c>
      <c r="F3068" t="s">
        <v>4685</v>
      </c>
      <c r="G3068">
        <v>7</v>
      </c>
      <c r="H3068" t="s">
        <v>84</v>
      </c>
      <c r="I3068" s="2">
        <v>5500</v>
      </c>
    </row>
    <row r="3069" spans="1:9" x14ac:dyDescent="0.3">
      <c r="A3069" s="5">
        <v>8080</v>
      </c>
      <c r="B3069" s="5" t="s">
        <v>4686</v>
      </c>
      <c r="C3069" s="5">
        <v>1</v>
      </c>
      <c r="D3069" s="5" t="s">
        <v>10</v>
      </c>
      <c r="E3069" t="s">
        <v>4687</v>
      </c>
      <c r="F3069" t="s">
        <v>4688</v>
      </c>
      <c r="G3069">
        <v>3</v>
      </c>
      <c r="H3069" t="s">
        <v>374</v>
      </c>
      <c r="I3069" s="2">
        <v>2500</v>
      </c>
    </row>
    <row r="3070" spans="1:9" x14ac:dyDescent="0.3">
      <c r="A3070" s="5">
        <v>8080</v>
      </c>
      <c r="B3070" s="5" t="s">
        <v>4686</v>
      </c>
      <c r="C3070" s="5">
        <v>1</v>
      </c>
      <c r="D3070" s="5" t="s">
        <v>10</v>
      </c>
      <c r="E3070" t="s">
        <v>4687</v>
      </c>
      <c r="F3070" t="s">
        <v>4688</v>
      </c>
      <c r="G3070">
        <v>3</v>
      </c>
      <c r="H3070" t="s">
        <v>1655</v>
      </c>
      <c r="I3070" s="2">
        <v>6000</v>
      </c>
    </row>
    <row r="3071" spans="1:9" x14ac:dyDescent="0.3">
      <c r="A3071" s="5">
        <v>8080</v>
      </c>
      <c r="B3071" s="5" t="s">
        <v>4686</v>
      </c>
      <c r="C3071" s="5">
        <v>1</v>
      </c>
      <c r="D3071" s="5" t="s">
        <v>10</v>
      </c>
      <c r="E3071" t="s">
        <v>4687</v>
      </c>
      <c r="F3071" t="s">
        <v>4688</v>
      </c>
      <c r="G3071">
        <v>3</v>
      </c>
      <c r="H3071" t="s">
        <v>3132</v>
      </c>
      <c r="I3071" s="2">
        <v>6000</v>
      </c>
    </row>
    <row r="3072" spans="1:9" x14ac:dyDescent="0.3">
      <c r="A3072" s="5">
        <v>8077</v>
      </c>
      <c r="B3072" s="5" t="s">
        <v>4689</v>
      </c>
      <c r="C3072" s="5">
        <v>2</v>
      </c>
      <c r="D3072" s="5" t="s">
        <v>261</v>
      </c>
      <c r="E3072" t="s">
        <v>4690</v>
      </c>
      <c r="F3072" t="s">
        <v>4691</v>
      </c>
      <c r="G3072">
        <v>3</v>
      </c>
      <c r="H3072" t="s">
        <v>2210</v>
      </c>
      <c r="I3072" s="2">
        <v>3000</v>
      </c>
    </row>
    <row r="3073" spans="1:9" x14ac:dyDescent="0.3">
      <c r="A3073" s="5">
        <v>8077</v>
      </c>
      <c r="B3073" s="5" t="s">
        <v>4689</v>
      </c>
      <c r="C3073" s="5">
        <v>2</v>
      </c>
      <c r="D3073" s="5" t="s">
        <v>261</v>
      </c>
      <c r="E3073" t="s">
        <v>4690</v>
      </c>
      <c r="F3073" t="s">
        <v>4691</v>
      </c>
      <c r="G3073">
        <v>3</v>
      </c>
      <c r="H3073" t="s">
        <v>642</v>
      </c>
      <c r="I3073" s="2">
        <v>2500</v>
      </c>
    </row>
    <row r="3074" spans="1:9" x14ac:dyDescent="0.3">
      <c r="A3074" s="5">
        <v>8076</v>
      </c>
      <c r="B3074" s="5" t="s">
        <v>4692</v>
      </c>
      <c r="C3074" s="5">
        <v>1</v>
      </c>
      <c r="D3074" s="5" t="s">
        <v>10</v>
      </c>
      <c r="E3074" t="s">
        <v>4693</v>
      </c>
      <c r="F3074" t="s">
        <v>4694</v>
      </c>
      <c r="G3074">
        <v>3</v>
      </c>
      <c r="H3074" t="s">
        <v>2221</v>
      </c>
      <c r="I3074" s="2">
        <v>8000</v>
      </c>
    </row>
    <row r="3075" spans="1:9" x14ac:dyDescent="0.3">
      <c r="A3075" s="5">
        <v>8076</v>
      </c>
      <c r="B3075" s="5" t="s">
        <v>4692</v>
      </c>
      <c r="C3075" s="5">
        <v>1</v>
      </c>
      <c r="D3075" s="5" t="s">
        <v>10</v>
      </c>
      <c r="E3075" t="s">
        <v>4693</v>
      </c>
      <c r="F3075" t="s">
        <v>4694</v>
      </c>
      <c r="G3075">
        <v>3</v>
      </c>
      <c r="H3075" t="s">
        <v>126</v>
      </c>
      <c r="I3075" s="2">
        <v>8000</v>
      </c>
    </row>
    <row r="3076" spans="1:9" x14ac:dyDescent="0.3">
      <c r="A3076" s="5">
        <v>8072</v>
      </c>
      <c r="B3076" s="5" t="s">
        <v>4695</v>
      </c>
      <c r="C3076" s="5">
        <v>1</v>
      </c>
      <c r="D3076" s="5" t="s">
        <v>10</v>
      </c>
      <c r="E3076" t="s">
        <v>4696</v>
      </c>
      <c r="F3076" t="s">
        <v>4697</v>
      </c>
      <c r="G3076">
        <v>3</v>
      </c>
      <c r="H3076" t="s">
        <v>126</v>
      </c>
      <c r="I3076" s="2">
        <v>6000</v>
      </c>
    </row>
    <row r="3077" spans="1:9" x14ac:dyDescent="0.3">
      <c r="A3077" s="5">
        <v>8072</v>
      </c>
      <c r="B3077" s="5" t="s">
        <v>4695</v>
      </c>
      <c r="C3077" s="5">
        <v>1</v>
      </c>
      <c r="D3077" s="5" t="s">
        <v>10</v>
      </c>
      <c r="E3077" t="s">
        <v>4696</v>
      </c>
      <c r="F3077" t="s">
        <v>4697</v>
      </c>
      <c r="G3077">
        <v>3</v>
      </c>
      <c r="H3077" t="s">
        <v>139</v>
      </c>
      <c r="I3077" s="2">
        <v>6000</v>
      </c>
    </row>
    <row r="3078" spans="1:9" x14ac:dyDescent="0.3">
      <c r="A3078" s="5">
        <v>8069</v>
      </c>
      <c r="B3078" s="5" t="s">
        <v>4698</v>
      </c>
      <c r="C3078" s="5">
        <v>1</v>
      </c>
      <c r="D3078" s="5" t="s">
        <v>10</v>
      </c>
      <c r="E3078" t="s">
        <v>4699</v>
      </c>
      <c r="F3078" t="s">
        <v>4700</v>
      </c>
      <c r="G3078">
        <v>3</v>
      </c>
      <c r="H3078" t="s">
        <v>581</v>
      </c>
      <c r="I3078" s="2">
        <v>3000</v>
      </c>
    </row>
    <row r="3079" spans="1:9" x14ac:dyDescent="0.3">
      <c r="A3079" s="5">
        <v>8069</v>
      </c>
      <c r="B3079" s="5" t="s">
        <v>4698</v>
      </c>
      <c r="C3079" s="5">
        <v>1</v>
      </c>
      <c r="D3079" s="5" t="s">
        <v>10</v>
      </c>
      <c r="E3079" t="s">
        <v>4699</v>
      </c>
      <c r="F3079" t="s">
        <v>4700</v>
      </c>
      <c r="G3079">
        <v>3</v>
      </c>
      <c r="H3079" t="s">
        <v>139</v>
      </c>
      <c r="I3079" s="2">
        <v>7000</v>
      </c>
    </row>
    <row r="3080" spans="1:9" x14ac:dyDescent="0.3">
      <c r="A3080" s="5">
        <v>8069</v>
      </c>
      <c r="B3080" s="5" t="s">
        <v>4698</v>
      </c>
      <c r="C3080" s="5">
        <v>1</v>
      </c>
      <c r="D3080" s="5" t="s">
        <v>10</v>
      </c>
      <c r="E3080" t="s">
        <v>4699</v>
      </c>
      <c r="F3080" t="s">
        <v>4700</v>
      </c>
      <c r="G3080">
        <v>3</v>
      </c>
      <c r="H3080" t="s">
        <v>126</v>
      </c>
      <c r="I3080" s="2">
        <v>7000</v>
      </c>
    </row>
    <row r="3081" spans="1:9" x14ac:dyDescent="0.3">
      <c r="A3081" s="5">
        <v>8068</v>
      </c>
      <c r="B3081" s="5" t="s">
        <v>4701</v>
      </c>
      <c r="C3081" s="5">
        <v>3</v>
      </c>
      <c r="D3081" s="5" t="s">
        <v>44</v>
      </c>
      <c r="E3081" t="s">
        <v>4702</v>
      </c>
      <c r="F3081" t="s">
        <v>4703</v>
      </c>
      <c r="G3081">
        <v>4</v>
      </c>
      <c r="H3081" t="s">
        <v>304</v>
      </c>
      <c r="I3081" s="2">
        <v>5500</v>
      </c>
    </row>
    <row r="3082" spans="1:9" x14ac:dyDescent="0.3">
      <c r="A3082" s="5">
        <v>8066</v>
      </c>
      <c r="B3082" s="5" t="s">
        <v>4704</v>
      </c>
      <c r="C3082" s="5">
        <v>5</v>
      </c>
      <c r="D3082" s="5" t="s">
        <v>63</v>
      </c>
      <c r="E3082" t="s">
        <v>4705</v>
      </c>
      <c r="F3082" t="s">
        <v>4706</v>
      </c>
      <c r="G3082">
        <v>3</v>
      </c>
      <c r="H3082" t="s">
        <v>1104</v>
      </c>
      <c r="I3082" s="2">
        <v>15000</v>
      </c>
    </row>
    <row r="3083" spans="1:9" x14ac:dyDescent="0.3">
      <c r="A3083" s="5">
        <v>8066</v>
      </c>
      <c r="B3083" s="5" t="s">
        <v>4704</v>
      </c>
      <c r="C3083" s="5">
        <v>5</v>
      </c>
      <c r="D3083" s="5" t="s">
        <v>63</v>
      </c>
      <c r="E3083" t="s">
        <v>4705</v>
      </c>
      <c r="F3083" t="s">
        <v>4706</v>
      </c>
      <c r="G3083">
        <v>3</v>
      </c>
      <c r="H3083" t="s">
        <v>1105</v>
      </c>
      <c r="I3083" s="2">
        <v>5000</v>
      </c>
    </row>
    <row r="3084" spans="1:9" x14ac:dyDescent="0.3">
      <c r="A3084" s="5">
        <v>8065</v>
      </c>
      <c r="B3084" s="5" t="s">
        <v>4707</v>
      </c>
      <c r="C3084" s="5">
        <v>5</v>
      </c>
      <c r="D3084" s="5" t="s">
        <v>63</v>
      </c>
      <c r="E3084" t="s">
        <v>4708</v>
      </c>
      <c r="F3084" t="s">
        <v>4709</v>
      </c>
      <c r="G3084">
        <v>3</v>
      </c>
      <c r="H3084" t="s">
        <v>117</v>
      </c>
      <c r="I3084" s="2">
        <v>7000</v>
      </c>
    </row>
    <row r="3085" spans="1:9" x14ac:dyDescent="0.3">
      <c r="A3085" s="5">
        <v>8061</v>
      </c>
      <c r="B3085" s="5" t="s">
        <v>4710</v>
      </c>
      <c r="C3085" s="5">
        <v>7</v>
      </c>
      <c r="D3085" s="5" t="s">
        <v>360</v>
      </c>
      <c r="E3085" t="s">
        <v>4711</v>
      </c>
      <c r="F3085" t="s">
        <v>4712</v>
      </c>
      <c r="G3085">
        <v>3</v>
      </c>
      <c r="H3085" t="s">
        <v>363</v>
      </c>
      <c r="I3085" s="2">
        <v>7000</v>
      </c>
    </row>
    <row r="3086" spans="1:9" x14ac:dyDescent="0.3">
      <c r="A3086" s="5">
        <v>8061</v>
      </c>
      <c r="B3086" s="5" t="s">
        <v>4710</v>
      </c>
      <c r="C3086" s="5">
        <v>7</v>
      </c>
      <c r="D3086" s="5" t="s">
        <v>360</v>
      </c>
      <c r="E3086" t="s">
        <v>4711</v>
      </c>
      <c r="F3086" t="s">
        <v>4712</v>
      </c>
      <c r="G3086">
        <v>3</v>
      </c>
      <c r="H3086" t="s">
        <v>1424</v>
      </c>
      <c r="I3086" s="2">
        <v>4000</v>
      </c>
    </row>
    <row r="3087" spans="1:9" x14ac:dyDescent="0.3">
      <c r="A3087" s="5">
        <v>8057</v>
      </c>
      <c r="B3087" s="5" t="s">
        <v>4713</v>
      </c>
      <c r="C3087" s="5">
        <v>1</v>
      </c>
      <c r="D3087" s="5" t="s">
        <v>10</v>
      </c>
      <c r="E3087" t="s">
        <v>4714</v>
      </c>
      <c r="F3087" t="s">
        <v>4715</v>
      </c>
      <c r="G3087">
        <v>3</v>
      </c>
      <c r="H3087" t="s">
        <v>1847</v>
      </c>
      <c r="I3087" s="2">
        <v>5000</v>
      </c>
    </row>
    <row r="3088" spans="1:9" x14ac:dyDescent="0.3">
      <c r="A3088" s="5">
        <v>8055</v>
      </c>
      <c r="B3088" s="5" t="s">
        <v>4716</v>
      </c>
      <c r="C3088" s="5">
        <v>1</v>
      </c>
      <c r="D3088" s="5" t="s">
        <v>10</v>
      </c>
      <c r="E3088" t="s">
        <v>4717</v>
      </c>
      <c r="F3088" t="s">
        <v>4718</v>
      </c>
      <c r="G3088">
        <v>3</v>
      </c>
      <c r="H3088" t="s">
        <v>4719</v>
      </c>
      <c r="I3088" s="2">
        <v>7000</v>
      </c>
    </row>
    <row r="3089" spans="1:9" x14ac:dyDescent="0.3">
      <c r="A3089" s="5">
        <v>8055</v>
      </c>
      <c r="B3089" s="5" t="s">
        <v>4716</v>
      </c>
      <c r="C3089" s="5">
        <v>1</v>
      </c>
      <c r="D3089" s="5" t="s">
        <v>10</v>
      </c>
      <c r="E3089" t="s">
        <v>4717</v>
      </c>
      <c r="F3089" t="s">
        <v>4718</v>
      </c>
      <c r="G3089">
        <v>3</v>
      </c>
      <c r="H3089" t="s">
        <v>1047</v>
      </c>
      <c r="I3089" s="2">
        <v>13000</v>
      </c>
    </row>
    <row r="3090" spans="1:9" x14ac:dyDescent="0.3">
      <c r="A3090" s="5">
        <v>8055</v>
      </c>
      <c r="B3090" s="5" t="s">
        <v>4716</v>
      </c>
      <c r="C3090" s="5">
        <v>1</v>
      </c>
      <c r="D3090" s="5" t="s">
        <v>10</v>
      </c>
      <c r="E3090" t="s">
        <v>4717</v>
      </c>
      <c r="F3090" t="s">
        <v>4718</v>
      </c>
      <c r="G3090">
        <v>3</v>
      </c>
      <c r="H3090" t="s">
        <v>368</v>
      </c>
      <c r="I3090" s="2">
        <v>7000</v>
      </c>
    </row>
    <row r="3091" spans="1:9" x14ac:dyDescent="0.3">
      <c r="A3091" s="5">
        <v>8054</v>
      </c>
      <c r="B3091" s="5" t="s">
        <v>4720</v>
      </c>
      <c r="C3091" s="5">
        <v>1</v>
      </c>
      <c r="D3091" s="5" t="s">
        <v>10</v>
      </c>
      <c r="E3091" t="s">
        <v>4721</v>
      </c>
      <c r="F3091" t="s">
        <v>4722</v>
      </c>
      <c r="G3091">
        <v>6</v>
      </c>
      <c r="H3091" t="s">
        <v>1566</v>
      </c>
      <c r="I3091" s="2">
        <v>13000</v>
      </c>
    </row>
    <row r="3092" spans="1:9" x14ac:dyDescent="0.3">
      <c r="A3092" s="5">
        <v>8052</v>
      </c>
      <c r="B3092" s="5" t="s">
        <v>4723</v>
      </c>
      <c r="C3092" s="5">
        <v>1</v>
      </c>
      <c r="D3092" s="5" t="s">
        <v>10</v>
      </c>
      <c r="E3092" t="s">
        <v>4724</v>
      </c>
      <c r="F3092" t="s">
        <v>4725</v>
      </c>
      <c r="G3092">
        <v>3</v>
      </c>
      <c r="H3092" t="s">
        <v>217</v>
      </c>
      <c r="I3092" s="2">
        <v>10000</v>
      </c>
    </row>
    <row r="3093" spans="1:9" x14ac:dyDescent="0.3">
      <c r="A3093" s="5">
        <v>8052</v>
      </c>
      <c r="B3093" s="5" t="s">
        <v>4723</v>
      </c>
      <c r="C3093" s="5">
        <v>1</v>
      </c>
      <c r="D3093" s="5" t="s">
        <v>10</v>
      </c>
      <c r="E3093" t="s">
        <v>4724</v>
      </c>
      <c r="F3093" t="s">
        <v>4725</v>
      </c>
      <c r="G3093">
        <v>3</v>
      </c>
      <c r="H3093" t="s">
        <v>126</v>
      </c>
      <c r="I3093" s="2">
        <v>6000</v>
      </c>
    </row>
    <row r="3094" spans="1:9" x14ac:dyDescent="0.3">
      <c r="A3094" s="5">
        <v>8052</v>
      </c>
      <c r="B3094" s="5" t="s">
        <v>4723</v>
      </c>
      <c r="C3094" s="5">
        <v>1</v>
      </c>
      <c r="D3094" s="5" t="s">
        <v>10</v>
      </c>
      <c r="E3094" t="s">
        <v>4724</v>
      </c>
      <c r="F3094" t="s">
        <v>4725</v>
      </c>
      <c r="G3094">
        <v>3</v>
      </c>
      <c r="H3094" t="s">
        <v>139</v>
      </c>
      <c r="I3094" s="2">
        <v>6000</v>
      </c>
    </row>
    <row r="3095" spans="1:9" x14ac:dyDescent="0.3">
      <c r="A3095" s="5">
        <v>8045</v>
      </c>
      <c r="B3095" s="5" t="s">
        <v>4127</v>
      </c>
      <c r="C3095" s="5">
        <v>5</v>
      </c>
      <c r="D3095" s="5" t="s">
        <v>63</v>
      </c>
      <c r="E3095" t="s">
        <v>4726</v>
      </c>
      <c r="F3095" t="s">
        <v>4727</v>
      </c>
      <c r="G3095">
        <v>3</v>
      </c>
      <c r="H3095" t="s">
        <v>1104</v>
      </c>
      <c r="I3095" s="2">
        <v>20000</v>
      </c>
    </row>
    <row r="3096" spans="1:9" x14ac:dyDescent="0.3">
      <c r="A3096" s="5">
        <v>8045</v>
      </c>
      <c r="B3096" s="5" t="s">
        <v>4127</v>
      </c>
      <c r="C3096" s="5">
        <v>5</v>
      </c>
      <c r="D3096" s="5" t="s">
        <v>63</v>
      </c>
      <c r="E3096" t="s">
        <v>4726</v>
      </c>
      <c r="F3096" t="s">
        <v>4727</v>
      </c>
      <c r="G3096">
        <v>3</v>
      </c>
      <c r="H3096" t="s">
        <v>1105</v>
      </c>
      <c r="I3096" s="2">
        <v>5000</v>
      </c>
    </row>
    <row r="3097" spans="1:9" x14ac:dyDescent="0.3">
      <c r="A3097" s="5">
        <v>8044</v>
      </c>
      <c r="B3097" s="5" t="s">
        <v>4728</v>
      </c>
      <c r="C3097" s="5">
        <v>5</v>
      </c>
      <c r="D3097" s="5" t="s">
        <v>63</v>
      </c>
      <c r="E3097" t="s">
        <v>4729</v>
      </c>
      <c r="F3097" t="s">
        <v>74</v>
      </c>
      <c r="G3097">
        <v>3</v>
      </c>
      <c r="H3097" t="s">
        <v>1104</v>
      </c>
      <c r="I3097" s="2">
        <v>25000</v>
      </c>
    </row>
    <row r="3098" spans="1:9" x14ac:dyDescent="0.3">
      <c r="A3098" s="5">
        <v>8044</v>
      </c>
      <c r="B3098" s="5" t="s">
        <v>4728</v>
      </c>
      <c r="C3098" s="5">
        <v>5</v>
      </c>
      <c r="D3098" s="5" t="s">
        <v>63</v>
      </c>
      <c r="E3098" t="s">
        <v>4729</v>
      </c>
      <c r="F3098" t="s">
        <v>74</v>
      </c>
      <c r="G3098">
        <v>3</v>
      </c>
      <c r="H3098" t="s">
        <v>1105</v>
      </c>
      <c r="I3098" s="2">
        <v>10000</v>
      </c>
    </row>
    <row r="3099" spans="1:9" x14ac:dyDescent="0.3">
      <c r="A3099" s="5">
        <v>8043</v>
      </c>
      <c r="B3099" s="5" t="s">
        <v>4730</v>
      </c>
      <c r="C3099" s="5">
        <v>1</v>
      </c>
      <c r="D3099" s="5" t="s">
        <v>10</v>
      </c>
      <c r="E3099" t="s">
        <v>4731</v>
      </c>
      <c r="F3099" t="s">
        <v>4732</v>
      </c>
      <c r="G3099">
        <v>3</v>
      </c>
      <c r="H3099" t="s">
        <v>189</v>
      </c>
      <c r="I3099" s="2">
        <v>12000</v>
      </c>
    </row>
    <row r="3100" spans="1:9" x14ac:dyDescent="0.3">
      <c r="A3100" s="5">
        <v>8043</v>
      </c>
      <c r="B3100" s="5" t="s">
        <v>4730</v>
      </c>
      <c r="C3100" s="5">
        <v>1</v>
      </c>
      <c r="D3100" s="5" t="s">
        <v>10</v>
      </c>
      <c r="E3100" t="s">
        <v>4731</v>
      </c>
      <c r="F3100" t="s">
        <v>4732</v>
      </c>
      <c r="G3100">
        <v>3</v>
      </c>
      <c r="H3100" t="s">
        <v>37</v>
      </c>
      <c r="I3100" s="2">
        <v>7000</v>
      </c>
    </row>
    <row r="3101" spans="1:9" x14ac:dyDescent="0.3">
      <c r="A3101" s="5">
        <v>8043</v>
      </c>
      <c r="B3101" s="5" t="s">
        <v>4730</v>
      </c>
      <c r="C3101" s="5">
        <v>1</v>
      </c>
      <c r="D3101" s="5" t="s">
        <v>10</v>
      </c>
      <c r="E3101" t="s">
        <v>4731</v>
      </c>
      <c r="F3101" t="s">
        <v>4732</v>
      </c>
      <c r="G3101">
        <v>3</v>
      </c>
      <c r="H3101" t="s">
        <v>304</v>
      </c>
      <c r="I3101" s="2">
        <v>7000</v>
      </c>
    </row>
    <row r="3102" spans="1:9" x14ac:dyDescent="0.3">
      <c r="A3102" s="5">
        <v>8039</v>
      </c>
      <c r="B3102" s="5" t="s">
        <v>4733</v>
      </c>
      <c r="C3102" s="5">
        <v>5</v>
      </c>
      <c r="D3102" s="5" t="s">
        <v>63</v>
      </c>
      <c r="E3102" t="s">
        <v>4734</v>
      </c>
      <c r="F3102" t="s">
        <v>4735</v>
      </c>
      <c r="G3102">
        <v>3</v>
      </c>
      <c r="H3102" t="s">
        <v>4521</v>
      </c>
      <c r="I3102" s="2">
        <v>7000</v>
      </c>
    </row>
    <row r="3103" spans="1:9" x14ac:dyDescent="0.3">
      <c r="A3103" s="5">
        <v>8038</v>
      </c>
      <c r="B3103" s="5" t="s">
        <v>4736</v>
      </c>
      <c r="C3103" s="5">
        <v>5</v>
      </c>
      <c r="D3103" s="5" t="s">
        <v>63</v>
      </c>
      <c r="E3103" t="s">
        <v>4737</v>
      </c>
      <c r="F3103" t="s">
        <v>74</v>
      </c>
      <c r="G3103">
        <v>3</v>
      </c>
      <c r="H3103" t="s">
        <v>1104</v>
      </c>
      <c r="I3103" s="2">
        <v>25000</v>
      </c>
    </row>
    <row r="3104" spans="1:9" x14ac:dyDescent="0.3">
      <c r="A3104" s="5">
        <v>8038</v>
      </c>
      <c r="B3104" s="5" t="s">
        <v>4736</v>
      </c>
      <c r="C3104" s="5">
        <v>5</v>
      </c>
      <c r="D3104" s="5" t="s">
        <v>63</v>
      </c>
      <c r="E3104" t="s">
        <v>4737</v>
      </c>
      <c r="F3104" t="s">
        <v>74</v>
      </c>
      <c r="G3104">
        <v>3</v>
      </c>
      <c r="H3104" t="s">
        <v>1105</v>
      </c>
      <c r="I3104" s="2">
        <v>8000</v>
      </c>
    </row>
    <row r="3105" spans="1:9" x14ac:dyDescent="0.3">
      <c r="A3105" s="5">
        <v>8037</v>
      </c>
      <c r="B3105" s="5" t="s">
        <v>4738</v>
      </c>
      <c r="C3105" s="5">
        <v>5</v>
      </c>
      <c r="D3105" s="5" t="s">
        <v>63</v>
      </c>
      <c r="E3105" t="s">
        <v>4739</v>
      </c>
      <c r="F3105" t="s">
        <v>4740</v>
      </c>
      <c r="G3105">
        <v>3</v>
      </c>
      <c r="H3105" t="s">
        <v>1104</v>
      </c>
      <c r="I3105" s="2">
        <v>30000</v>
      </c>
    </row>
    <row r="3106" spans="1:9" x14ac:dyDescent="0.3">
      <c r="A3106" s="5">
        <v>8037</v>
      </c>
      <c r="B3106" s="5" t="s">
        <v>4738</v>
      </c>
      <c r="C3106" s="5">
        <v>5</v>
      </c>
      <c r="D3106" s="5" t="s">
        <v>63</v>
      </c>
      <c r="E3106" t="s">
        <v>4739</v>
      </c>
      <c r="F3106" t="s">
        <v>4740</v>
      </c>
      <c r="G3106">
        <v>3</v>
      </c>
      <c r="H3106" t="s">
        <v>1105</v>
      </c>
      <c r="I3106" s="2">
        <v>10000</v>
      </c>
    </row>
    <row r="3107" spans="1:9" x14ac:dyDescent="0.3">
      <c r="A3107" s="5">
        <v>8036</v>
      </c>
      <c r="B3107" s="5" t="s">
        <v>4741</v>
      </c>
      <c r="C3107" s="5">
        <v>1</v>
      </c>
      <c r="D3107" s="5" t="s">
        <v>10</v>
      </c>
      <c r="E3107" t="s">
        <v>4742</v>
      </c>
      <c r="F3107" t="s">
        <v>4743</v>
      </c>
      <c r="G3107">
        <v>3</v>
      </c>
      <c r="H3107" t="s">
        <v>126</v>
      </c>
      <c r="I3107" s="2">
        <v>5000</v>
      </c>
    </row>
    <row r="3108" spans="1:9" x14ac:dyDescent="0.3">
      <c r="A3108" s="5">
        <v>8036</v>
      </c>
      <c r="B3108" s="5" t="s">
        <v>4741</v>
      </c>
      <c r="C3108" s="5">
        <v>1</v>
      </c>
      <c r="D3108" s="5" t="s">
        <v>10</v>
      </c>
      <c r="E3108" t="s">
        <v>4742</v>
      </c>
      <c r="F3108" t="s">
        <v>4743</v>
      </c>
      <c r="G3108">
        <v>3</v>
      </c>
      <c r="H3108" t="s">
        <v>21</v>
      </c>
      <c r="I3108" s="2">
        <v>5000</v>
      </c>
    </row>
    <row r="3109" spans="1:9" x14ac:dyDescent="0.3">
      <c r="A3109" s="5">
        <v>8036</v>
      </c>
      <c r="B3109" s="5" t="s">
        <v>4741</v>
      </c>
      <c r="C3109" s="5">
        <v>1</v>
      </c>
      <c r="D3109" s="5" t="s">
        <v>10</v>
      </c>
      <c r="E3109" t="s">
        <v>4742</v>
      </c>
      <c r="F3109" t="s">
        <v>4743</v>
      </c>
      <c r="G3109">
        <v>3</v>
      </c>
      <c r="H3109" t="s">
        <v>139</v>
      </c>
      <c r="I3109" s="2">
        <v>5000</v>
      </c>
    </row>
    <row r="3110" spans="1:9" x14ac:dyDescent="0.3">
      <c r="A3110" s="5">
        <v>8036</v>
      </c>
      <c r="B3110" s="5" t="s">
        <v>4741</v>
      </c>
      <c r="C3110" s="5">
        <v>1</v>
      </c>
      <c r="D3110" s="5" t="s">
        <v>10</v>
      </c>
      <c r="E3110" t="s">
        <v>4742</v>
      </c>
      <c r="F3110" t="s">
        <v>4743</v>
      </c>
      <c r="G3110">
        <v>3</v>
      </c>
      <c r="H3110" t="s">
        <v>374</v>
      </c>
      <c r="I3110" s="2">
        <v>2500</v>
      </c>
    </row>
    <row r="3111" spans="1:9" x14ac:dyDescent="0.3">
      <c r="A3111" s="5">
        <v>8031</v>
      </c>
      <c r="B3111" s="5" t="s">
        <v>4744</v>
      </c>
      <c r="C3111" s="5">
        <v>2</v>
      </c>
      <c r="D3111" s="5" t="s">
        <v>261</v>
      </c>
      <c r="E3111" t="s">
        <v>4745</v>
      </c>
      <c r="F3111" t="s">
        <v>4746</v>
      </c>
      <c r="G3111">
        <v>3</v>
      </c>
      <c r="H3111" t="s">
        <v>642</v>
      </c>
      <c r="I3111" s="2">
        <v>4000</v>
      </c>
    </row>
    <row r="3112" spans="1:9" x14ac:dyDescent="0.3">
      <c r="A3112" s="5">
        <v>8031</v>
      </c>
      <c r="B3112" s="5" t="s">
        <v>4744</v>
      </c>
      <c r="C3112" s="5">
        <v>2</v>
      </c>
      <c r="D3112" s="5" t="s">
        <v>261</v>
      </c>
      <c r="E3112" t="s">
        <v>4745</v>
      </c>
      <c r="F3112" t="s">
        <v>4746</v>
      </c>
      <c r="G3112">
        <v>3</v>
      </c>
      <c r="H3112" t="s">
        <v>2210</v>
      </c>
      <c r="I3112" s="2">
        <v>5000</v>
      </c>
    </row>
    <row r="3113" spans="1:9" x14ac:dyDescent="0.3">
      <c r="A3113" s="5">
        <v>8025</v>
      </c>
      <c r="B3113" s="5" t="s">
        <v>15</v>
      </c>
      <c r="C3113" s="5">
        <v>1</v>
      </c>
      <c r="D3113" s="5" t="s">
        <v>10</v>
      </c>
      <c r="E3113" t="s">
        <v>4747</v>
      </c>
      <c r="F3113" t="s">
        <v>4748</v>
      </c>
      <c r="G3113">
        <v>3</v>
      </c>
      <c r="H3113" t="s">
        <v>175</v>
      </c>
      <c r="I3113" s="2">
        <v>3000</v>
      </c>
    </row>
    <row r="3114" spans="1:9" x14ac:dyDescent="0.3">
      <c r="A3114" s="5">
        <v>8025</v>
      </c>
      <c r="B3114" s="5" t="s">
        <v>15</v>
      </c>
      <c r="C3114" s="5">
        <v>1</v>
      </c>
      <c r="D3114" s="5" t="s">
        <v>10</v>
      </c>
      <c r="E3114" t="s">
        <v>4747</v>
      </c>
      <c r="F3114" t="s">
        <v>4748</v>
      </c>
      <c r="G3114">
        <v>3</v>
      </c>
      <c r="H3114" t="s">
        <v>21</v>
      </c>
      <c r="I3114" s="2">
        <v>4500</v>
      </c>
    </row>
    <row r="3115" spans="1:9" x14ac:dyDescent="0.3">
      <c r="A3115" s="5">
        <v>8025</v>
      </c>
      <c r="B3115" s="5" t="s">
        <v>15</v>
      </c>
      <c r="C3115" s="5">
        <v>1</v>
      </c>
      <c r="D3115" s="5" t="s">
        <v>10</v>
      </c>
      <c r="E3115" t="s">
        <v>4747</v>
      </c>
      <c r="F3115" t="s">
        <v>4748</v>
      </c>
      <c r="G3115">
        <v>3</v>
      </c>
      <c r="H3115" t="s">
        <v>20</v>
      </c>
      <c r="I3115" s="2">
        <v>4500</v>
      </c>
    </row>
    <row r="3116" spans="1:9" x14ac:dyDescent="0.3">
      <c r="A3116" s="5">
        <v>8023</v>
      </c>
      <c r="B3116" s="5" t="s">
        <v>4749</v>
      </c>
      <c r="C3116" s="5">
        <v>5</v>
      </c>
      <c r="D3116" s="5" t="s">
        <v>63</v>
      </c>
      <c r="E3116" t="s">
        <v>4750</v>
      </c>
      <c r="F3116" t="s">
        <v>4751</v>
      </c>
      <c r="G3116">
        <v>4</v>
      </c>
      <c r="H3116" t="s">
        <v>4752</v>
      </c>
      <c r="I3116" s="2">
        <v>30000</v>
      </c>
    </row>
    <row r="3117" spans="1:9" x14ac:dyDescent="0.3">
      <c r="A3117" s="5">
        <v>8023</v>
      </c>
      <c r="B3117" s="5" t="s">
        <v>4749</v>
      </c>
      <c r="C3117" s="5">
        <v>5</v>
      </c>
      <c r="D3117" s="5" t="s">
        <v>63</v>
      </c>
      <c r="E3117" t="s">
        <v>4750</v>
      </c>
      <c r="F3117" t="s">
        <v>4751</v>
      </c>
      <c r="G3117">
        <v>4</v>
      </c>
      <c r="H3117" t="s">
        <v>67</v>
      </c>
      <c r="I3117" s="2">
        <v>10000</v>
      </c>
    </row>
    <row r="3118" spans="1:9" x14ac:dyDescent="0.3">
      <c r="A3118" s="5">
        <v>8021</v>
      </c>
      <c r="B3118" s="5" t="s">
        <v>4753</v>
      </c>
      <c r="C3118" s="5">
        <v>1</v>
      </c>
      <c r="D3118" s="5" t="s">
        <v>10</v>
      </c>
      <c r="E3118" t="s">
        <v>4754</v>
      </c>
      <c r="F3118" t="s">
        <v>4755</v>
      </c>
      <c r="G3118">
        <v>3</v>
      </c>
      <c r="H3118" t="s">
        <v>1566</v>
      </c>
      <c r="I3118" s="2">
        <v>15000</v>
      </c>
    </row>
    <row r="3119" spans="1:9" x14ac:dyDescent="0.3">
      <c r="A3119" s="5">
        <v>8021</v>
      </c>
      <c r="B3119" s="5" t="s">
        <v>4753</v>
      </c>
      <c r="C3119" s="5">
        <v>1</v>
      </c>
      <c r="D3119" s="5" t="s">
        <v>10</v>
      </c>
      <c r="E3119" t="s">
        <v>4754</v>
      </c>
      <c r="F3119" t="s">
        <v>4755</v>
      </c>
      <c r="G3119">
        <v>3</v>
      </c>
      <c r="H3119" t="s">
        <v>4756</v>
      </c>
      <c r="I3119" s="2">
        <v>6000</v>
      </c>
    </row>
    <row r="3120" spans="1:9" x14ac:dyDescent="0.3">
      <c r="A3120" s="5">
        <v>8021</v>
      </c>
      <c r="B3120" s="5" t="s">
        <v>4753</v>
      </c>
      <c r="C3120" s="5">
        <v>1</v>
      </c>
      <c r="D3120" s="5" t="s">
        <v>10</v>
      </c>
      <c r="E3120" t="s">
        <v>4754</v>
      </c>
      <c r="F3120" t="s">
        <v>4755</v>
      </c>
      <c r="G3120">
        <v>3</v>
      </c>
      <c r="H3120" t="s">
        <v>4757</v>
      </c>
      <c r="I3120" s="2">
        <v>6000</v>
      </c>
    </row>
    <row r="3121" spans="1:9" x14ac:dyDescent="0.3">
      <c r="A3121" s="5">
        <v>8021</v>
      </c>
      <c r="B3121" s="5" t="s">
        <v>4753</v>
      </c>
      <c r="C3121" s="5">
        <v>1</v>
      </c>
      <c r="D3121" s="5" t="s">
        <v>10</v>
      </c>
      <c r="E3121" t="s">
        <v>4754</v>
      </c>
      <c r="F3121" t="s">
        <v>4755</v>
      </c>
      <c r="G3121">
        <v>3</v>
      </c>
      <c r="H3121" t="s">
        <v>352</v>
      </c>
      <c r="I3121" s="2">
        <v>11000</v>
      </c>
    </row>
    <row r="3122" spans="1:9" x14ac:dyDescent="0.3">
      <c r="A3122" s="5">
        <v>8020</v>
      </c>
      <c r="B3122" s="5" t="s">
        <v>4758</v>
      </c>
      <c r="C3122" s="5">
        <v>1</v>
      </c>
      <c r="D3122" s="5" t="s">
        <v>10</v>
      </c>
      <c r="E3122" t="s">
        <v>4759</v>
      </c>
      <c r="F3122" t="s">
        <v>4760</v>
      </c>
      <c r="G3122">
        <v>3</v>
      </c>
      <c r="H3122" t="s">
        <v>128</v>
      </c>
      <c r="I3122" s="2">
        <v>5000</v>
      </c>
    </row>
    <row r="3123" spans="1:9" x14ac:dyDescent="0.3">
      <c r="A3123" s="5">
        <v>8020</v>
      </c>
      <c r="B3123" s="5" t="s">
        <v>4758</v>
      </c>
      <c r="C3123" s="5">
        <v>1</v>
      </c>
      <c r="D3123" s="5" t="s">
        <v>10</v>
      </c>
      <c r="E3123" t="s">
        <v>4759</v>
      </c>
      <c r="F3123" t="s">
        <v>4760</v>
      </c>
      <c r="G3123">
        <v>3</v>
      </c>
      <c r="H3123" t="s">
        <v>149</v>
      </c>
      <c r="I3123" s="2">
        <v>5000</v>
      </c>
    </row>
    <row r="3124" spans="1:9" x14ac:dyDescent="0.3">
      <c r="A3124" s="5">
        <v>8020</v>
      </c>
      <c r="B3124" s="5" t="s">
        <v>4758</v>
      </c>
      <c r="C3124" s="5">
        <v>1</v>
      </c>
      <c r="D3124" s="5" t="s">
        <v>10</v>
      </c>
      <c r="E3124" t="s">
        <v>4759</v>
      </c>
      <c r="F3124" t="s">
        <v>4760</v>
      </c>
      <c r="G3124">
        <v>3</v>
      </c>
      <c r="H3124" t="s">
        <v>4761</v>
      </c>
      <c r="I3124" s="2">
        <v>14000</v>
      </c>
    </row>
    <row r="3125" spans="1:9" x14ac:dyDescent="0.3">
      <c r="A3125" s="5">
        <v>8018</v>
      </c>
      <c r="B3125" s="5" t="s">
        <v>4762</v>
      </c>
      <c r="C3125" s="5">
        <v>2</v>
      </c>
      <c r="D3125" s="5" t="s">
        <v>261</v>
      </c>
      <c r="E3125" t="s">
        <v>4763</v>
      </c>
      <c r="F3125" t="s">
        <v>4764</v>
      </c>
      <c r="G3125">
        <v>3</v>
      </c>
      <c r="H3125" t="s">
        <v>755</v>
      </c>
      <c r="I3125" s="2">
        <v>3500</v>
      </c>
    </row>
    <row r="3126" spans="1:9" x14ac:dyDescent="0.3">
      <c r="A3126" s="5">
        <v>8018</v>
      </c>
      <c r="B3126" s="5" t="s">
        <v>4762</v>
      </c>
      <c r="C3126" s="5">
        <v>2</v>
      </c>
      <c r="D3126" s="5" t="s">
        <v>261</v>
      </c>
      <c r="E3126" t="s">
        <v>4763</v>
      </c>
      <c r="F3126" t="s">
        <v>4764</v>
      </c>
      <c r="G3126">
        <v>3</v>
      </c>
      <c r="H3126" t="s">
        <v>642</v>
      </c>
      <c r="I3126" s="2">
        <v>2500</v>
      </c>
    </row>
    <row r="3127" spans="1:9" x14ac:dyDescent="0.3">
      <c r="A3127" s="5">
        <v>8018</v>
      </c>
      <c r="B3127" s="5" t="s">
        <v>4762</v>
      </c>
      <c r="C3127" s="5">
        <v>2</v>
      </c>
      <c r="D3127" s="5" t="s">
        <v>261</v>
      </c>
      <c r="E3127" t="s">
        <v>4763</v>
      </c>
      <c r="F3127" t="s">
        <v>4764</v>
      </c>
      <c r="G3127">
        <v>3</v>
      </c>
      <c r="H3127" t="s">
        <v>265</v>
      </c>
      <c r="I3127" s="2">
        <v>3500</v>
      </c>
    </row>
    <row r="3128" spans="1:9" x14ac:dyDescent="0.3">
      <c r="A3128" s="5">
        <v>8018</v>
      </c>
      <c r="B3128" s="5" t="s">
        <v>4762</v>
      </c>
      <c r="C3128" s="5">
        <v>2</v>
      </c>
      <c r="D3128" s="5" t="s">
        <v>261</v>
      </c>
      <c r="E3128" t="s">
        <v>4763</v>
      </c>
      <c r="F3128" t="s">
        <v>4764</v>
      </c>
      <c r="G3128">
        <v>3</v>
      </c>
      <c r="H3128" t="s">
        <v>383</v>
      </c>
      <c r="I3128" s="2">
        <v>3000</v>
      </c>
    </row>
    <row r="3129" spans="1:9" x14ac:dyDescent="0.3">
      <c r="A3129" s="5">
        <v>8017</v>
      </c>
      <c r="B3129" s="5" t="s">
        <v>4765</v>
      </c>
      <c r="C3129" s="5">
        <v>1</v>
      </c>
      <c r="D3129" s="5" t="s">
        <v>10</v>
      </c>
      <c r="E3129" t="s">
        <v>4766</v>
      </c>
      <c r="F3129" t="s">
        <v>4767</v>
      </c>
      <c r="G3129">
        <v>3</v>
      </c>
      <c r="H3129" t="s">
        <v>2528</v>
      </c>
      <c r="I3129" s="2">
        <v>5000</v>
      </c>
    </row>
    <row r="3130" spans="1:9" x14ac:dyDescent="0.3">
      <c r="A3130" s="5">
        <v>8017</v>
      </c>
      <c r="B3130" s="5" t="s">
        <v>4765</v>
      </c>
      <c r="C3130" s="5">
        <v>1</v>
      </c>
      <c r="D3130" s="5" t="s">
        <v>10</v>
      </c>
      <c r="E3130" t="s">
        <v>4766</v>
      </c>
      <c r="F3130" t="s">
        <v>4767</v>
      </c>
      <c r="G3130">
        <v>3</v>
      </c>
      <c r="H3130" t="s">
        <v>352</v>
      </c>
      <c r="I3130" s="2">
        <v>8000</v>
      </c>
    </row>
    <row r="3131" spans="1:9" x14ac:dyDescent="0.3">
      <c r="A3131" s="5">
        <v>8017</v>
      </c>
      <c r="B3131" s="5" t="s">
        <v>4765</v>
      </c>
      <c r="C3131" s="5">
        <v>1</v>
      </c>
      <c r="D3131" s="5" t="s">
        <v>10</v>
      </c>
      <c r="E3131" t="s">
        <v>4766</v>
      </c>
      <c r="F3131" t="s">
        <v>4767</v>
      </c>
      <c r="G3131">
        <v>3</v>
      </c>
      <c r="H3131" t="s">
        <v>2528</v>
      </c>
      <c r="I3131" s="2">
        <v>6000</v>
      </c>
    </row>
    <row r="3132" spans="1:9" x14ac:dyDescent="0.3">
      <c r="A3132" s="5">
        <v>8017</v>
      </c>
      <c r="B3132" s="5" t="s">
        <v>4765</v>
      </c>
      <c r="C3132" s="5">
        <v>1</v>
      </c>
      <c r="D3132" s="5" t="s">
        <v>10</v>
      </c>
      <c r="E3132" t="s">
        <v>4766</v>
      </c>
      <c r="F3132" t="s">
        <v>4767</v>
      </c>
      <c r="G3132">
        <v>3</v>
      </c>
      <c r="H3132" t="s">
        <v>352</v>
      </c>
      <c r="I3132" s="2">
        <v>7000</v>
      </c>
    </row>
    <row r="3133" spans="1:9" x14ac:dyDescent="0.3">
      <c r="A3133" s="5">
        <v>8006</v>
      </c>
      <c r="B3133" s="5" t="s">
        <v>1467</v>
      </c>
      <c r="C3133" s="5">
        <v>5</v>
      </c>
      <c r="D3133" s="5" t="s">
        <v>63</v>
      </c>
      <c r="E3133" t="s">
        <v>4768</v>
      </c>
      <c r="F3133" t="s">
        <v>1469</v>
      </c>
      <c r="G3133">
        <v>3</v>
      </c>
      <c r="H3133" t="s">
        <v>67</v>
      </c>
      <c r="I3133" s="2">
        <v>10000</v>
      </c>
    </row>
    <row r="3134" spans="1:9" x14ac:dyDescent="0.3">
      <c r="A3134" s="5">
        <v>8006</v>
      </c>
      <c r="B3134" s="5" t="s">
        <v>1467</v>
      </c>
      <c r="C3134" s="5">
        <v>5</v>
      </c>
      <c r="D3134" s="5" t="s">
        <v>63</v>
      </c>
      <c r="E3134" t="s">
        <v>4768</v>
      </c>
      <c r="F3134" t="s">
        <v>1469</v>
      </c>
      <c r="G3134">
        <v>3</v>
      </c>
      <c r="H3134" t="s">
        <v>88</v>
      </c>
      <c r="I3134" s="2">
        <v>25000</v>
      </c>
    </row>
    <row r="3135" spans="1:9" x14ac:dyDescent="0.3">
      <c r="A3135" s="5">
        <v>8005</v>
      </c>
      <c r="B3135" s="5" t="s">
        <v>4769</v>
      </c>
      <c r="C3135" s="5">
        <v>1</v>
      </c>
      <c r="D3135" s="5" t="s">
        <v>10</v>
      </c>
      <c r="E3135" t="s">
        <v>4770</v>
      </c>
      <c r="F3135" t="s">
        <v>4771</v>
      </c>
      <c r="G3135">
        <v>3</v>
      </c>
      <c r="H3135" t="s">
        <v>139</v>
      </c>
      <c r="I3135" s="2">
        <v>8000</v>
      </c>
    </row>
    <row r="3136" spans="1:9" x14ac:dyDescent="0.3">
      <c r="A3136" s="5">
        <v>8005</v>
      </c>
      <c r="B3136" s="5" t="s">
        <v>4769</v>
      </c>
      <c r="C3136" s="5">
        <v>1</v>
      </c>
      <c r="D3136" s="5" t="s">
        <v>10</v>
      </c>
      <c r="E3136" t="s">
        <v>4770</v>
      </c>
      <c r="F3136" t="s">
        <v>4771</v>
      </c>
      <c r="G3136">
        <v>3</v>
      </c>
      <c r="H3136" t="s">
        <v>139</v>
      </c>
      <c r="I3136" s="2">
        <v>4500</v>
      </c>
    </row>
    <row r="3137" spans="1:9" x14ac:dyDescent="0.3">
      <c r="A3137" s="5">
        <v>8005</v>
      </c>
      <c r="B3137" s="5" t="s">
        <v>4769</v>
      </c>
      <c r="C3137" s="5">
        <v>1</v>
      </c>
      <c r="D3137" s="5" t="s">
        <v>10</v>
      </c>
      <c r="E3137" t="s">
        <v>4770</v>
      </c>
      <c r="F3137" t="s">
        <v>4771</v>
      </c>
      <c r="G3137">
        <v>3</v>
      </c>
      <c r="H3137" t="s">
        <v>126</v>
      </c>
      <c r="I3137" s="2">
        <v>8000</v>
      </c>
    </row>
    <row r="3138" spans="1:9" x14ac:dyDescent="0.3">
      <c r="A3138" s="5">
        <v>7972</v>
      </c>
      <c r="B3138" s="5" t="s">
        <v>84</v>
      </c>
      <c r="C3138" s="5">
        <v>1</v>
      </c>
      <c r="D3138" s="5" t="s">
        <v>10</v>
      </c>
      <c r="E3138" t="s">
        <v>4772</v>
      </c>
      <c r="F3138" t="s">
        <v>4773</v>
      </c>
      <c r="G3138">
        <v>3</v>
      </c>
      <c r="H3138" t="s">
        <v>133</v>
      </c>
      <c r="I3138" s="2">
        <v>5000</v>
      </c>
    </row>
    <row r="3139" spans="1:9" x14ac:dyDescent="0.3">
      <c r="A3139" s="5">
        <v>7972</v>
      </c>
      <c r="B3139" s="5" t="s">
        <v>84</v>
      </c>
      <c r="C3139" s="5">
        <v>1</v>
      </c>
      <c r="D3139" s="5" t="s">
        <v>10</v>
      </c>
      <c r="E3139" t="s">
        <v>4772</v>
      </c>
      <c r="F3139" t="s">
        <v>4773</v>
      </c>
      <c r="G3139">
        <v>3</v>
      </c>
      <c r="H3139" t="s">
        <v>84</v>
      </c>
      <c r="I3139" s="2">
        <v>6000</v>
      </c>
    </row>
    <row r="3140" spans="1:9" x14ac:dyDescent="0.3">
      <c r="A3140" s="5">
        <v>7972</v>
      </c>
      <c r="B3140" s="5" t="s">
        <v>84</v>
      </c>
      <c r="C3140" s="5">
        <v>1</v>
      </c>
      <c r="D3140" s="5" t="s">
        <v>10</v>
      </c>
      <c r="E3140" t="s">
        <v>4772</v>
      </c>
      <c r="F3140" t="s">
        <v>4773</v>
      </c>
      <c r="G3140">
        <v>3</v>
      </c>
      <c r="H3140" t="s">
        <v>4774</v>
      </c>
      <c r="I3140" s="2">
        <v>5000</v>
      </c>
    </row>
    <row r="3141" spans="1:9" x14ac:dyDescent="0.3">
      <c r="A3141" s="5">
        <v>7972</v>
      </c>
      <c r="B3141" s="5" t="s">
        <v>84</v>
      </c>
      <c r="C3141" s="5">
        <v>1</v>
      </c>
      <c r="D3141" s="5" t="s">
        <v>10</v>
      </c>
      <c r="E3141" t="s">
        <v>4772</v>
      </c>
      <c r="F3141" t="s">
        <v>4773</v>
      </c>
      <c r="G3141">
        <v>3</v>
      </c>
      <c r="H3141" t="s">
        <v>1343</v>
      </c>
      <c r="I3141" s="2">
        <v>5000</v>
      </c>
    </row>
    <row r="3142" spans="1:9" x14ac:dyDescent="0.3">
      <c r="A3142" s="5">
        <v>7971</v>
      </c>
      <c r="B3142" s="5" t="s">
        <v>4775</v>
      </c>
      <c r="C3142" s="5">
        <v>1</v>
      </c>
      <c r="D3142" s="5" t="s">
        <v>10</v>
      </c>
      <c r="E3142" t="s">
        <v>4776</v>
      </c>
      <c r="F3142" t="s">
        <v>4777</v>
      </c>
      <c r="G3142">
        <v>4</v>
      </c>
      <c r="H3142" t="s">
        <v>1042</v>
      </c>
      <c r="I3142" s="2">
        <v>5000</v>
      </c>
    </row>
    <row r="3143" spans="1:9" x14ac:dyDescent="0.3">
      <c r="A3143" s="5">
        <v>7967</v>
      </c>
      <c r="B3143" s="5" t="s">
        <v>4778</v>
      </c>
      <c r="C3143" s="5">
        <v>1</v>
      </c>
      <c r="D3143" s="5" t="s">
        <v>10</v>
      </c>
      <c r="E3143" t="s">
        <v>4779</v>
      </c>
      <c r="F3143" t="s">
        <v>4780</v>
      </c>
      <c r="G3143">
        <v>3</v>
      </c>
      <c r="H3143" t="s">
        <v>37</v>
      </c>
      <c r="I3143" s="2">
        <v>8000</v>
      </c>
    </row>
    <row r="3144" spans="1:9" x14ac:dyDescent="0.3">
      <c r="A3144" s="5">
        <v>7967</v>
      </c>
      <c r="B3144" s="5" t="s">
        <v>4778</v>
      </c>
      <c r="C3144" s="5">
        <v>1</v>
      </c>
      <c r="D3144" s="5" t="s">
        <v>10</v>
      </c>
      <c r="E3144" t="s">
        <v>4779</v>
      </c>
      <c r="F3144" t="s">
        <v>4780</v>
      </c>
      <c r="G3144">
        <v>3</v>
      </c>
      <c r="H3144" t="s">
        <v>126</v>
      </c>
      <c r="I3144" s="2">
        <v>8000</v>
      </c>
    </row>
    <row r="3145" spans="1:9" x14ac:dyDescent="0.3">
      <c r="A3145" s="5">
        <v>7967</v>
      </c>
      <c r="B3145" s="5" t="s">
        <v>4778</v>
      </c>
      <c r="C3145" s="5">
        <v>1</v>
      </c>
      <c r="D3145" s="5" t="s">
        <v>10</v>
      </c>
      <c r="E3145" t="s">
        <v>4779</v>
      </c>
      <c r="F3145" t="s">
        <v>4780</v>
      </c>
      <c r="G3145">
        <v>3</v>
      </c>
      <c r="H3145" t="s">
        <v>3133</v>
      </c>
      <c r="I3145" s="2">
        <v>8000</v>
      </c>
    </row>
    <row r="3146" spans="1:9" x14ac:dyDescent="0.3">
      <c r="A3146" s="5">
        <v>7951</v>
      </c>
      <c r="B3146" s="5" t="s">
        <v>4781</v>
      </c>
      <c r="C3146" s="5">
        <v>5</v>
      </c>
      <c r="D3146" s="5" t="s">
        <v>63</v>
      </c>
      <c r="E3146" t="s">
        <v>4782</v>
      </c>
      <c r="F3146" t="s">
        <v>4783</v>
      </c>
      <c r="G3146">
        <v>5</v>
      </c>
      <c r="H3146" t="s">
        <v>88</v>
      </c>
      <c r="I3146" s="2">
        <v>25000</v>
      </c>
    </row>
    <row r="3147" spans="1:9" x14ac:dyDescent="0.3">
      <c r="A3147" s="5">
        <v>7951</v>
      </c>
      <c r="B3147" s="5" t="s">
        <v>4781</v>
      </c>
      <c r="C3147" s="5">
        <v>5</v>
      </c>
      <c r="D3147" s="5" t="s">
        <v>63</v>
      </c>
      <c r="E3147" t="s">
        <v>4782</v>
      </c>
      <c r="F3147" t="s">
        <v>4783</v>
      </c>
      <c r="G3147">
        <v>5</v>
      </c>
      <c r="H3147" t="s">
        <v>673</v>
      </c>
      <c r="I3147" s="2">
        <v>6000</v>
      </c>
    </row>
    <row r="3148" spans="1:9" x14ac:dyDescent="0.3">
      <c r="A3148" s="5">
        <v>7951</v>
      </c>
      <c r="B3148" s="5" t="s">
        <v>4781</v>
      </c>
      <c r="C3148" s="5">
        <v>5</v>
      </c>
      <c r="D3148" s="5" t="s">
        <v>63</v>
      </c>
      <c r="E3148" t="s">
        <v>4782</v>
      </c>
      <c r="F3148" t="s">
        <v>4783</v>
      </c>
      <c r="G3148">
        <v>5</v>
      </c>
      <c r="H3148" t="s">
        <v>673</v>
      </c>
      <c r="I3148" s="2">
        <v>7000</v>
      </c>
    </row>
    <row r="3149" spans="1:9" x14ac:dyDescent="0.3">
      <c r="A3149" s="5">
        <v>7951</v>
      </c>
      <c r="B3149" s="5" t="s">
        <v>4781</v>
      </c>
      <c r="C3149" s="5">
        <v>5</v>
      </c>
      <c r="D3149" s="5" t="s">
        <v>63</v>
      </c>
      <c r="E3149" t="s">
        <v>4782</v>
      </c>
      <c r="F3149" t="s">
        <v>4783</v>
      </c>
      <c r="G3149">
        <v>5</v>
      </c>
      <c r="H3149" t="s">
        <v>88</v>
      </c>
      <c r="I3149" s="2">
        <v>20000</v>
      </c>
    </row>
    <row r="3150" spans="1:9" x14ac:dyDescent="0.3">
      <c r="A3150" s="5">
        <v>7939</v>
      </c>
      <c r="B3150" s="5" t="s">
        <v>4784</v>
      </c>
      <c r="C3150" s="5">
        <v>1</v>
      </c>
      <c r="D3150" s="5" t="s">
        <v>10</v>
      </c>
      <c r="E3150" t="s">
        <v>4785</v>
      </c>
      <c r="F3150" t="s">
        <v>4786</v>
      </c>
      <c r="G3150">
        <v>5</v>
      </c>
      <c r="H3150" t="s">
        <v>4787</v>
      </c>
      <c r="I3150" s="2">
        <v>15000</v>
      </c>
    </row>
    <row r="3151" spans="1:9" x14ac:dyDescent="0.3">
      <c r="A3151" s="5">
        <v>7939</v>
      </c>
      <c r="B3151" s="5" t="s">
        <v>4784</v>
      </c>
      <c r="C3151" s="5">
        <v>1</v>
      </c>
      <c r="D3151" s="5" t="s">
        <v>10</v>
      </c>
      <c r="E3151" t="s">
        <v>4785</v>
      </c>
      <c r="F3151" t="s">
        <v>4786</v>
      </c>
      <c r="G3151">
        <v>5</v>
      </c>
      <c r="H3151" t="s">
        <v>4787</v>
      </c>
      <c r="I3151" s="2">
        <v>15000</v>
      </c>
    </row>
    <row r="3152" spans="1:9" x14ac:dyDescent="0.3">
      <c r="A3152" s="5">
        <v>7937</v>
      </c>
      <c r="B3152" s="5" t="s">
        <v>4788</v>
      </c>
      <c r="C3152" s="5">
        <v>1</v>
      </c>
      <c r="D3152" s="5" t="s">
        <v>10</v>
      </c>
      <c r="E3152" t="s">
        <v>4789</v>
      </c>
      <c r="F3152" t="s">
        <v>4790</v>
      </c>
      <c r="G3152">
        <v>5</v>
      </c>
      <c r="H3152" t="s">
        <v>126</v>
      </c>
      <c r="I3152" s="2">
        <v>8000</v>
      </c>
    </row>
    <row r="3153" spans="1:9" x14ac:dyDescent="0.3">
      <c r="A3153" s="5">
        <v>7937</v>
      </c>
      <c r="B3153" s="5" t="s">
        <v>4788</v>
      </c>
      <c r="C3153" s="5">
        <v>1</v>
      </c>
      <c r="D3153" s="5" t="s">
        <v>10</v>
      </c>
      <c r="E3153" t="s">
        <v>4789</v>
      </c>
      <c r="F3153" t="s">
        <v>4790</v>
      </c>
      <c r="G3153">
        <v>5</v>
      </c>
      <c r="H3153" t="s">
        <v>139</v>
      </c>
      <c r="I3153" s="2">
        <v>5000</v>
      </c>
    </row>
    <row r="3154" spans="1:9" x14ac:dyDescent="0.3">
      <c r="A3154" s="5">
        <v>7937</v>
      </c>
      <c r="B3154" s="5" t="s">
        <v>4788</v>
      </c>
      <c r="C3154" s="5">
        <v>1</v>
      </c>
      <c r="D3154" s="5" t="s">
        <v>10</v>
      </c>
      <c r="E3154" t="s">
        <v>4789</v>
      </c>
      <c r="F3154" t="s">
        <v>4790</v>
      </c>
      <c r="G3154">
        <v>5</v>
      </c>
      <c r="H3154" t="s">
        <v>4774</v>
      </c>
      <c r="I3154" s="2">
        <v>8000</v>
      </c>
    </row>
    <row r="3155" spans="1:9" x14ac:dyDescent="0.3">
      <c r="A3155" s="5">
        <v>7933</v>
      </c>
      <c r="B3155" s="5" t="s">
        <v>4791</v>
      </c>
      <c r="C3155" s="5">
        <v>7</v>
      </c>
      <c r="D3155" s="5" t="s">
        <v>360</v>
      </c>
      <c r="E3155" t="s">
        <v>4792</v>
      </c>
      <c r="F3155" t="s">
        <v>4793</v>
      </c>
      <c r="G3155">
        <v>5</v>
      </c>
      <c r="H3155" t="s">
        <v>4794</v>
      </c>
      <c r="I3155" s="2">
        <v>2000</v>
      </c>
    </row>
    <row r="3156" spans="1:9" x14ac:dyDescent="0.3">
      <c r="A3156" s="5">
        <v>7933</v>
      </c>
      <c r="B3156" s="5" t="s">
        <v>4791</v>
      </c>
      <c r="C3156" s="5">
        <v>7</v>
      </c>
      <c r="D3156" s="5" t="s">
        <v>360</v>
      </c>
      <c r="E3156" t="s">
        <v>4792</v>
      </c>
      <c r="F3156" t="s">
        <v>4793</v>
      </c>
      <c r="G3156">
        <v>5</v>
      </c>
      <c r="H3156" t="s">
        <v>4795</v>
      </c>
      <c r="I3156" s="2">
        <v>3000</v>
      </c>
    </row>
    <row r="3157" spans="1:9" x14ac:dyDescent="0.3">
      <c r="A3157" s="5">
        <v>7933</v>
      </c>
      <c r="B3157" s="5" t="s">
        <v>4791</v>
      </c>
      <c r="C3157" s="5">
        <v>7</v>
      </c>
      <c r="D3157" s="5" t="s">
        <v>360</v>
      </c>
      <c r="E3157" t="s">
        <v>4792</v>
      </c>
      <c r="F3157" t="s">
        <v>4793</v>
      </c>
      <c r="G3157">
        <v>5</v>
      </c>
      <c r="H3157" t="s">
        <v>4796</v>
      </c>
      <c r="I3157" s="2">
        <v>5000</v>
      </c>
    </row>
    <row r="3158" spans="1:9" x14ac:dyDescent="0.3">
      <c r="A3158" s="5">
        <v>7933</v>
      </c>
      <c r="B3158" s="5" t="s">
        <v>4791</v>
      </c>
      <c r="C3158" s="5">
        <v>7</v>
      </c>
      <c r="D3158" s="5" t="s">
        <v>360</v>
      </c>
      <c r="E3158" t="s">
        <v>4792</v>
      </c>
      <c r="F3158" t="s">
        <v>4793</v>
      </c>
      <c r="G3158">
        <v>5</v>
      </c>
      <c r="H3158" t="s">
        <v>4797</v>
      </c>
      <c r="I3158" s="2">
        <v>6000</v>
      </c>
    </row>
    <row r="3159" spans="1:9" x14ac:dyDescent="0.3">
      <c r="A3159" s="5">
        <v>7931</v>
      </c>
      <c r="B3159" s="5" t="s">
        <v>4798</v>
      </c>
      <c r="C3159" s="5">
        <v>2</v>
      </c>
      <c r="D3159" s="5" t="s">
        <v>261</v>
      </c>
      <c r="E3159" t="s">
        <v>4799</v>
      </c>
      <c r="F3159" t="s">
        <v>4800</v>
      </c>
      <c r="G3159">
        <v>5</v>
      </c>
      <c r="H3159" t="s">
        <v>4801</v>
      </c>
      <c r="I3159" s="2">
        <v>3500</v>
      </c>
    </row>
    <row r="3160" spans="1:9" x14ac:dyDescent="0.3">
      <c r="A3160" s="5">
        <v>7931</v>
      </c>
      <c r="B3160" s="5" t="s">
        <v>4798</v>
      </c>
      <c r="C3160" s="5">
        <v>2</v>
      </c>
      <c r="D3160" s="5" t="s">
        <v>261</v>
      </c>
      <c r="E3160" t="s">
        <v>4799</v>
      </c>
      <c r="F3160" t="s">
        <v>4800</v>
      </c>
      <c r="G3160">
        <v>5</v>
      </c>
      <c r="H3160" t="s">
        <v>4802</v>
      </c>
      <c r="I3160" s="2">
        <v>4000</v>
      </c>
    </row>
    <row r="3161" spans="1:9" x14ac:dyDescent="0.3">
      <c r="A3161" s="5">
        <v>7930</v>
      </c>
      <c r="B3161" s="5" t="s">
        <v>4803</v>
      </c>
      <c r="C3161" s="5">
        <v>7</v>
      </c>
      <c r="D3161" s="5" t="s">
        <v>360</v>
      </c>
      <c r="E3161" t="s">
        <v>4804</v>
      </c>
      <c r="F3161" t="s">
        <v>4805</v>
      </c>
      <c r="G3161">
        <v>5</v>
      </c>
      <c r="H3161" t="s">
        <v>716</v>
      </c>
      <c r="I3161" s="2">
        <v>4000</v>
      </c>
    </row>
    <row r="3162" spans="1:9" x14ac:dyDescent="0.3">
      <c r="A3162" s="5">
        <v>7930</v>
      </c>
      <c r="B3162" s="5" t="s">
        <v>4803</v>
      </c>
      <c r="C3162" s="5">
        <v>7</v>
      </c>
      <c r="D3162" s="5" t="s">
        <v>360</v>
      </c>
      <c r="E3162" t="s">
        <v>4804</v>
      </c>
      <c r="F3162" t="s">
        <v>4805</v>
      </c>
      <c r="G3162">
        <v>5</v>
      </c>
      <c r="H3162" t="s">
        <v>4806</v>
      </c>
      <c r="I3162" s="2">
        <v>12000</v>
      </c>
    </row>
    <row r="3163" spans="1:9" x14ac:dyDescent="0.3">
      <c r="A3163" s="5">
        <v>7930</v>
      </c>
      <c r="B3163" s="5" t="s">
        <v>4803</v>
      </c>
      <c r="C3163" s="5">
        <v>7</v>
      </c>
      <c r="D3163" s="5" t="s">
        <v>360</v>
      </c>
      <c r="E3163" t="s">
        <v>4804</v>
      </c>
      <c r="F3163" t="s">
        <v>4805</v>
      </c>
      <c r="G3163">
        <v>5</v>
      </c>
      <c r="H3163" t="s">
        <v>446</v>
      </c>
      <c r="I3163" s="2">
        <v>7000</v>
      </c>
    </row>
    <row r="3164" spans="1:9" x14ac:dyDescent="0.3">
      <c r="A3164" s="5">
        <v>7930</v>
      </c>
      <c r="B3164" s="5" t="s">
        <v>4803</v>
      </c>
      <c r="C3164" s="5">
        <v>7</v>
      </c>
      <c r="D3164" s="5" t="s">
        <v>360</v>
      </c>
      <c r="E3164" t="s">
        <v>4804</v>
      </c>
      <c r="F3164" t="s">
        <v>4805</v>
      </c>
      <c r="G3164">
        <v>5</v>
      </c>
      <c r="H3164" t="s">
        <v>4807</v>
      </c>
      <c r="I3164" s="2">
        <v>10000</v>
      </c>
    </row>
    <row r="3165" spans="1:9" x14ac:dyDescent="0.3">
      <c r="A3165" s="5">
        <v>7925</v>
      </c>
      <c r="B3165" s="5" t="s">
        <v>4808</v>
      </c>
      <c r="C3165" s="5">
        <v>5</v>
      </c>
      <c r="D3165" s="5" t="s">
        <v>63</v>
      </c>
      <c r="E3165" t="s">
        <v>4809</v>
      </c>
      <c r="F3165" t="s">
        <v>4810</v>
      </c>
      <c r="G3165">
        <v>5</v>
      </c>
      <c r="H3165" t="s">
        <v>67</v>
      </c>
      <c r="I3165" s="2">
        <v>5000</v>
      </c>
    </row>
    <row r="3166" spans="1:9" x14ac:dyDescent="0.3">
      <c r="A3166" s="5">
        <v>7925</v>
      </c>
      <c r="B3166" s="5" t="s">
        <v>4808</v>
      </c>
      <c r="C3166" s="5">
        <v>5</v>
      </c>
      <c r="D3166" s="5" t="s">
        <v>63</v>
      </c>
      <c r="E3166" t="s">
        <v>4809</v>
      </c>
      <c r="F3166" t="s">
        <v>4810</v>
      </c>
      <c r="G3166">
        <v>5</v>
      </c>
      <c r="H3166" t="s">
        <v>88</v>
      </c>
      <c r="I3166" s="2">
        <v>15000</v>
      </c>
    </row>
    <row r="3167" spans="1:9" x14ac:dyDescent="0.3">
      <c r="A3167" s="5">
        <v>7925</v>
      </c>
      <c r="B3167" s="5" t="s">
        <v>4808</v>
      </c>
      <c r="C3167" s="5">
        <v>5</v>
      </c>
      <c r="D3167" s="5" t="s">
        <v>63</v>
      </c>
      <c r="E3167" t="s">
        <v>4809</v>
      </c>
      <c r="F3167" t="s">
        <v>4810</v>
      </c>
      <c r="G3167">
        <v>5</v>
      </c>
      <c r="H3167" t="s">
        <v>66</v>
      </c>
      <c r="I3167" s="2">
        <v>15000</v>
      </c>
    </row>
    <row r="3168" spans="1:9" x14ac:dyDescent="0.3">
      <c r="A3168" s="5">
        <v>7925</v>
      </c>
      <c r="B3168" s="5" t="s">
        <v>4808</v>
      </c>
      <c r="C3168" s="5">
        <v>5</v>
      </c>
      <c r="D3168" s="5" t="s">
        <v>63</v>
      </c>
      <c r="E3168" t="s">
        <v>4809</v>
      </c>
      <c r="F3168" t="s">
        <v>4810</v>
      </c>
      <c r="G3168">
        <v>5</v>
      </c>
      <c r="H3168" t="s">
        <v>909</v>
      </c>
      <c r="I3168" s="2">
        <v>5000</v>
      </c>
    </row>
    <row r="3169" spans="1:9" x14ac:dyDescent="0.3">
      <c r="A3169" s="5">
        <v>7911</v>
      </c>
      <c r="B3169" s="5" t="s">
        <v>4811</v>
      </c>
      <c r="C3169" s="5">
        <v>1</v>
      </c>
      <c r="D3169" s="5" t="s">
        <v>10</v>
      </c>
      <c r="E3169" t="s">
        <v>4812</v>
      </c>
      <c r="F3169" t="s">
        <v>4813</v>
      </c>
      <c r="G3169">
        <v>6</v>
      </c>
      <c r="H3169" t="s">
        <v>1378</v>
      </c>
      <c r="I3169" s="2">
        <v>11000</v>
      </c>
    </row>
    <row r="3170" spans="1:9" x14ac:dyDescent="0.3">
      <c r="A3170" s="5">
        <v>7911</v>
      </c>
      <c r="B3170" s="5" t="s">
        <v>4811</v>
      </c>
      <c r="C3170" s="5">
        <v>1</v>
      </c>
      <c r="D3170" s="5" t="s">
        <v>10</v>
      </c>
      <c r="E3170" t="s">
        <v>4812</v>
      </c>
      <c r="F3170" t="s">
        <v>4813</v>
      </c>
      <c r="G3170">
        <v>6</v>
      </c>
      <c r="H3170" t="s">
        <v>128</v>
      </c>
      <c r="I3170" s="2">
        <v>10000</v>
      </c>
    </row>
    <row r="3171" spans="1:9" x14ac:dyDescent="0.3">
      <c r="A3171" s="5">
        <v>7911</v>
      </c>
      <c r="B3171" s="5" t="s">
        <v>4811</v>
      </c>
      <c r="C3171" s="5">
        <v>1</v>
      </c>
      <c r="D3171" s="5" t="s">
        <v>10</v>
      </c>
      <c r="E3171" t="s">
        <v>4812</v>
      </c>
      <c r="F3171" t="s">
        <v>4813</v>
      </c>
      <c r="G3171">
        <v>6</v>
      </c>
      <c r="H3171" t="s">
        <v>217</v>
      </c>
      <c r="I3171" s="2">
        <v>15000</v>
      </c>
    </row>
    <row r="3172" spans="1:9" x14ac:dyDescent="0.3">
      <c r="A3172" s="5">
        <v>7908</v>
      </c>
      <c r="B3172" s="5" t="s">
        <v>4814</v>
      </c>
      <c r="C3172" s="5">
        <v>5</v>
      </c>
      <c r="D3172" s="5" t="s">
        <v>63</v>
      </c>
      <c r="E3172" t="s">
        <v>4815</v>
      </c>
      <c r="F3172" t="s">
        <v>4816</v>
      </c>
      <c r="G3172">
        <v>5</v>
      </c>
      <c r="H3172" t="s">
        <v>909</v>
      </c>
      <c r="I3172" s="2">
        <v>8000</v>
      </c>
    </row>
    <row r="3173" spans="1:9" x14ac:dyDescent="0.3">
      <c r="A3173" s="5">
        <v>7908</v>
      </c>
      <c r="B3173" s="5" t="s">
        <v>4814</v>
      </c>
      <c r="C3173" s="5">
        <v>5</v>
      </c>
      <c r="D3173" s="5" t="s">
        <v>63</v>
      </c>
      <c r="E3173" t="s">
        <v>4815</v>
      </c>
      <c r="F3173" t="s">
        <v>4816</v>
      </c>
      <c r="G3173">
        <v>5</v>
      </c>
      <c r="H3173" t="s">
        <v>67</v>
      </c>
      <c r="I3173" s="2">
        <v>7000</v>
      </c>
    </row>
    <row r="3174" spans="1:9" x14ac:dyDescent="0.3">
      <c r="A3174" s="5">
        <v>7908</v>
      </c>
      <c r="B3174" s="5" t="s">
        <v>4814</v>
      </c>
      <c r="C3174" s="5">
        <v>5</v>
      </c>
      <c r="D3174" s="5" t="s">
        <v>63</v>
      </c>
      <c r="E3174" t="s">
        <v>4815</v>
      </c>
      <c r="F3174" t="s">
        <v>4816</v>
      </c>
      <c r="G3174">
        <v>5</v>
      </c>
      <c r="H3174" t="s">
        <v>88</v>
      </c>
      <c r="I3174" s="2">
        <v>20000</v>
      </c>
    </row>
    <row r="3175" spans="1:9" x14ac:dyDescent="0.3">
      <c r="A3175" s="5">
        <v>7908</v>
      </c>
      <c r="B3175" s="5" t="s">
        <v>4814</v>
      </c>
      <c r="C3175" s="5">
        <v>5</v>
      </c>
      <c r="D3175" s="5" t="s">
        <v>63</v>
      </c>
      <c r="E3175" t="s">
        <v>4815</v>
      </c>
      <c r="F3175" t="s">
        <v>4816</v>
      </c>
      <c r="G3175">
        <v>5</v>
      </c>
      <c r="H3175" t="s">
        <v>66</v>
      </c>
      <c r="I3175" s="2">
        <v>15000</v>
      </c>
    </row>
    <row r="3176" spans="1:9" x14ac:dyDescent="0.3">
      <c r="A3176" s="5">
        <v>7904</v>
      </c>
      <c r="B3176" s="5" t="s">
        <v>4817</v>
      </c>
      <c r="C3176" s="5">
        <v>1</v>
      </c>
      <c r="D3176" s="5" t="s">
        <v>10</v>
      </c>
      <c r="E3176" t="s">
        <v>4818</v>
      </c>
      <c r="F3176" t="s">
        <v>4819</v>
      </c>
      <c r="G3176">
        <v>5</v>
      </c>
      <c r="H3176" t="s">
        <v>1520</v>
      </c>
      <c r="I3176" s="2">
        <v>6000</v>
      </c>
    </row>
    <row r="3177" spans="1:9" x14ac:dyDescent="0.3">
      <c r="A3177" s="5">
        <v>7904</v>
      </c>
      <c r="B3177" s="5" t="s">
        <v>4817</v>
      </c>
      <c r="C3177" s="5">
        <v>1</v>
      </c>
      <c r="D3177" s="5" t="s">
        <v>10</v>
      </c>
      <c r="E3177" t="s">
        <v>4818</v>
      </c>
      <c r="F3177" t="s">
        <v>4819</v>
      </c>
      <c r="G3177">
        <v>5</v>
      </c>
      <c r="H3177" t="s">
        <v>4663</v>
      </c>
      <c r="I3177" s="2">
        <v>10000</v>
      </c>
    </row>
    <row r="3178" spans="1:9" x14ac:dyDescent="0.3">
      <c r="A3178" s="5">
        <v>7903</v>
      </c>
      <c r="B3178" s="5" t="s">
        <v>4820</v>
      </c>
      <c r="C3178" s="5">
        <v>1</v>
      </c>
      <c r="D3178" s="5" t="s">
        <v>10</v>
      </c>
      <c r="E3178" t="s">
        <v>4821</v>
      </c>
      <c r="F3178" t="s">
        <v>4822</v>
      </c>
      <c r="G3178">
        <v>7</v>
      </c>
      <c r="H3178" t="s">
        <v>4823</v>
      </c>
      <c r="I3178" s="2">
        <v>7000</v>
      </c>
    </row>
    <row r="3179" spans="1:9" x14ac:dyDescent="0.3">
      <c r="A3179" s="5">
        <v>7903</v>
      </c>
      <c r="B3179" s="5" t="s">
        <v>4820</v>
      </c>
      <c r="C3179" s="5">
        <v>1</v>
      </c>
      <c r="D3179" s="5" t="s">
        <v>10</v>
      </c>
      <c r="E3179" t="s">
        <v>4821</v>
      </c>
      <c r="F3179" t="s">
        <v>4822</v>
      </c>
      <c r="G3179">
        <v>7</v>
      </c>
      <c r="H3179" t="s">
        <v>4663</v>
      </c>
      <c r="I3179" s="2">
        <v>11000</v>
      </c>
    </row>
    <row r="3180" spans="1:9" x14ac:dyDescent="0.3">
      <c r="A3180" s="5">
        <v>7901</v>
      </c>
      <c r="B3180" s="5" t="s">
        <v>4824</v>
      </c>
      <c r="C3180" s="5">
        <v>1</v>
      </c>
      <c r="D3180" s="5" t="s">
        <v>10</v>
      </c>
      <c r="E3180" t="s">
        <v>4825</v>
      </c>
      <c r="F3180" t="s">
        <v>4826</v>
      </c>
      <c r="G3180">
        <v>7</v>
      </c>
      <c r="H3180" t="s">
        <v>229</v>
      </c>
      <c r="I3180" s="2">
        <v>6000</v>
      </c>
    </row>
    <row r="3181" spans="1:9" x14ac:dyDescent="0.3">
      <c r="A3181" s="5">
        <v>7901</v>
      </c>
      <c r="B3181" s="5" t="s">
        <v>4824</v>
      </c>
      <c r="C3181" s="5">
        <v>1</v>
      </c>
      <c r="D3181" s="5" t="s">
        <v>10</v>
      </c>
      <c r="E3181" t="s">
        <v>4825</v>
      </c>
      <c r="F3181" t="s">
        <v>4826</v>
      </c>
      <c r="G3181">
        <v>7</v>
      </c>
      <c r="H3181" t="s">
        <v>4827</v>
      </c>
      <c r="I3181" s="2">
        <v>13000</v>
      </c>
    </row>
    <row r="3182" spans="1:9" x14ac:dyDescent="0.3">
      <c r="A3182" s="5">
        <v>7901</v>
      </c>
      <c r="B3182" s="5" t="s">
        <v>4824</v>
      </c>
      <c r="C3182" s="5">
        <v>1</v>
      </c>
      <c r="D3182" s="5" t="s">
        <v>10</v>
      </c>
      <c r="E3182" t="s">
        <v>4825</v>
      </c>
      <c r="F3182" t="s">
        <v>4826</v>
      </c>
      <c r="G3182">
        <v>7</v>
      </c>
      <c r="H3182" t="s">
        <v>4663</v>
      </c>
      <c r="I3182" s="2">
        <v>13000</v>
      </c>
    </row>
    <row r="3183" spans="1:9" x14ac:dyDescent="0.3">
      <c r="A3183" s="5">
        <v>7899</v>
      </c>
      <c r="B3183" s="5" t="s">
        <v>4828</v>
      </c>
      <c r="C3183" s="5">
        <v>1</v>
      </c>
      <c r="D3183" s="5" t="s">
        <v>10</v>
      </c>
      <c r="E3183" t="s">
        <v>4829</v>
      </c>
      <c r="F3183" t="s">
        <v>4830</v>
      </c>
      <c r="G3183">
        <v>7</v>
      </c>
      <c r="H3183" t="s">
        <v>229</v>
      </c>
      <c r="I3183" s="2">
        <v>6000</v>
      </c>
    </row>
    <row r="3184" spans="1:9" x14ac:dyDescent="0.3">
      <c r="A3184" s="5">
        <v>7899</v>
      </c>
      <c r="B3184" s="5" t="s">
        <v>4828</v>
      </c>
      <c r="C3184" s="5">
        <v>1</v>
      </c>
      <c r="D3184" s="5" t="s">
        <v>10</v>
      </c>
      <c r="E3184" t="s">
        <v>4829</v>
      </c>
      <c r="F3184" t="s">
        <v>4830</v>
      </c>
      <c r="G3184">
        <v>7</v>
      </c>
      <c r="H3184" t="s">
        <v>149</v>
      </c>
      <c r="I3184" s="2">
        <v>6000</v>
      </c>
    </row>
    <row r="3185" spans="1:9" x14ac:dyDescent="0.3">
      <c r="A3185" s="5">
        <v>7899</v>
      </c>
      <c r="B3185" s="5" t="s">
        <v>4828</v>
      </c>
      <c r="C3185" s="5">
        <v>1</v>
      </c>
      <c r="D3185" s="5" t="s">
        <v>10</v>
      </c>
      <c r="E3185" t="s">
        <v>4829</v>
      </c>
      <c r="F3185" t="s">
        <v>4830</v>
      </c>
      <c r="G3185">
        <v>7</v>
      </c>
      <c r="H3185" t="s">
        <v>188</v>
      </c>
      <c r="I3185" s="2">
        <v>6000</v>
      </c>
    </row>
    <row r="3186" spans="1:9" x14ac:dyDescent="0.3">
      <c r="A3186" s="5">
        <v>7899</v>
      </c>
      <c r="B3186" s="5" t="s">
        <v>4828</v>
      </c>
      <c r="C3186" s="5">
        <v>1</v>
      </c>
      <c r="D3186" s="5" t="s">
        <v>10</v>
      </c>
      <c r="E3186" t="s">
        <v>4829</v>
      </c>
      <c r="F3186" t="s">
        <v>4830</v>
      </c>
      <c r="G3186">
        <v>7</v>
      </c>
      <c r="H3186" t="s">
        <v>217</v>
      </c>
      <c r="I3186" s="2">
        <v>7000</v>
      </c>
    </row>
    <row r="3187" spans="1:9" x14ac:dyDescent="0.3">
      <c r="A3187" s="5">
        <v>7896</v>
      </c>
      <c r="B3187" s="5" t="s">
        <v>4831</v>
      </c>
      <c r="C3187" s="5">
        <v>13</v>
      </c>
      <c r="D3187" s="5" t="s">
        <v>27</v>
      </c>
      <c r="E3187" t="s">
        <v>4832</v>
      </c>
      <c r="F3187" t="s">
        <v>4833</v>
      </c>
      <c r="G3187">
        <v>5</v>
      </c>
      <c r="H3187" t="s">
        <v>4834</v>
      </c>
      <c r="I3187" s="2">
        <v>12500</v>
      </c>
    </row>
    <row r="3188" spans="1:9" x14ac:dyDescent="0.3">
      <c r="A3188" s="5">
        <v>7896</v>
      </c>
      <c r="B3188" s="5" t="s">
        <v>4831</v>
      </c>
      <c r="C3188" s="5">
        <v>13</v>
      </c>
      <c r="D3188" s="5" t="s">
        <v>27</v>
      </c>
      <c r="E3188" t="s">
        <v>4832</v>
      </c>
      <c r="F3188" t="s">
        <v>4833</v>
      </c>
      <c r="G3188">
        <v>5</v>
      </c>
      <c r="H3188" t="s">
        <v>4835</v>
      </c>
      <c r="I3188" s="2">
        <v>20000</v>
      </c>
    </row>
    <row r="3189" spans="1:9" x14ac:dyDescent="0.3">
      <c r="A3189" s="5">
        <v>7878</v>
      </c>
      <c r="B3189" s="5" t="s">
        <v>4836</v>
      </c>
      <c r="C3189" s="5">
        <v>5</v>
      </c>
      <c r="D3189" s="5" t="s">
        <v>63</v>
      </c>
      <c r="E3189" t="s">
        <v>4837</v>
      </c>
      <c r="F3189" t="s">
        <v>4838</v>
      </c>
      <c r="G3189">
        <v>5</v>
      </c>
      <c r="H3189" t="s">
        <v>1105</v>
      </c>
      <c r="I3189" s="2">
        <v>8000</v>
      </c>
    </row>
    <row r="3190" spans="1:9" x14ac:dyDescent="0.3">
      <c r="A3190" s="5">
        <v>7878</v>
      </c>
      <c r="B3190" s="5" t="s">
        <v>4836</v>
      </c>
      <c r="C3190" s="5">
        <v>5</v>
      </c>
      <c r="D3190" s="5" t="s">
        <v>63</v>
      </c>
      <c r="E3190" t="s">
        <v>4837</v>
      </c>
      <c r="F3190" t="s">
        <v>4838</v>
      </c>
      <c r="G3190">
        <v>5</v>
      </c>
      <c r="H3190" t="s">
        <v>1104</v>
      </c>
      <c r="I3190" s="2">
        <v>30000</v>
      </c>
    </row>
    <row r="3191" spans="1:9" x14ac:dyDescent="0.3">
      <c r="A3191" s="5">
        <v>7875</v>
      </c>
      <c r="B3191" s="5" t="s">
        <v>4839</v>
      </c>
      <c r="C3191" s="5">
        <v>5</v>
      </c>
      <c r="D3191" s="5" t="s">
        <v>63</v>
      </c>
      <c r="E3191" t="s">
        <v>4840</v>
      </c>
      <c r="F3191" t="s">
        <v>4841</v>
      </c>
      <c r="G3191">
        <v>5</v>
      </c>
      <c r="H3191" t="s">
        <v>67</v>
      </c>
      <c r="I3191" s="2">
        <v>7000</v>
      </c>
    </row>
    <row r="3192" spans="1:9" x14ac:dyDescent="0.3">
      <c r="A3192" s="5">
        <v>7875</v>
      </c>
      <c r="B3192" s="5" t="s">
        <v>4839</v>
      </c>
      <c r="C3192" s="5">
        <v>5</v>
      </c>
      <c r="D3192" s="5" t="s">
        <v>63</v>
      </c>
      <c r="E3192" t="s">
        <v>4840</v>
      </c>
      <c r="F3192" t="s">
        <v>4841</v>
      </c>
      <c r="G3192">
        <v>5</v>
      </c>
      <c r="H3192" t="s">
        <v>88</v>
      </c>
      <c r="I3192" s="2">
        <v>20000</v>
      </c>
    </row>
    <row r="3193" spans="1:9" x14ac:dyDescent="0.3">
      <c r="A3193" s="5">
        <v>7867</v>
      </c>
      <c r="B3193" s="5" t="s">
        <v>4842</v>
      </c>
      <c r="C3193" s="5">
        <v>8</v>
      </c>
      <c r="D3193" s="5" t="s">
        <v>2879</v>
      </c>
      <c r="E3193" t="s">
        <v>4843</v>
      </c>
      <c r="F3193" t="s">
        <v>4844</v>
      </c>
      <c r="G3193">
        <v>5</v>
      </c>
      <c r="H3193" t="s">
        <v>4845</v>
      </c>
      <c r="I3193" s="2">
        <v>40000</v>
      </c>
    </row>
    <row r="3194" spans="1:9" x14ac:dyDescent="0.3">
      <c r="A3194" s="5">
        <v>7858</v>
      </c>
      <c r="B3194" s="5" t="s">
        <v>4846</v>
      </c>
      <c r="C3194" s="5">
        <v>13</v>
      </c>
      <c r="D3194" s="5" t="s">
        <v>27</v>
      </c>
      <c r="E3194" t="s">
        <v>4847</v>
      </c>
      <c r="F3194" t="s">
        <v>4848</v>
      </c>
      <c r="G3194">
        <v>5</v>
      </c>
      <c r="H3194" t="s">
        <v>4849</v>
      </c>
      <c r="I3194" s="2">
        <v>4800</v>
      </c>
    </row>
    <row r="3195" spans="1:9" x14ac:dyDescent="0.3">
      <c r="A3195" s="5">
        <v>7855</v>
      </c>
      <c r="B3195" s="5" t="s">
        <v>4656</v>
      </c>
      <c r="C3195" s="5">
        <v>1</v>
      </c>
      <c r="D3195" s="5" t="s">
        <v>10</v>
      </c>
      <c r="E3195" t="s">
        <v>4850</v>
      </c>
      <c r="F3195" t="s">
        <v>4851</v>
      </c>
      <c r="G3195">
        <v>5</v>
      </c>
      <c r="H3195" t="s">
        <v>187</v>
      </c>
      <c r="I3195" s="2">
        <v>5500</v>
      </c>
    </row>
    <row r="3196" spans="1:9" x14ac:dyDescent="0.3">
      <c r="A3196" s="5">
        <v>7855</v>
      </c>
      <c r="B3196" s="5" t="s">
        <v>4656</v>
      </c>
      <c r="C3196" s="5">
        <v>1</v>
      </c>
      <c r="D3196" s="5" t="s">
        <v>10</v>
      </c>
      <c r="E3196" t="s">
        <v>4850</v>
      </c>
      <c r="F3196" t="s">
        <v>4851</v>
      </c>
      <c r="G3196">
        <v>5</v>
      </c>
      <c r="H3196" t="s">
        <v>189</v>
      </c>
      <c r="I3196" s="2">
        <v>9000</v>
      </c>
    </row>
    <row r="3197" spans="1:9" x14ac:dyDescent="0.3">
      <c r="A3197" s="5">
        <v>7852</v>
      </c>
      <c r="B3197" s="5" t="s">
        <v>4852</v>
      </c>
      <c r="C3197" s="5">
        <v>1</v>
      </c>
      <c r="D3197" s="5" t="s">
        <v>10</v>
      </c>
      <c r="E3197" t="s">
        <v>4853</v>
      </c>
      <c r="F3197" t="s">
        <v>4854</v>
      </c>
      <c r="G3197">
        <v>3</v>
      </c>
      <c r="H3197" t="s">
        <v>374</v>
      </c>
      <c r="I3197" s="2">
        <v>3000</v>
      </c>
    </row>
    <row r="3198" spans="1:9" x14ac:dyDescent="0.3">
      <c r="A3198" s="5">
        <v>7852</v>
      </c>
      <c r="B3198" s="5" t="s">
        <v>4852</v>
      </c>
      <c r="C3198" s="5">
        <v>1</v>
      </c>
      <c r="D3198" s="5" t="s">
        <v>10</v>
      </c>
      <c r="E3198" t="s">
        <v>4853</v>
      </c>
      <c r="F3198" t="s">
        <v>4854</v>
      </c>
      <c r="G3198">
        <v>3</v>
      </c>
      <c r="H3198" t="s">
        <v>4855</v>
      </c>
      <c r="I3198" s="2">
        <v>2500</v>
      </c>
    </row>
    <row r="3199" spans="1:9" x14ac:dyDescent="0.3">
      <c r="A3199" s="5">
        <v>7852</v>
      </c>
      <c r="B3199" s="5" t="s">
        <v>4852</v>
      </c>
      <c r="C3199" s="5">
        <v>1</v>
      </c>
      <c r="D3199" s="5" t="s">
        <v>10</v>
      </c>
      <c r="E3199" t="s">
        <v>4853</v>
      </c>
      <c r="F3199" t="s">
        <v>4854</v>
      </c>
      <c r="G3199">
        <v>3</v>
      </c>
      <c r="H3199" t="s">
        <v>1042</v>
      </c>
      <c r="I3199" s="2">
        <v>6000</v>
      </c>
    </row>
    <row r="3200" spans="1:9" x14ac:dyDescent="0.3">
      <c r="A3200" s="5">
        <v>7851</v>
      </c>
      <c r="B3200" s="5" t="s">
        <v>4856</v>
      </c>
      <c r="C3200" s="5">
        <v>1</v>
      </c>
      <c r="D3200" s="5" t="s">
        <v>10</v>
      </c>
      <c r="E3200" t="s">
        <v>4857</v>
      </c>
      <c r="F3200" t="s">
        <v>4858</v>
      </c>
      <c r="G3200">
        <v>236</v>
      </c>
      <c r="H3200" t="s">
        <v>1847</v>
      </c>
      <c r="I3200" s="2">
        <v>4500</v>
      </c>
    </row>
    <row r="3201" spans="1:9" x14ac:dyDescent="0.3">
      <c r="A3201" s="5">
        <v>7851</v>
      </c>
      <c r="B3201" s="5" t="s">
        <v>4856</v>
      </c>
      <c r="C3201" s="5">
        <v>1</v>
      </c>
      <c r="D3201" s="5" t="s">
        <v>10</v>
      </c>
      <c r="E3201" t="s">
        <v>4857</v>
      </c>
      <c r="F3201" t="s">
        <v>4858</v>
      </c>
      <c r="G3201">
        <v>236</v>
      </c>
      <c r="H3201" t="s">
        <v>21</v>
      </c>
      <c r="I3201" s="2">
        <v>4000</v>
      </c>
    </row>
    <row r="3202" spans="1:9" x14ac:dyDescent="0.3">
      <c r="A3202" s="5">
        <v>7851</v>
      </c>
      <c r="B3202" s="5" t="s">
        <v>4856</v>
      </c>
      <c r="C3202" s="5">
        <v>1</v>
      </c>
      <c r="D3202" s="5" t="s">
        <v>10</v>
      </c>
      <c r="E3202" t="s">
        <v>4857</v>
      </c>
      <c r="F3202" t="s">
        <v>4858</v>
      </c>
      <c r="G3202">
        <v>236</v>
      </c>
      <c r="H3202" t="s">
        <v>1848</v>
      </c>
      <c r="I3202" s="2">
        <v>6000</v>
      </c>
    </row>
    <row r="3203" spans="1:9" x14ac:dyDescent="0.3">
      <c r="A3203" s="5">
        <v>7851</v>
      </c>
      <c r="B3203" s="5" t="s">
        <v>4856</v>
      </c>
      <c r="C3203" s="5">
        <v>1</v>
      </c>
      <c r="D3203" s="5" t="s">
        <v>10</v>
      </c>
      <c r="E3203" t="s">
        <v>4857</v>
      </c>
      <c r="F3203" t="s">
        <v>4858</v>
      </c>
      <c r="G3203">
        <v>236</v>
      </c>
      <c r="H3203" t="s">
        <v>1847</v>
      </c>
      <c r="I3203" s="2">
        <v>6000</v>
      </c>
    </row>
    <row r="3204" spans="1:9" x14ac:dyDescent="0.3">
      <c r="A3204" s="5">
        <v>7850</v>
      </c>
      <c r="B3204" s="5" t="s">
        <v>4859</v>
      </c>
      <c r="C3204" s="5">
        <v>2</v>
      </c>
      <c r="D3204" s="5" t="s">
        <v>261</v>
      </c>
      <c r="E3204" t="s">
        <v>4860</v>
      </c>
      <c r="F3204" t="s">
        <v>4861</v>
      </c>
      <c r="G3204">
        <v>6</v>
      </c>
      <c r="H3204" t="s">
        <v>265</v>
      </c>
      <c r="I3204" s="2">
        <v>4500</v>
      </c>
    </row>
    <row r="3205" spans="1:9" x14ac:dyDescent="0.3">
      <c r="A3205" s="5">
        <v>7850</v>
      </c>
      <c r="B3205" s="5" t="s">
        <v>4859</v>
      </c>
      <c r="C3205" s="5">
        <v>2</v>
      </c>
      <c r="D3205" s="5" t="s">
        <v>261</v>
      </c>
      <c r="E3205" t="s">
        <v>4860</v>
      </c>
      <c r="F3205" t="s">
        <v>4861</v>
      </c>
      <c r="G3205">
        <v>6</v>
      </c>
      <c r="H3205" t="s">
        <v>4862</v>
      </c>
      <c r="I3205" s="2">
        <v>13000</v>
      </c>
    </row>
    <row r="3206" spans="1:9" x14ac:dyDescent="0.3">
      <c r="A3206" s="5">
        <v>7850</v>
      </c>
      <c r="B3206" s="5" t="s">
        <v>4859</v>
      </c>
      <c r="C3206" s="5">
        <v>2</v>
      </c>
      <c r="D3206" s="5" t="s">
        <v>261</v>
      </c>
      <c r="E3206" t="s">
        <v>4860</v>
      </c>
      <c r="F3206" t="s">
        <v>4861</v>
      </c>
      <c r="G3206">
        <v>6</v>
      </c>
      <c r="H3206" t="s">
        <v>4648</v>
      </c>
      <c r="I3206" s="2">
        <v>3500</v>
      </c>
    </row>
    <row r="3207" spans="1:9" x14ac:dyDescent="0.3">
      <c r="A3207" s="5">
        <v>7847</v>
      </c>
      <c r="B3207" s="5" t="s">
        <v>4863</v>
      </c>
      <c r="C3207" s="5">
        <v>2</v>
      </c>
      <c r="D3207" s="5" t="s">
        <v>261</v>
      </c>
      <c r="E3207" t="s">
        <v>4864</v>
      </c>
      <c r="F3207" t="s">
        <v>4865</v>
      </c>
      <c r="G3207">
        <v>5</v>
      </c>
      <c r="H3207" t="s">
        <v>642</v>
      </c>
      <c r="I3207" s="2">
        <v>6000</v>
      </c>
    </row>
    <row r="3208" spans="1:9" x14ac:dyDescent="0.3">
      <c r="A3208" s="5">
        <v>7847</v>
      </c>
      <c r="B3208" s="5" t="s">
        <v>4863</v>
      </c>
      <c r="C3208" s="5">
        <v>2</v>
      </c>
      <c r="D3208" s="5" t="s">
        <v>261</v>
      </c>
      <c r="E3208" t="s">
        <v>4864</v>
      </c>
      <c r="F3208" t="s">
        <v>4865</v>
      </c>
      <c r="G3208">
        <v>5</v>
      </c>
      <c r="H3208" t="s">
        <v>265</v>
      </c>
      <c r="I3208" s="2">
        <v>7000</v>
      </c>
    </row>
    <row r="3209" spans="1:9" x14ac:dyDescent="0.3">
      <c r="A3209" s="5">
        <v>7845</v>
      </c>
      <c r="B3209" s="5" t="s">
        <v>4866</v>
      </c>
      <c r="C3209" s="5">
        <v>2</v>
      </c>
      <c r="D3209" s="5" t="s">
        <v>261</v>
      </c>
      <c r="E3209" t="s">
        <v>4867</v>
      </c>
      <c r="F3209" t="s">
        <v>4868</v>
      </c>
      <c r="G3209">
        <v>3</v>
      </c>
      <c r="H3209" t="s">
        <v>265</v>
      </c>
      <c r="I3209" s="2">
        <v>7000</v>
      </c>
    </row>
    <row r="3210" spans="1:9" x14ac:dyDescent="0.3">
      <c r="A3210" s="5">
        <v>7845</v>
      </c>
      <c r="B3210" s="5" t="s">
        <v>4866</v>
      </c>
      <c r="C3210" s="5">
        <v>2</v>
      </c>
      <c r="D3210" s="5" t="s">
        <v>261</v>
      </c>
      <c r="E3210" t="s">
        <v>4867</v>
      </c>
      <c r="F3210" t="s">
        <v>4868</v>
      </c>
      <c r="G3210">
        <v>3</v>
      </c>
      <c r="H3210" t="s">
        <v>641</v>
      </c>
      <c r="I3210" s="2">
        <v>18000</v>
      </c>
    </row>
    <row r="3211" spans="1:9" x14ac:dyDescent="0.3">
      <c r="A3211" s="5">
        <v>7845</v>
      </c>
      <c r="B3211" s="5" t="s">
        <v>4866</v>
      </c>
      <c r="C3211" s="5">
        <v>2</v>
      </c>
      <c r="D3211" s="5" t="s">
        <v>261</v>
      </c>
      <c r="E3211" t="s">
        <v>4867</v>
      </c>
      <c r="F3211" t="s">
        <v>4868</v>
      </c>
      <c r="G3211">
        <v>3</v>
      </c>
      <c r="H3211" t="s">
        <v>642</v>
      </c>
      <c r="I3211" s="2">
        <v>6500</v>
      </c>
    </row>
    <row r="3212" spans="1:9" x14ac:dyDescent="0.3">
      <c r="A3212" s="5">
        <v>7842</v>
      </c>
      <c r="B3212" s="5" t="s">
        <v>4869</v>
      </c>
      <c r="C3212" s="5">
        <v>5</v>
      </c>
      <c r="D3212" s="5" t="s">
        <v>63</v>
      </c>
      <c r="E3212" t="s">
        <v>4870</v>
      </c>
      <c r="F3212" t="s">
        <v>4871</v>
      </c>
      <c r="G3212">
        <v>3</v>
      </c>
      <c r="H3212" t="s">
        <v>4872</v>
      </c>
      <c r="I3212" s="2">
        <v>40000</v>
      </c>
    </row>
    <row r="3213" spans="1:9" x14ac:dyDescent="0.3">
      <c r="A3213" s="5">
        <v>7842</v>
      </c>
      <c r="B3213" s="5" t="s">
        <v>4869</v>
      </c>
      <c r="C3213" s="5">
        <v>5</v>
      </c>
      <c r="D3213" s="5" t="s">
        <v>63</v>
      </c>
      <c r="E3213" t="s">
        <v>4870</v>
      </c>
      <c r="F3213" t="s">
        <v>4871</v>
      </c>
      <c r="G3213">
        <v>3</v>
      </c>
      <c r="H3213" t="s">
        <v>67</v>
      </c>
      <c r="I3213" s="2">
        <v>12000</v>
      </c>
    </row>
    <row r="3214" spans="1:9" x14ac:dyDescent="0.3">
      <c r="A3214" s="5">
        <v>7833</v>
      </c>
      <c r="B3214" s="5" t="s">
        <v>4873</v>
      </c>
      <c r="C3214" s="5">
        <v>1</v>
      </c>
      <c r="D3214" s="5" t="s">
        <v>10</v>
      </c>
      <c r="E3214" t="s">
        <v>4874</v>
      </c>
      <c r="F3214" t="s">
        <v>4875</v>
      </c>
      <c r="G3214">
        <v>33</v>
      </c>
      <c r="H3214" t="s">
        <v>37</v>
      </c>
      <c r="I3214" s="2">
        <v>7000</v>
      </c>
    </row>
    <row r="3215" spans="1:9" x14ac:dyDescent="0.3">
      <c r="A3215" s="5">
        <v>7833</v>
      </c>
      <c r="B3215" s="5" t="s">
        <v>4873</v>
      </c>
      <c r="C3215" s="5">
        <v>1</v>
      </c>
      <c r="D3215" s="5" t="s">
        <v>10</v>
      </c>
      <c r="E3215" t="s">
        <v>4874</v>
      </c>
      <c r="F3215" t="s">
        <v>4875</v>
      </c>
      <c r="G3215">
        <v>33</v>
      </c>
      <c r="H3215" t="s">
        <v>4876</v>
      </c>
      <c r="I3215" s="2">
        <v>7000</v>
      </c>
    </row>
    <row r="3216" spans="1:9" x14ac:dyDescent="0.3">
      <c r="A3216" s="5">
        <v>7832</v>
      </c>
      <c r="B3216" s="5" t="s">
        <v>4877</v>
      </c>
      <c r="C3216" s="5">
        <v>1</v>
      </c>
      <c r="D3216" s="5" t="s">
        <v>10</v>
      </c>
      <c r="E3216" t="s">
        <v>4878</v>
      </c>
      <c r="F3216" t="s">
        <v>4879</v>
      </c>
      <c r="G3216">
        <v>32</v>
      </c>
      <c r="H3216" t="s">
        <v>139</v>
      </c>
      <c r="I3216" s="2">
        <v>5000</v>
      </c>
    </row>
    <row r="3217" spans="1:9" x14ac:dyDescent="0.3">
      <c r="A3217" s="5">
        <v>7832</v>
      </c>
      <c r="B3217" s="5" t="s">
        <v>4877</v>
      </c>
      <c r="C3217" s="5">
        <v>1</v>
      </c>
      <c r="D3217" s="5" t="s">
        <v>10</v>
      </c>
      <c r="E3217" t="s">
        <v>4878</v>
      </c>
      <c r="F3217" t="s">
        <v>4879</v>
      </c>
      <c r="G3217">
        <v>32</v>
      </c>
      <c r="H3217" t="s">
        <v>126</v>
      </c>
      <c r="I3217" s="2">
        <v>5000</v>
      </c>
    </row>
    <row r="3218" spans="1:9" x14ac:dyDescent="0.3">
      <c r="A3218" s="5">
        <v>7823</v>
      </c>
      <c r="B3218" s="5" t="s">
        <v>4880</v>
      </c>
      <c r="C3218" s="5">
        <v>5</v>
      </c>
      <c r="D3218" s="5" t="s">
        <v>63</v>
      </c>
      <c r="E3218" t="s">
        <v>4881</v>
      </c>
      <c r="F3218" t="s">
        <v>74</v>
      </c>
      <c r="G3218">
        <v>3</v>
      </c>
      <c r="H3218" t="s">
        <v>67</v>
      </c>
      <c r="I3218" s="2">
        <v>6000</v>
      </c>
    </row>
    <row r="3219" spans="1:9" x14ac:dyDescent="0.3">
      <c r="A3219" s="5">
        <v>7823</v>
      </c>
      <c r="B3219" s="5" t="s">
        <v>4880</v>
      </c>
      <c r="C3219" s="5">
        <v>5</v>
      </c>
      <c r="D3219" s="5" t="s">
        <v>63</v>
      </c>
      <c r="E3219" t="s">
        <v>4881</v>
      </c>
      <c r="F3219" t="s">
        <v>74</v>
      </c>
      <c r="G3219">
        <v>3</v>
      </c>
      <c r="H3219" t="s">
        <v>66</v>
      </c>
      <c r="I3219" s="2">
        <v>6000</v>
      </c>
    </row>
    <row r="3220" spans="1:9" x14ac:dyDescent="0.3">
      <c r="A3220" s="5">
        <v>7822</v>
      </c>
      <c r="B3220" s="5" t="s">
        <v>4882</v>
      </c>
      <c r="C3220" s="5">
        <v>5</v>
      </c>
      <c r="D3220" s="5" t="s">
        <v>63</v>
      </c>
      <c r="E3220" t="s">
        <v>4883</v>
      </c>
      <c r="F3220" t="s">
        <v>816</v>
      </c>
      <c r="G3220">
        <v>3</v>
      </c>
      <c r="H3220" t="s">
        <v>67</v>
      </c>
      <c r="I3220" s="2">
        <v>6000</v>
      </c>
    </row>
    <row r="3221" spans="1:9" x14ac:dyDescent="0.3">
      <c r="A3221" s="5">
        <v>7821</v>
      </c>
      <c r="B3221" s="5" t="s">
        <v>4884</v>
      </c>
      <c r="C3221" s="5">
        <v>5</v>
      </c>
      <c r="D3221" s="5" t="s">
        <v>63</v>
      </c>
      <c r="E3221" t="s">
        <v>4885</v>
      </c>
      <c r="F3221" t="s">
        <v>74</v>
      </c>
      <c r="G3221">
        <v>6</v>
      </c>
      <c r="H3221" t="s">
        <v>67</v>
      </c>
      <c r="I3221" s="2">
        <v>6000</v>
      </c>
    </row>
    <row r="3222" spans="1:9" x14ac:dyDescent="0.3">
      <c r="A3222" s="5">
        <v>7815</v>
      </c>
      <c r="B3222" s="5" t="s">
        <v>4886</v>
      </c>
      <c r="C3222" s="5">
        <v>5</v>
      </c>
      <c r="D3222" s="5" t="s">
        <v>63</v>
      </c>
      <c r="E3222" t="s">
        <v>4887</v>
      </c>
      <c r="F3222" t="s">
        <v>4888</v>
      </c>
      <c r="G3222">
        <v>3</v>
      </c>
      <c r="H3222" t="s">
        <v>88</v>
      </c>
      <c r="I3222" s="2">
        <v>25000</v>
      </c>
    </row>
    <row r="3223" spans="1:9" x14ac:dyDescent="0.3">
      <c r="A3223" s="5">
        <v>7815</v>
      </c>
      <c r="B3223" s="5" t="s">
        <v>4886</v>
      </c>
      <c r="C3223" s="5">
        <v>5</v>
      </c>
      <c r="D3223" s="5" t="s">
        <v>63</v>
      </c>
      <c r="E3223" t="s">
        <v>4887</v>
      </c>
      <c r="F3223" t="s">
        <v>4888</v>
      </c>
      <c r="G3223">
        <v>3</v>
      </c>
      <c r="H3223" t="s">
        <v>67</v>
      </c>
      <c r="I3223" s="2">
        <v>10000</v>
      </c>
    </row>
    <row r="3224" spans="1:9" x14ac:dyDescent="0.3">
      <c r="A3224" s="5">
        <v>7814</v>
      </c>
      <c r="B3224" s="5" t="s">
        <v>4889</v>
      </c>
      <c r="C3224" s="5">
        <v>8</v>
      </c>
      <c r="D3224" s="5" t="s">
        <v>2879</v>
      </c>
      <c r="E3224" t="s">
        <v>4890</v>
      </c>
      <c r="F3224" t="s">
        <v>4891</v>
      </c>
      <c r="G3224">
        <v>57</v>
      </c>
      <c r="H3224" t="s">
        <v>2882</v>
      </c>
      <c r="I3224" s="2">
        <v>35000</v>
      </c>
    </row>
    <row r="3225" spans="1:9" x14ac:dyDescent="0.3">
      <c r="A3225" s="5">
        <v>7813</v>
      </c>
      <c r="B3225" s="5" t="s">
        <v>4892</v>
      </c>
      <c r="C3225" s="5">
        <v>1</v>
      </c>
      <c r="D3225" s="5" t="s">
        <v>10</v>
      </c>
      <c r="E3225" t="s">
        <v>4893</v>
      </c>
      <c r="F3225" t="s">
        <v>4894</v>
      </c>
      <c r="G3225">
        <v>3</v>
      </c>
      <c r="H3225" t="s">
        <v>3983</v>
      </c>
      <c r="I3225" s="2">
        <v>7000</v>
      </c>
    </row>
    <row r="3226" spans="1:9" x14ac:dyDescent="0.3">
      <c r="A3226" s="5">
        <v>7813</v>
      </c>
      <c r="B3226" s="5" t="s">
        <v>4892</v>
      </c>
      <c r="C3226" s="5">
        <v>1</v>
      </c>
      <c r="D3226" s="5" t="s">
        <v>10</v>
      </c>
      <c r="E3226" t="s">
        <v>4893</v>
      </c>
      <c r="F3226" t="s">
        <v>4894</v>
      </c>
      <c r="G3226">
        <v>3</v>
      </c>
      <c r="H3226" t="s">
        <v>126</v>
      </c>
      <c r="I3226" s="2">
        <v>7000</v>
      </c>
    </row>
    <row r="3227" spans="1:9" x14ac:dyDescent="0.3">
      <c r="A3227" s="5">
        <v>7812</v>
      </c>
      <c r="B3227" s="5" t="s">
        <v>4895</v>
      </c>
      <c r="C3227" s="5">
        <v>3</v>
      </c>
      <c r="D3227" s="5" t="s">
        <v>44</v>
      </c>
      <c r="E3227" t="s">
        <v>4896</v>
      </c>
      <c r="F3227" t="s">
        <v>4897</v>
      </c>
      <c r="G3227">
        <v>3</v>
      </c>
      <c r="H3227" t="s">
        <v>4898</v>
      </c>
      <c r="I3227" s="2">
        <v>7000</v>
      </c>
    </row>
    <row r="3228" spans="1:9" x14ac:dyDescent="0.3">
      <c r="A3228" s="5">
        <v>7812</v>
      </c>
      <c r="B3228" s="5" t="s">
        <v>4895</v>
      </c>
      <c r="C3228" s="5">
        <v>3</v>
      </c>
      <c r="D3228" s="5" t="s">
        <v>44</v>
      </c>
      <c r="E3228" t="s">
        <v>4896</v>
      </c>
      <c r="F3228" t="s">
        <v>4897</v>
      </c>
      <c r="G3228">
        <v>3</v>
      </c>
      <c r="H3228" t="s">
        <v>4899</v>
      </c>
      <c r="I3228" s="2">
        <v>6000</v>
      </c>
    </row>
    <row r="3229" spans="1:9" x14ac:dyDescent="0.3">
      <c r="A3229" s="5">
        <v>7806</v>
      </c>
      <c r="B3229" s="5" t="s">
        <v>4900</v>
      </c>
      <c r="C3229" s="5">
        <v>4</v>
      </c>
      <c r="D3229" s="5" t="s">
        <v>39</v>
      </c>
      <c r="E3229" t="s">
        <v>4901</v>
      </c>
      <c r="F3229" t="s">
        <v>4902</v>
      </c>
      <c r="G3229">
        <v>3</v>
      </c>
      <c r="H3229" t="s">
        <v>80</v>
      </c>
      <c r="I3229" s="2">
        <v>2000</v>
      </c>
    </row>
    <row r="3230" spans="1:9" x14ac:dyDescent="0.3">
      <c r="A3230" s="5">
        <v>7806</v>
      </c>
      <c r="B3230" s="5" t="s">
        <v>4900</v>
      </c>
      <c r="C3230" s="5">
        <v>4</v>
      </c>
      <c r="D3230" s="5" t="s">
        <v>39</v>
      </c>
      <c r="E3230" t="s">
        <v>4901</v>
      </c>
      <c r="F3230" t="s">
        <v>4902</v>
      </c>
      <c r="G3230">
        <v>3</v>
      </c>
      <c r="H3230" t="s">
        <v>2053</v>
      </c>
      <c r="I3230" s="2">
        <v>2500</v>
      </c>
    </row>
    <row r="3231" spans="1:9" x14ac:dyDescent="0.3">
      <c r="A3231" s="5">
        <v>7802</v>
      </c>
      <c r="B3231" s="5" t="s">
        <v>2163</v>
      </c>
      <c r="C3231" s="5">
        <v>1</v>
      </c>
      <c r="D3231" s="5" t="s">
        <v>10</v>
      </c>
      <c r="E3231" t="s">
        <v>4903</v>
      </c>
      <c r="F3231" t="s">
        <v>4904</v>
      </c>
      <c r="G3231">
        <v>23</v>
      </c>
      <c r="H3231" t="s">
        <v>374</v>
      </c>
      <c r="I3231" s="2">
        <v>2500</v>
      </c>
    </row>
    <row r="3232" spans="1:9" x14ac:dyDescent="0.3">
      <c r="A3232" s="5">
        <v>7802</v>
      </c>
      <c r="B3232" s="5" t="s">
        <v>2163</v>
      </c>
      <c r="C3232" s="5">
        <v>1</v>
      </c>
      <c r="D3232" s="5" t="s">
        <v>10</v>
      </c>
      <c r="E3232" t="s">
        <v>4903</v>
      </c>
      <c r="F3232" t="s">
        <v>4904</v>
      </c>
      <c r="G3232">
        <v>23</v>
      </c>
      <c r="H3232" t="s">
        <v>229</v>
      </c>
      <c r="I3232" s="2">
        <v>5500</v>
      </c>
    </row>
    <row r="3233" spans="1:9" x14ac:dyDescent="0.3">
      <c r="A3233" s="5">
        <v>7802</v>
      </c>
      <c r="B3233" s="5" t="s">
        <v>2163</v>
      </c>
      <c r="C3233" s="5">
        <v>1</v>
      </c>
      <c r="D3233" s="5" t="s">
        <v>10</v>
      </c>
      <c r="E3233" t="s">
        <v>4903</v>
      </c>
      <c r="F3233" t="s">
        <v>4904</v>
      </c>
      <c r="G3233">
        <v>23</v>
      </c>
      <c r="H3233" t="s">
        <v>37</v>
      </c>
      <c r="I3233" s="2">
        <v>6000</v>
      </c>
    </row>
    <row r="3234" spans="1:9" x14ac:dyDescent="0.3">
      <c r="A3234" s="5">
        <v>7801</v>
      </c>
      <c r="B3234" s="5" t="s">
        <v>4905</v>
      </c>
      <c r="C3234" s="5">
        <v>5</v>
      </c>
      <c r="D3234" s="5" t="s">
        <v>63</v>
      </c>
      <c r="E3234" t="s">
        <v>4906</v>
      </c>
      <c r="F3234" t="s">
        <v>4907</v>
      </c>
      <c r="G3234">
        <v>6</v>
      </c>
      <c r="H3234" t="s">
        <v>1104</v>
      </c>
      <c r="I3234" s="2">
        <v>20000</v>
      </c>
    </row>
    <row r="3235" spans="1:9" x14ac:dyDescent="0.3">
      <c r="A3235" s="5">
        <v>7795</v>
      </c>
      <c r="B3235" s="5" t="s">
        <v>4908</v>
      </c>
      <c r="C3235" s="5">
        <v>5</v>
      </c>
      <c r="D3235" s="5" t="s">
        <v>63</v>
      </c>
      <c r="E3235" t="s">
        <v>4909</v>
      </c>
      <c r="F3235" t="s">
        <v>4910</v>
      </c>
      <c r="G3235">
        <v>3</v>
      </c>
      <c r="H3235" t="s">
        <v>4521</v>
      </c>
      <c r="I3235" s="2">
        <v>10000</v>
      </c>
    </row>
    <row r="3236" spans="1:9" x14ac:dyDescent="0.3">
      <c r="A3236" s="5">
        <v>7794</v>
      </c>
      <c r="B3236" s="5" t="s">
        <v>4911</v>
      </c>
      <c r="C3236" s="5">
        <v>5</v>
      </c>
      <c r="D3236" s="5" t="s">
        <v>63</v>
      </c>
      <c r="E3236" t="s">
        <v>4912</v>
      </c>
      <c r="F3236" t="s">
        <v>74</v>
      </c>
      <c r="G3236">
        <v>5</v>
      </c>
      <c r="H3236" t="s">
        <v>4913</v>
      </c>
      <c r="I3236" s="2">
        <v>9000</v>
      </c>
    </row>
    <row r="3237" spans="1:9" x14ac:dyDescent="0.3">
      <c r="A3237" s="5">
        <v>7794</v>
      </c>
      <c r="B3237" s="5" t="s">
        <v>4911</v>
      </c>
      <c r="C3237" s="5">
        <v>5</v>
      </c>
      <c r="D3237" s="5" t="s">
        <v>63</v>
      </c>
      <c r="E3237" t="s">
        <v>4912</v>
      </c>
      <c r="F3237" t="s">
        <v>74</v>
      </c>
      <c r="G3237">
        <v>5</v>
      </c>
      <c r="H3237" t="s">
        <v>4914</v>
      </c>
      <c r="I3237" s="2">
        <v>10000</v>
      </c>
    </row>
    <row r="3238" spans="1:9" x14ac:dyDescent="0.3">
      <c r="A3238" s="5">
        <v>7787</v>
      </c>
      <c r="B3238" s="5" t="s">
        <v>4915</v>
      </c>
      <c r="C3238" s="5">
        <v>5</v>
      </c>
      <c r="D3238" s="5" t="s">
        <v>63</v>
      </c>
      <c r="E3238" t="s">
        <v>4916</v>
      </c>
      <c r="F3238" t="s">
        <v>4917</v>
      </c>
      <c r="G3238">
        <v>5</v>
      </c>
      <c r="H3238" t="s">
        <v>2142</v>
      </c>
      <c r="I3238" s="2">
        <v>5000</v>
      </c>
    </row>
    <row r="3239" spans="1:9" x14ac:dyDescent="0.3">
      <c r="A3239" s="5">
        <v>7787</v>
      </c>
      <c r="B3239" s="5" t="s">
        <v>4915</v>
      </c>
      <c r="C3239" s="5">
        <v>5</v>
      </c>
      <c r="D3239" s="5" t="s">
        <v>63</v>
      </c>
      <c r="E3239" t="s">
        <v>4916</v>
      </c>
      <c r="F3239" t="s">
        <v>4917</v>
      </c>
      <c r="G3239">
        <v>5</v>
      </c>
      <c r="H3239" t="s">
        <v>4521</v>
      </c>
      <c r="I3239" s="2">
        <v>5000</v>
      </c>
    </row>
    <row r="3240" spans="1:9" x14ac:dyDescent="0.3">
      <c r="A3240" s="5">
        <v>7787</v>
      </c>
      <c r="B3240" s="5" t="s">
        <v>4915</v>
      </c>
      <c r="C3240" s="5">
        <v>5</v>
      </c>
      <c r="D3240" s="5" t="s">
        <v>63</v>
      </c>
      <c r="E3240" t="s">
        <v>4916</v>
      </c>
      <c r="F3240" t="s">
        <v>4917</v>
      </c>
      <c r="G3240">
        <v>5</v>
      </c>
      <c r="H3240" t="s">
        <v>66</v>
      </c>
      <c r="I3240" s="2">
        <v>5000</v>
      </c>
    </row>
    <row r="3241" spans="1:9" x14ac:dyDescent="0.3">
      <c r="A3241" s="5">
        <v>7786</v>
      </c>
      <c r="B3241" s="5" t="s">
        <v>4918</v>
      </c>
      <c r="C3241" s="5">
        <v>1</v>
      </c>
      <c r="D3241" s="5" t="s">
        <v>10</v>
      </c>
      <c r="E3241" t="s">
        <v>4919</v>
      </c>
      <c r="F3241" t="s">
        <v>4920</v>
      </c>
      <c r="G3241">
        <v>64</v>
      </c>
      <c r="H3241" t="s">
        <v>4921</v>
      </c>
      <c r="I3241" s="2">
        <v>33000</v>
      </c>
    </row>
    <row r="3242" spans="1:9" x14ac:dyDescent="0.3">
      <c r="A3242" s="5">
        <v>7786</v>
      </c>
      <c r="B3242" s="5" t="s">
        <v>4918</v>
      </c>
      <c r="C3242" s="5">
        <v>1</v>
      </c>
      <c r="D3242" s="5" t="s">
        <v>10</v>
      </c>
      <c r="E3242" t="s">
        <v>4919</v>
      </c>
      <c r="F3242" t="s">
        <v>4920</v>
      </c>
      <c r="G3242">
        <v>64</v>
      </c>
      <c r="H3242" t="s">
        <v>929</v>
      </c>
      <c r="I3242" s="2">
        <v>7000</v>
      </c>
    </row>
    <row r="3243" spans="1:9" x14ac:dyDescent="0.3">
      <c r="A3243" s="5">
        <v>7780</v>
      </c>
      <c r="B3243" s="5" t="s">
        <v>4922</v>
      </c>
      <c r="C3243" s="5">
        <v>1</v>
      </c>
      <c r="D3243" s="5" t="s">
        <v>10</v>
      </c>
      <c r="E3243" t="s">
        <v>4923</v>
      </c>
      <c r="F3243" t="s">
        <v>4924</v>
      </c>
      <c r="G3243">
        <v>3</v>
      </c>
      <c r="H3243" t="s">
        <v>1042</v>
      </c>
      <c r="I3243" s="2">
        <v>6000</v>
      </c>
    </row>
    <row r="3244" spans="1:9" x14ac:dyDescent="0.3">
      <c r="A3244" s="5">
        <v>7780</v>
      </c>
      <c r="B3244" s="5" t="s">
        <v>4922</v>
      </c>
      <c r="C3244" s="5">
        <v>1</v>
      </c>
      <c r="D3244" s="5" t="s">
        <v>10</v>
      </c>
      <c r="E3244" t="s">
        <v>4923</v>
      </c>
      <c r="F3244" t="s">
        <v>4924</v>
      </c>
      <c r="G3244">
        <v>3</v>
      </c>
      <c r="H3244" t="s">
        <v>4925</v>
      </c>
      <c r="I3244" s="2">
        <v>14000</v>
      </c>
    </row>
    <row r="3245" spans="1:9" x14ac:dyDescent="0.3">
      <c r="A3245" s="5">
        <v>7731</v>
      </c>
      <c r="B3245" s="5" t="s">
        <v>4926</v>
      </c>
      <c r="C3245" s="5">
        <v>1</v>
      </c>
      <c r="D3245" s="5" t="s">
        <v>10</v>
      </c>
      <c r="E3245" t="s">
        <v>4927</v>
      </c>
      <c r="F3245" t="s">
        <v>4928</v>
      </c>
      <c r="G3245">
        <v>6</v>
      </c>
      <c r="H3245" t="s">
        <v>37</v>
      </c>
      <c r="I3245" s="2">
        <v>7000</v>
      </c>
    </row>
    <row r="3246" spans="1:9" x14ac:dyDescent="0.3">
      <c r="A3246" s="5">
        <v>7731</v>
      </c>
      <c r="B3246" s="5" t="s">
        <v>4926</v>
      </c>
      <c r="C3246" s="5">
        <v>1</v>
      </c>
      <c r="D3246" s="5" t="s">
        <v>10</v>
      </c>
      <c r="E3246" t="s">
        <v>4927</v>
      </c>
      <c r="F3246" t="s">
        <v>4928</v>
      </c>
      <c r="G3246">
        <v>6</v>
      </c>
      <c r="H3246" t="s">
        <v>403</v>
      </c>
      <c r="I3246" s="2">
        <v>9000</v>
      </c>
    </row>
    <row r="3247" spans="1:9" x14ac:dyDescent="0.3">
      <c r="A3247" s="5">
        <v>7731</v>
      </c>
      <c r="B3247" s="5" t="s">
        <v>4926</v>
      </c>
      <c r="C3247" s="5">
        <v>1</v>
      </c>
      <c r="D3247" s="5" t="s">
        <v>10</v>
      </c>
      <c r="E3247" t="s">
        <v>4927</v>
      </c>
      <c r="F3247" t="s">
        <v>4928</v>
      </c>
      <c r="G3247">
        <v>6</v>
      </c>
      <c r="H3247" t="s">
        <v>1001</v>
      </c>
      <c r="I3247" s="2">
        <v>16000</v>
      </c>
    </row>
    <row r="3248" spans="1:9" x14ac:dyDescent="0.3">
      <c r="A3248" s="5">
        <v>7681</v>
      </c>
      <c r="B3248" s="5" t="s">
        <v>4929</v>
      </c>
      <c r="C3248" s="5">
        <v>1</v>
      </c>
      <c r="D3248" s="5" t="s">
        <v>10</v>
      </c>
      <c r="E3248" t="s">
        <v>4930</v>
      </c>
      <c r="F3248" t="s">
        <v>4931</v>
      </c>
      <c r="G3248">
        <v>3</v>
      </c>
      <c r="H3248" t="s">
        <v>1655</v>
      </c>
      <c r="I3248" s="2">
        <v>6000</v>
      </c>
    </row>
    <row r="3249" spans="1:9" x14ac:dyDescent="0.3">
      <c r="A3249" s="5">
        <v>7669</v>
      </c>
      <c r="B3249" s="5" t="s">
        <v>4932</v>
      </c>
      <c r="C3249" s="5">
        <v>5</v>
      </c>
      <c r="D3249" s="5" t="s">
        <v>63</v>
      </c>
      <c r="E3249" t="s">
        <v>4933</v>
      </c>
      <c r="F3249" t="s">
        <v>4934</v>
      </c>
      <c r="G3249">
        <v>3</v>
      </c>
      <c r="H3249" t="s">
        <v>1105</v>
      </c>
      <c r="I3249" s="2">
        <v>7000</v>
      </c>
    </row>
    <row r="3250" spans="1:9" x14ac:dyDescent="0.3">
      <c r="A3250" s="5">
        <v>7669</v>
      </c>
      <c r="B3250" s="5" t="s">
        <v>4932</v>
      </c>
      <c r="C3250" s="5">
        <v>5</v>
      </c>
      <c r="D3250" s="5" t="s">
        <v>63</v>
      </c>
      <c r="E3250" t="s">
        <v>4933</v>
      </c>
      <c r="F3250" t="s">
        <v>4934</v>
      </c>
      <c r="G3250">
        <v>3</v>
      </c>
      <c r="H3250" t="s">
        <v>1104</v>
      </c>
      <c r="I3250" s="2">
        <v>25000</v>
      </c>
    </row>
    <row r="3251" spans="1:9" x14ac:dyDescent="0.3">
      <c r="A3251" s="5">
        <v>7666</v>
      </c>
      <c r="B3251" s="5" t="s">
        <v>4935</v>
      </c>
      <c r="C3251" s="5">
        <v>1</v>
      </c>
      <c r="D3251" s="5" t="s">
        <v>10</v>
      </c>
      <c r="E3251" t="s">
        <v>4936</v>
      </c>
      <c r="F3251" t="s">
        <v>4937</v>
      </c>
      <c r="G3251">
        <v>3</v>
      </c>
      <c r="H3251" t="s">
        <v>1047</v>
      </c>
      <c r="I3251" s="2">
        <v>15000</v>
      </c>
    </row>
    <row r="3252" spans="1:9" x14ac:dyDescent="0.3">
      <c r="A3252" s="5">
        <v>7663</v>
      </c>
      <c r="B3252" s="5" t="s">
        <v>4938</v>
      </c>
      <c r="C3252" s="5">
        <v>1</v>
      </c>
      <c r="D3252" s="5" t="s">
        <v>10</v>
      </c>
      <c r="E3252" t="s">
        <v>4939</v>
      </c>
      <c r="F3252" t="s">
        <v>4940</v>
      </c>
      <c r="G3252">
        <v>22</v>
      </c>
      <c r="H3252" t="s">
        <v>2116</v>
      </c>
      <c r="I3252" s="2">
        <v>14000</v>
      </c>
    </row>
    <row r="3253" spans="1:9" x14ac:dyDescent="0.3">
      <c r="A3253" s="5">
        <v>7663</v>
      </c>
      <c r="B3253" s="5" t="s">
        <v>4938</v>
      </c>
      <c r="C3253" s="5">
        <v>1</v>
      </c>
      <c r="D3253" s="5" t="s">
        <v>10</v>
      </c>
      <c r="E3253" t="s">
        <v>4939</v>
      </c>
      <c r="F3253" t="s">
        <v>4940</v>
      </c>
      <c r="G3253">
        <v>22</v>
      </c>
      <c r="H3253" t="s">
        <v>217</v>
      </c>
      <c r="I3253" s="2">
        <v>14000</v>
      </c>
    </row>
    <row r="3254" spans="1:9" x14ac:dyDescent="0.3">
      <c r="A3254" s="5">
        <v>7663</v>
      </c>
      <c r="B3254" s="5" t="s">
        <v>4938</v>
      </c>
      <c r="C3254" s="5">
        <v>1</v>
      </c>
      <c r="D3254" s="5" t="s">
        <v>10</v>
      </c>
      <c r="E3254" t="s">
        <v>4939</v>
      </c>
      <c r="F3254" t="s">
        <v>4940</v>
      </c>
      <c r="G3254">
        <v>22</v>
      </c>
      <c r="H3254" t="s">
        <v>4941</v>
      </c>
      <c r="I3254" s="2">
        <v>35000</v>
      </c>
    </row>
    <row r="3255" spans="1:9" x14ac:dyDescent="0.3">
      <c r="A3255" s="5">
        <v>7661</v>
      </c>
      <c r="B3255" s="5" t="s">
        <v>4942</v>
      </c>
      <c r="C3255" s="5">
        <v>1</v>
      </c>
      <c r="D3255" s="5" t="s">
        <v>10</v>
      </c>
      <c r="E3255" t="s">
        <v>4943</v>
      </c>
      <c r="F3255" t="s">
        <v>4944</v>
      </c>
      <c r="G3255">
        <v>3</v>
      </c>
      <c r="H3255" t="s">
        <v>188</v>
      </c>
      <c r="I3255" s="2">
        <v>10000</v>
      </c>
    </row>
    <row r="3256" spans="1:9" x14ac:dyDescent="0.3">
      <c r="A3256" s="5">
        <v>7657</v>
      </c>
      <c r="B3256" s="5" t="s">
        <v>4328</v>
      </c>
      <c r="C3256" s="5">
        <v>1</v>
      </c>
      <c r="D3256" s="5" t="s">
        <v>10</v>
      </c>
      <c r="E3256" t="s">
        <v>4945</v>
      </c>
      <c r="F3256" t="s">
        <v>4946</v>
      </c>
      <c r="G3256">
        <v>3</v>
      </c>
      <c r="H3256" t="s">
        <v>37</v>
      </c>
      <c r="I3256" s="2">
        <v>7000</v>
      </c>
    </row>
    <row r="3257" spans="1:9" x14ac:dyDescent="0.3">
      <c r="A3257" s="5">
        <v>7653</v>
      </c>
      <c r="B3257" s="5" t="s">
        <v>4947</v>
      </c>
      <c r="C3257" s="5">
        <v>1</v>
      </c>
      <c r="D3257" s="5" t="s">
        <v>10</v>
      </c>
      <c r="E3257" t="s">
        <v>4948</v>
      </c>
      <c r="F3257" t="s">
        <v>4949</v>
      </c>
      <c r="G3257">
        <v>7</v>
      </c>
      <c r="H3257" t="s">
        <v>3284</v>
      </c>
      <c r="I3257" s="2">
        <v>15000</v>
      </c>
    </row>
    <row r="3258" spans="1:9" x14ac:dyDescent="0.3">
      <c r="A3258" s="5">
        <v>7653</v>
      </c>
      <c r="B3258" s="5" t="s">
        <v>4947</v>
      </c>
      <c r="C3258" s="5">
        <v>1</v>
      </c>
      <c r="D3258" s="5" t="s">
        <v>10</v>
      </c>
      <c r="E3258" t="s">
        <v>4948</v>
      </c>
      <c r="F3258" t="s">
        <v>4949</v>
      </c>
      <c r="G3258">
        <v>7</v>
      </c>
      <c r="H3258" t="s">
        <v>229</v>
      </c>
      <c r="I3258" s="2">
        <v>7000</v>
      </c>
    </row>
    <row r="3259" spans="1:9" x14ac:dyDescent="0.3">
      <c r="A3259" s="5">
        <v>7651</v>
      </c>
      <c r="B3259" s="5" t="s">
        <v>4950</v>
      </c>
      <c r="C3259" s="5">
        <v>1</v>
      </c>
      <c r="D3259" s="5" t="s">
        <v>10</v>
      </c>
      <c r="E3259" t="s">
        <v>4951</v>
      </c>
      <c r="F3259" t="s">
        <v>4952</v>
      </c>
      <c r="G3259">
        <v>8</v>
      </c>
      <c r="H3259" t="s">
        <v>2116</v>
      </c>
      <c r="I3259" s="2">
        <v>12000</v>
      </c>
    </row>
    <row r="3260" spans="1:9" x14ac:dyDescent="0.3">
      <c r="A3260" s="5">
        <v>7651</v>
      </c>
      <c r="B3260" s="5" t="s">
        <v>4950</v>
      </c>
      <c r="C3260" s="5">
        <v>1</v>
      </c>
      <c r="D3260" s="5" t="s">
        <v>10</v>
      </c>
      <c r="E3260" t="s">
        <v>4951</v>
      </c>
      <c r="F3260" t="s">
        <v>4952</v>
      </c>
      <c r="G3260">
        <v>8</v>
      </c>
      <c r="H3260" t="s">
        <v>4010</v>
      </c>
      <c r="I3260" s="2">
        <v>5000</v>
      </c>
    </row>
    <row r="3261" spans="1:9" x14ac:dyDescent="0.3">
      <c r="A3261" s="5">
        <v>7648</v>
      </c>
      <c r="B3261" s="5" t="s">
        <v>4953</v>
      </c>
      <c r="C3261" s="5">
        <v>1</v>
      </c>
      <c r="D3261" s="5" t="s">
        <v>10</v>
      </c>
      <c r="E3261" t="s">
        <v>4954</v>
      </c>
      <c r="F3261" t="s">
        <v>4955</v>
      </c>
      <c r="G3261">
        <v>3</v>
      </c>
      <c r="H3261" t="s">
        <v>1524</v>
      </c>
      <c r="I3261" s="2">
        <v>16000</v>
      </c>
    </row>
    <row r="3262" spans="1:9" x14ac:dyDescent="0.3">
      <c r="A3262" s="5">
        <v>7641</v>
      </c>
      <c r="B3262" s="5" t="s">
        <v>4956</v>
      </c>
      <c r="C3262" s="5">
        <v>5</v>
      </c>
      <c r="D3262" s="5" t="s">
        <v>63</v>
      </c>
      <c r="E3262" t="s">
        <v>4957</v>
      </c>
      <c r="F3262" t="s">
        <v>4958</v>
      </c>
      <c r="G3262">
        <v>6</v>
      </c>
      <c r="H3262" t="s">
        <v>88</v>
      </c>
      <c r="I3262" s="2">
        <v>25000</v>
      </c>
    </row>
    <row r="3263" spans="1:9" x14ac:dyDescent="0.3">
      <c r="A3263" s="5">
        <v>7641</v>
      </c>
      <c r="B3263" s="5" t="s">
        <v>4956</v>
      </c>
      <c r="C3263" s="5">
        <v>5</v>
      </c>
      <c r="D3263" s="5" t="s">
        <v>63</v>
      </c>
      <c r="E3263" t="s">
        <v>4957</v>
      </c>
      <c r="F3263" t="s">
        <v>4958</v>
      </c>
      <c r="G3263">
        <v>6</v>
      </c>
      <c r="H3263" t="s">
        <v>4752</v>
      </c>
      <c r="I3263" s="2">
        <v>25000</v>
      </c>
    </row>
    <row r="3264" spans="1:9" x14ac:dyDescent="0.3">
      <c r="A3264" s="5">
        <v>7641</v>
      </c>
      <c r="B3264" s="5" t="s">
        <v>4956</v>
      </c>
      <c r="C3264" s="5">
        <v>5</v>
      </c>
      <c r="D3264" s="5" t="s">
        <v>63</v>
      </c>
      <c r="E3264" t="s">
        <v>4957</v>
      </c>
      <c r="F3264" t="s">
        <v>4958</v>
      </c>
      <c r="G3264">
        <v>6</v>
      </c>
      <c r="H3264" t="s">
        <v>67</v>
      </c>
      <c r="I3264" s="2">
        <v>6000</v>
      </c>
    </row>
    <row r="3265" spans="1:9" x14ac:dyDescent="0.3">
      <c r="A3265" s="5">
        <v>7639</v>
      </c>
      <c r="B3265" s="5" t="s">
        <v>4959</v>
      </c>
      <c r="C3265" s="5">
        <v>5</v>
      </c>
      <c r="D3265" s="5" t="s">
        <v>63</v>
      </c>
      <c r="E3265" t="s">
        <v>4960</v>
      </c>
      <c r="F3265" t="s">
        <v>4961</v>
      </c>
      <c r="G3265">
        <v>6</v>
      </c>
      <c r="H3265" t="s">
        <v>88</v>
      </c>
      <c r="I3265" s="2">
        <v>20000</v>
      </c>
    </row>
    <row r="3266" spans="1:9" x14ac:dyDescent="0.3">
      <c r="A3266" s="5">
        <v>7639</v>
      </c>
      <c r="B3266" s="5" t="s">
        <v>4959</v>
      </c>
      <c r="C3266" s="5">
        <v>5</v>
      </c>
      <c r="D3266" s="5" t="s">
        <v>63</v>
      </c>
      <c r="E3266" t="s">
        <v>4960</v>
      </c>
      <c r="F3266" t="s">
        <v>4961</v>
      </c>
      <c r="G3266">
        <v>6</v>
      </c>
      <c r="H3266" t="s">
        <v>67</v>
      </c>
      <c r="I3266" s="2">
        <v>5000</v>
      </c>
    </row>
    <row r="3267" spans="1:9" x14ac:dyDescent="0.3">
      <c r="A3267" s="5">
        <v>7623</v>
      </c>
      <c r="B3267" s="5" t="s">
        <v>4962</v>
      </c>
      <c r="C3267" s="5">
        <v>2</v>
      </c>
      <c r="D3267" s="5" t="s">
        <v>261</v>
      </c>
      <c r="E3267" t="s">
        <v>4963</v>
      </c>
      <c r="F3267" t="s">
        <v>4964</v>
      </c>
      <c r="G3267">
        <v>3</v>
      </c>
      <c r="H3267" t="s">
        <v>265</v>
      </c>
      <c r="I3267" s="2">
        <v>4000</v>
      </c>
    </row>
    <row r="3268" spans="1:9" x14ac:dyDescent="0.3">
      <c r="A3268" s="5">
        <v>7623</v>
      </c>
      <c r="B3268" s="5" t="s">
        <v>4962</v>
      </c>
      <c r="C3268" s="5">
        <v>2</v>
      </c>
      <c r="D3268" s="5" t="s">
        <v>261</v>
      </c>
      <c r="E3268" t="s">
        <v>4963</v>
      </c>
      <c r="F3268" t="s">
        <v>4964</v>
      </c>
      <c r="G3268">
        <v>3</v>
      </c>
      <c r="H3268" t="s">
        <v>4965</v>
      </c>
      <c r="I3268" s="2">
        <v>10000</v>
      </c>
    </row>
    <row r="3269" spans="1:9" x14ac:dyDescent="0.3">
      <c r="A3269" s="5">
        <v>7623</v>
      </c>
      <c r="B3269" s="5" t="s">
        <v>4962</v>
      </c>
      <c r="C3269" s="5">
        <v>2</v>
      </c>
      <c r="D3269" s="5" t="s">
        <v>261</v>
      </c>
      <c r="E3269" t="s">
        <v>4963</v>
      </c>
      <c r="F3269" t="s">
        <v>4964</v>
      </c>
      <c r="G3269">
        <v>3</v>
      </c>
      <c r="H3269" t="s">
        <v>4966</v>
      </c>
      <c r="I3269" s="2">
        <v>18000</v>
      </c>
    </row>
    <row r="3270" spans="1:9" x14ac:dyDescent="0.3">
      <c r="A3270" s="5">
        <v>7623</v>
      </c>
      <c r="B3270" s="5" t="s">
        <v>4962</v>
      </c>
      <c r="C3270" s="5">
        <v>2</v>
      </c>
      <c r="D3270" s="5" t="s">
        <v>261</v>
      </c>
      <c r="E3270" t="s">
        <v>4963</v>
      </c>
      <c r="F3270" t="s">
        <v>4964</v>
      </c>
      <c r="G3270">
        <v>3</v>
      </c>
      <c r="H3270" t="s">
        <v>642</v>
      </c>
      <c r="I3270" s="2">
        <v>3500</v>
      </c>
    </row>
    <row r="3271" spans="1:9" x14ac:dyDescent="0.3">
      <c r="A3271" s="5">
        <v>7601</v>
      </c>
      <c r="B3271" s="5" t="s">
        <v>4967</v>
      </c>
      <c r="C3271" s="5">
        <v>1</v>
      </c>
      <c r="D3271" s="5" t="s">
        <v>10</v>
      </c>
      <c r="E3271" t="s">
        <v>4968</v>
      </c>
      <c r="F3271" t="s">
        <v>4969</v>
      </c>
      <c r="G3271">
        <v>5</v>
      </c>
      <c r="H3271" t="s">
        <v>4970</v>
      </c>
      <c r="I3271" s="2">
        <v>7000</v>
      </c>
    </row>
    <row r="3272" spans="1:9" x14ac:dyDescent="0.3">
      <c r="A3272" s="5">
        <v>7595</v>
      </c>
      <c r="B3272" s="5" t="s">
        <v>4971</v>
      </c>
      <c r="C3272" s="5">
        <v>1</v>
      </c>
      <c r="D3272" s="5" t="s">
        <v>10</v>
      </c>
      <c r="E3272" t="s">
        <v>4972</v>
      </c>
      <c r="F3272" t="s">
        <v>4973</v>
      </c>
      <c r="G3272">
        <v>8</v>
      </c>
      <c r="H3272" t="s">
        <v>139</v>
      </c>
      <c r="I3272" s="2">
        <v>4500</v>
      </c>
    </row>
    <row r="3273" spans="1:9" x14ac:dyDescent="0.3">
      <c r="A3273" s="5">
        <v>7595</v>
      </c>
      <c r="B3273" s="5" t="s">
        <v>4971</v>
      </c>
      <c r="C3273" s="5">
        <v>1</v>
      </c>
      <c r="D3273" s="5" t="s">
        <v>10</v>
      </c>
      <c r="E3273" t="s">
        <v>4972</v>
      </c>
      <c r="F3273" t="s">
        <v>4973</v>
      </c>
      <c r="G3273">
        <v>8</v>
      </c>
      <c r="H3273" t="s">
        <v>126</v>
      </c>
      <c r="I3273" s="2">
        <v>4500</v>
      </c>
    </row>
    <row r="3274" spans="1:9" x14ac:dyDescent="0.3">
      <c r="A3274" s="5">
        <v>7574</v>
      </c>
      <c r="B3274" s="5" t="s">
        <v>4974</v>
      </c>
      <c r="C3274" s="5">
        <v>2</v>
      </c>
      <c r="D3274" s="5" t="s">
        <v>261</v>
      </c>
      <c r="E3274" t="s">
        <v>4975</v>
      </c>
      <c r="F3274" t="s">
        <v>4976</v>
      </c>
      <c r="G3274">
        <v>9</v>
      </c>
      <c r="H3274" t="s">
        <v>642</v>
      </c>
      <c r="I3274" s="2">
        <v>3000</v>
      </c>
    </row>
    <row r="3275" spans="1:9" x14ac:dyDescent="0.3">
      <c r="A3275" s="5">
        <v>7552</v>
      </c>
      <c r="B3275" s="5" t="s">
        <v>4977</v>
      </c>
      <c r="C3275" s="5">
        <v>5</v>
      </c>
      <c r="D3275" s="5" t="s">
        <v>63</v>
      </c>
      <c r="E3275" t="s">
        <v>4978</v>
      </c>
      <c r="F3275" t="s">
        <v>4979</v>
      </c>
      <c r="G3275">
        <v>5</v>
      </c>
      <c r="H3275" t="s">
        <v>117</v>
      </c>
      <c r="I3275" s="2">
        <v>5000</v>
      </c>
    </row>
    <row r="3276" spans="1:9" x14ac:dyDescent="0.3">
      <c r="A3276" s="5">
        <v>7549</v>
      </c>
      <c r="B3276" s="5" t="s">
        <v>4980</v>
      </c>
      <c r="C3276" s="5">
        <v>5</v>
      </c>
      <c r="D3276" s="5" t="s">
        <v>63</v>
      </c>
      <c r="E3276" t="s">
        <v>3179</v>
      </c>
      <c r="F3276" t="s">
        <v>4981</v>
      </c>
      <c r="G3276">
        <v>58</v>
      </c>
      <c r="H3276" t="s">
        <v>117</v>
      </c>
      <c r="I3276" s="2">
        <v>6000</v>
      </c>
    </row>
    <row r="3277" spans="1:9" x14ac:dyDescent="0.3">
      <c r="A3277" s="5">
        <v>7541</v>
      </c>
      <c r="B3277" s="5" t="s">
        <v>4982</v>
      </c>
      <c r="C3277" s="5">
        <v>1</v>
      </c>
      <c r="D3277" s="5" t="s">
        <v>10</v>
      </c>
      <c r="E3277" t="s">
        <v>4983</v>
      </c>
      <c r="F3277" t="s">
        <v>4984</v>
      </c>
      <c r="G3277">
        <v>6</v>
      </c>
      <c r="H3277" t="s">
        <v>929</v>
      </c>
      <c r="I3277" s="2">
        <v>7000</v>
      </c>
    </row>
    <row r="3278" spans="1:9" x14ac:dyDescent="0.3">
      <c r="A3278" s="5">
        <v>7541</v>
      </c>
      <c r="B3278" s="5" t="s">
        <v>4982</v>
      </c>
      <c r="C3278" s="5">
        <v>1</v>
      </c>
      <c r="D3278" s="5" t="s">
        <v>10</v>
      </c>
      <c r="E3278" t="s">
        <v>4983</v>
      </c>
      <c r="F3278" t="s">
        <v>4984</v>
      </c>
      <c r="G3278">
        <v>6</v>
      </c>
      <c r="H3278" t="s">
        <v>126</v>
      </c>
      <c r="I3278" s="2">
        <v>7000</v>
      </c>
    </row>
    <row r="3279" spans="1:9" x14ac:dyDescent="0.3">
      <c r="A3279" s="5">
        <v>7541</v>
      </c>
      <c r="B3279" s="5" t="s">
        <v>4982</v>
      </c>
      <c r="C3279" s="5">
        <v>1</v>
      </c>
      <c r="D3279" s="5" t="s">
        <v>10</v>
      </c>
      <c r="E3279" t="s">
        <v>4983</v>
      </c>
      <c r="F3279" t="s">
        <v>4984</v>
      </c>
      <c r="G3279">
        <v>6</v>
      </c>
      <c r="H3279" t="s">
        <v>149</v>
      </c>
      <c r="I3279" s="2">
        <v>7000</v>
      </c>
    </row>
    <row r="3280" spans="1:9" x14ac:dyDescent="0.3">
      <c r="A3280" s="5">
        <v>7533</v>
      </c>
      <c r="B3280" s="5" t="s">
        <v>4985</v>
      </c>
      <c r="C3280" s="5">
        <v>1</v>
      </c>
      <c r="D3280" s="5" t="s">
        <v>10</v>
      </c>
      <c r="E3280" t="s">
        <v>4986</v>
      </c>
      <c r="F3280" t="s">
        <v>4987</v>
      </c>
      <c r="G3280">
        <v>5</v>
      </c>
      <c r="H3280" t="s">
        <v>139</v>
      </c>
      <c r="I3280" s="2">
        <v>5000</v>
      </c>
    </row>
    <row r="3281" spans="1:9" x14ac:dyDescent="0.3">
      <c r="A3281" s="5">
        <v>7533</v>
      </c>
      <c r="B3281" s="5" t="s">
        <v>4985</v>
      </c>
      <c r="C3281" s="5">
        <v>1</v>
      </c>
      <c r="D3281" s="5" t="s">
        <v>10</v>
      </c>
      <c r="E3281" t="s">
        <v>4986</v>
      </c>
      <c r="F3281" t="s">
        <v>4987</v>
      </c>
      <c r="G3281">
        <v>5</v>
      </c>
      <c r="H3281" t="s">
        <v>126</v>
      </c>
      <c r="I3281" s="2">
        <v>5000</v>
      </c>
    </row>
    <row r="3282" spans="1:9" x14ac:dyDescent="0.3">
      <c r="A3282" s="5">
        <v>7517</v>
      </c>
      <c r="B3282" s="5" t="s">
        <v>1467</v>
      </c>
      <c r="C3282" s="5">
        <v>5</v>
      </c>
      <c r="D3282" s="5" t="s">
        <v>63</v>
      </c>
      <c r="E3282" t="s">
        <v>4988</v>
      </c>
      <c r="F3282" t="s">
        <v>4989</v>
      </c>
      <c r="G3282">
        <v>6</v>
      </c>
      <c r="H3282" t="s">
        <v>67</v>
      </c>
      <c r="I3282" s="2">
        <v>8000</v>
      </c>
    </row>
    <row r="3283" spans="1:9" x14ac:dyDescent="0.3">
      <c r="A3283" s="5">
        <v>7517</v>
      </c>
      <c r="B3283" s="5" t="s">
        <v>1467</v>
      </c>
      <c r="C3283" s="5">
        <v>5</v>
      </c>
      <c r="D3283" s="5" t="s">
        <v>63</v>
      </c>
      <c r="E3283" t="s">
        <v>4988</v>
      </c>
      <c r="F3283" t="s">
        <v>4989</v>
      </c>
      <c r="G3283">
        <v>6</v>
      </c>
      <c r="H3283" t="s">
        <v>88</v>
      </c>
      <c r="I3283" s="2">
        <v>20000</v>
      </c>
    </row>
    <row r="3284" spans="1:9" x14ac:dyDescent="0.3">
      <c r="A3284" s="5">
        <v>7501</v>
      </c>
      <c r="B3284" s="5" t="s">
        <v>4990</v>
      </c>
      <c r="C3284" s="5">
        <v>2</v>
      </c>
      <c r="D3284" s="5" t="s">
        <v>261</v>
      </c>
      <c r="E3284" t="s">
        <v>4991</v>
      </c>
      <c r="F3284" t="s">
        <v>4992</v>
      </c>
      <c r="G3284">
        <v>60</v>
      </c>
      <c r="H3284" t="s">
        <v>642</v>
      </c>
      <c r="I3284" s="2">
        <v>3000</v>
      </c>
    </row>
    <row r="3285" spans="1:9" x14ac:dyDescent="0.3">
      <c r="A3285" s="5">
        <v>7501</v>
      </c>
      <c r="B3285" s="5" t="s">
        <v>4990</v>
      </c>
      <c r="C3285" s="5">
        <v>2</v>
      </c>
      <c r="D3285" s="5" t="s">
        <v>261</v>
      </c>
      <c r="E3285" t="s">
        <v>4991</v>
      </c>
      <c r="F3285" t="s">
        <v>4992</v>
      </c>
      <c r="G3285">
        <v>60</v>
      </c>
      <c r="H3285" t="s">
        <v>265</v>
      </c>
      <c r="I3285" s="2">
        <v>4000</v>
      </c>
    </row>
    <row r="3286" spans="1:9" x14ac:dyDescent="0.3">
      <c r="A3286" s="5">
        <v>7501</v>
      </c>
      <c r="B3286" s="5" t="s">
        <v>4990</v>
      </c>
      <c r="C3286" s="5">
        <v>2</v>
      </c>
      <c r="D3286" s="5" t="s">
        <v>261</v>
      </c>
      <c r="E3286" t="s">
        <v>4991</v>
      </c>
      <c r="F3286" t="s">
        <v>4992</v>
      </c>
      <c r="G3286">
        <v>60</v>
      </c>
      <c r="H3286" t="s">
        <v>4862</v>
      </c>
      <c r="I3286" s="2">
        <v>9000</v>
      </c>
    </row>
    <row r="3287" spans="1:9" x14ac:dyDescent="0.3">
      <c r="A3287" s="5">
        <v>7494</v>
      </c>
      <c r="B3287" s="5" t="s">
        <v>4993</v>
      </c>
      <c r="C3287" s="5">
        <v>7</v>
      </c>
      <c r="D3287" s="5" t="s">
        <v>360</v>
      </c>
      <c r="E3287" t="s">
        <v>4994</v>
      </c>
      <c r="F3287" t="s">
        <v>4995</v>
      </c>
      <c r="G3287">
        <v>5</v>
      </c>
      <c r="H3287" t="s">
        <v>4996</v>
      </c>
      <c r="I3287" s="2">
        <v>3000</v>
      </c>
    </row>
    <row r="3288" spans="1:9" x14ac:dyDescent="0.3">
      <c r="A3288" s="5">
        <v>7494</v>
      </c>
      <c r="B3288" s="5" t="s">
        <v>4993</v>
      </c>
      <c r="C3288" s="5">
        <v>7</v>
      </c>
      <c r="D3288" s="5" t="s">
        <v>360</v>
      </c>
      <c r="E3288" t="s">
        <v>4994</v>
      </c>
      <c r="F3288" t="s">
        <v>4995</v>
      </c>
      <c r="G3288">
        <v>5</v>
      </c>
      <c r="H3288" t="s">
        <v>363</v>
      </c>
      <c r="I3288" s="2">
        <v>5000</v>
      </c>
    </row>
    <row r="3289" spans="1:9" x14ac:dyDescent="0.3">
      <c r="A3289" s="5">
        <v>7481</v>
      </c>
      <c r="B3289" s="5" t="s">
        <v>4997</v>
      </c>
      <c r="C3289" s="5">
        <v>5</v>
      </c>
      <c r="D3289" s="5" t="s">
        <v>63</v>
      </c>
      <c r="E3289" t="s">
        <v>4998</v>
      </c>
      <c r="G3289">
        <v>5</v>
      </c>
      <c r="H3289" t="s">
        <v>67</v>
      </c>
      <c r="I3289" s="2">
        <v>7000</v>
      </c>
    </row>
    <row r="3290" spans="1:9" x14ac:dyDescent="0.3">
      <c r="A3290" s="5">
        <v>7481</v>
      </c>
      <c r="B3290" s="5" t="s">
        <v>4997</v>
      </c>
      <c r="C3290" s="5">
        <v>5</v>
      </c>
      <c r="D3290" s="5" t="s">
        <v>63</v>
      </c>
      <c r="E3290" t="s">
        <v>4998</v>
      </c>
      <c r="G3290">
        <v>5</v>
      </c>
      <c r="H3290" t="s">
        <v>1104</v>
      </c>
      <c r="I3290" s="2">
        <v>20000</v>
      </c>
    </row>
    <row r="3291" spans="1:9" x14ac:dyDescent="0.3">
      <c r="A3291" s="5">
        <v>7443</v>
      </c>
      <c r="B3291" s="5" t="s">
        <v>4999</v>
      </c>
      <c r="C3291" s="5">
        <v>5</v>
      </c>
      <c r="D3291" s="5" t="s">
        <v>63</v>
      </c>
      <c r="E3291" t="s">
        <v>5000</v>
      </c>
      <c r="F3291" t="s">
        <v>5001</v>
      </c>
      <c r="G3291">
        <v>6</v>
      </c>
      <c r="H3291" t="s">
        <v>1104</v>
      </c>
      <c r="I3291" s="2">
        <v>25000</v>
      </c>
    </row>
    <row r="3292" spans="1:9" x14ac:dyDescent="0.3">
      <c r="A3292" s="5">
        <v>7443</v>
      </c>
      <c r="B3292" s="5" t="s">
        <v>4999</v>
      </c>
      <c r="C3292" s="5">
        <v>5</v>
      </c>
      <c r="D3292" s="5" t="s">
        <v>63</v>
      </c>
      <c r="E3292" t="s">
        <v>5000</v>
      </c>
      <c r="F3292" t="s">
        <v>5001</v>
      </c>
      <c r="G3292">
        <v>6</v>
      </c>
      <c r="H3292" t="s">
        <v>1105</v>
      </c>
      <c r="I3292" s="2">
        <v>8000</v>
      </c>
    </row>
    <row r="3293" spans="1:9" x14ac:dyDescent="0.3">
      <c r="A3293" s="5">
        <v>7442</v>
      </c>
      <c r="B3293" s="5" t="s">
        <v>5002</v>
      </c>
      <c r="C3293" s="5">
        <v>1</v>
      </c>
      <c r="D3293" s="5" t="s">
        <v>10</v>
      </c>
      <c r="E3293" t="s">
        <v>5003</v>
      </c>
      <c r="F3293" t="s">
        <v>5004</v>
      </c>
      <c r="G3293">
        <v>5</v>
      </c>
      <c r="H3293" t="s">
        <v>126</v>
      </c>
      <c r="I3293" s="2">
        <v>6000</v>
      </c>
    </row>
    <row r="3294" spans="1:9" x14ac:dyDescent="0.3">
      <c r="A3294" s="5">
        <v>7442</v>
      </c>
      <c r="B3294" s="5" t="s">
        <v>5002</v>
      </c>
      <c r="C3294" s="5">
        <v>1</v>
      </c>
      <c r="D3294" s="5" t="s">
        <v>10</v>
      </c>
      <c r="E3294" t="s">
        <v>5003</v>
      </c>
      <c r="F3294" t="s">
        <v>5004</v>
      </c>
      <c r="G3294">
        <v>5</v>
      </c>
      <c r="H3294" t="s">
        <v>4855</v>
      </c>
      <c r="I3294" s="2">
        <v>2500</v>
      </c>
    </row>
    <row r="3295" spans="1:9" x14ac:dyDescent="0.3">
      <c r="A3295" s="5">
        <v>7442</v>
      </c>
      <c r="B3295" s="5" t="s">
        <v>5002</v>
      </c>
      <c r="C3295" s="5">
        <v>1</v>
      </c>
      <c r="D3295" s="5" t="s">
        <v>10</v>
      </c>
      <c r="E3295" t="s">
        <v>5003</v>
      </c>
      <c r="F3295" t="s">
        <v>5004</v>
      </c>
      <c r="G3295">
        <v>5</v>
      </c>
      <c r="H3295" t="s">
        <v>37</v>
      </c>
      <c r="I3295" s="2">
        <v>4000</v>
      </c>
    </row>
    <row r="3296" spans="1:9" x14ac:dyDescent="0.3">
      <c r="A3296" s="5">
        <v>7442</v>
      </c>
      <c r="B3296" s="5" t="s">
        <v>5002</v>
      </c>
      <c r="C3296" s="5">
        <v>1</v>
      </c>
      <c r="D3296" s="5" t="s">
        <v>10</v>
      </c>
      <c r="E3296" t="s">
        <v>5003</v>
      </c>
      <c r="F3296" t="s">
        <v>5004</v>
      </c>
      <c r="G3296">
        <v>5</v>
      </c>
      <c r="H3296" t="s">
        <v>37</v>
      </c>
      <c r="I3296" s="2">
        <v>6000</v>
      </c>
    </row>
    <row r="3297" spans="1:9" x14ac:dyDescent="0.3">
      <c r="A3297" s="5">
        <v>7442</v>
      </c>
      <c r="B3297" s="5" t="s">
        <v>5002</v>
      </c>
      <c r="C3297" s="5">
        <v>1</v>
      </c>
      <c r="D3297" s="5" t="s">
        <v>10</v>
      </c>
      <c r="E3297" t="s">
        <v>5003</v>
      </c>
      <c r="F3297" t="s">
        <v>5004</v>
      </c>
      <c r="G3297">
        <v>5</v>
      </c>
      <c r="H3297" t="s">
        <v>21</v>
      </c>
      <c r="I3297" s="2">
        <v>4000</v>
      </c>
    </row>
    <row r="3298" spans="1:9" x14ac:dyDescent="0.3">
      <c r="A3298" s="5">
        <v>7442</v>
      </c>
      <c r="B3298" s="5" t="s">
        <v>5002</v>
      </c>
      <c r="C3298" s="5">
        <v>1</v>
      </c>
      <c r="D3298" s="5" t="s">
        <v>10</v>
      </c>
      <c r="E3298" t="s">
        <v>5003</v>
      </c>
      <c r="F3298" t="s">
        <v>5004</v>
      </c>
      <c r="G3298">
        <v>5</v>
      </c>
      <c r="H3298" t="s">
        <v>1042</v>
      </c>
      <c r="I3298" s="2">
        <v>5000</v>
      </c>
    </row>
    <row r="3299" spans="1:9" x14ac:dyDescent="0.3">
      <c r="A3299" s="5">
        <v>7442</v>
      </c>
      <c r="B3299" s="5" t="s">
        <v>5002</v>
      </c>
      <c r="C3299" s="5">
        <v>1</v>
      </c>
      <c r="D3299" s="5" t="s">
        <v>10</v>
      </c>
      <c r="E3299" t="s">
        <v>5003</v>
      </c>
      <c r="F3299" t="s">
        <v>5004</v>
      </c>
      <c r="G3299">
        <v>5</v>
      </c>
      <c r="H3299" t="s">
        <v>374</v>
      </c>
      <c r="I3299" s="2">
        <v>3000</v>
      </c>
    </row>
    <row r="3300" spans="1:9" x14ac:dyDescent="0.3">
      <c r="A3300" s="5">
        <v>7442</v>
      </c>
      <c r="B3300" s="5" t="s">
        <v>5002</v>
      </c>
      <c r="C3300" s="5">
        <v>1</v>
      </c>
      <c r="D3300" s="5" t="s">
        <v>10</v>
      </c>
      <c r="E3300" t="s">
        <v>5003</v>
      </c>
      <c r="F3300" t="s">
        <v>5004</v>
      </c>
      <c r="G3300">
        <v>5</v>
      </c>
      <c r="H3300" t="s">
        <v>1847</v>
      </c>
      <c r="I3300" s="2">
        <v>4000</v>
      </c>
    </row>
    <row r="3301" spans="1:9" x14ac:dyDescent="0.3">
      <c r="A3301" s="5">
        <v>7428</v>
      </c>
      <c r="B3301" s="5" t="s">
        <v>5005</v>
      </c>
      <c r="C3301" s="5">
        <v>2</v>
      </c>
      <c r="D3301" s="5" t="s">
        <v>261</v>
      </c>
      <c r="E3301" t="s">
        <v>5006</v>
      </c>
      <c r="F3301" t="s">
        <v>5007</v>
      </c>
      <c r="G3301">
        <v>7</v>
      </c>
      <c r="H3301" t="s">
        <v>2429</v>
      </c>
      <c r="I3301" s="2">
        <v>16000</v>
      </c>
    </row>
    <row r="3302" spans="1:9" x14ac:dyDescent="0.3">
      <c r="A3302" s="5">
        <v>7428</v>
      </c>
      <c r="B3302" s="5" t="s">
        <v>5005</v>
      </c>
      <c r="C3302" s="5">
        <v>2</v>
      </c>
      <c r="D3302" s="5" t="s">
        <v>261</v>
      </c>
      <c r="E3302" t="s">
        <v>5006</v>
      </c>
      <c r="F3302" t="s">
        <v>5007</v>
      </c>
      <c r="G3302">
        <v>7</v>
      </c>
      <c r="H3302" t="s">
        <v>265</v>
      </c>
      <c r="I3302" s="2">
        <v>5000</v>
      </c>
    </row>
    <row r="3303" spans="1:9" x14ac:dyDescent="0.3">
      <c r="A3303" s="5">
        <v>7428</v>
      </c>
      <c r="B3303" s="5" t="s">
        <v>5005</v>
      </c>
      <c r="C3303" s="5">
        <v>2</v>
      </c>
      <c r="D3303" s="5" t="s">
        <v>261</v>
      </c>
      <c r="E3303" t="s">
        <v>5006</v>
      </c>
      <c r="F3303" t="s">
        <v>5007</v>
      </c>
      <c r="G3303">
        <v>7</v>
      </c>
      <c r="H3303" t="s">
        <v>642</v>
      </c>
      <c r="I3303" s="2">
        <v>4000</v>
      </c>
    </row>
    <row r="3304" spans="1:9" x14ac:dyDescent="0.3">
      <c r="A3304" s="5">
        <v>7420</v>
      </c>
      <c r="B3304" s="5" t="s">
        <v>2109</v>
      </c>
      <c r="C3304" s="5">
        <v>13</v>
      </c>
      <c r="D3304" s="5" t="s">
        <v>27</v>
      </c>
      <c r="E3304" t="s">
        <v>5008</v>
      </c>
      <c r="F3304" t="s">
        <v>2111</v>
      </c>
      <c r="G3304">
        <v>5</v>
      </c>
      <c r="H3304" t="s">
        <v>5009</v>
      </c>
      <c r="I3304" s="2">
        <v>10000</v>
      </c>
    </row>
    <row r="3305" spans="1:9" x14ac:dyDescent="0.3">
      <c r="A3305" s="5">
        <v>7418</v>
      </c>
      <c r="B3305" s="5" t="s">
        <v>5010</v>
      </c>
      <c r="C3305" s="5">
        <v>5</v>
      </c>
      <c r="D3305" s="5" t="s">
        <v>63</v>
      </c>
      <c r="E3305" t="s">
        <v>5011</v>
      </c>
      <c r="F3305" t="s">
        <v>5012</v>
      </c>
      <c r="G3305">
        <v>6</v>
      </c>
      <c r="H3305" t="s">
        <v>117</v>
      </c>
      <c r="I3305" s="2">
        <v>8000</v>
      </c>
    </row>
    <row r="3306" spans="1:9" x14ac:dyDescent="0.3">
      <c r="A3306" s="5">
        <v>7396</v>
      </c>
      <c r="B3306" s="5" t="s">
        <v>5013</v>
      </c>
      <c r="C3306" s="5">
        <v>5</v>
      </c>
      <c r="D3306" s="5" t="s">
        <v>63</v>
      </c>
      <c r="E3306" t="s">
        <v>5014</v>
      </c>
      <c r="F3306" t="s">
        <v>5015</v>
      </c>
      <c r="G3306">
        <v>5</v>
      </c>
      <c r="H3306" t="s">
        <v>67</v>
      </c>
      <c r="I3306" s="2">
        <v>8000</v>
      </c>
    </row>
    <row r="3307" spans="1:9" x14ac:dyDescent="0.3">
      <c r="A3307" s="5">
        <v>7396</v>
      </c>
      <c r="B3307" s="5" t="s">
        <v>5013</v>
      </c>
      <c r="C3307" s="5">
        <v>5</v>
      </c>
      <c r="D3307" s="5" t="s">
        <v>63</v>
      </c>
      <c r="E3307" t="s">
        <v>5014</v>
      </c>
      <c r="F3307" t="s">
        <v>5015</v>
      </c>
      <c r="G3307">
        <v>5</v>
      </c>
      <c r="H3307" t="s">
        <v>458</v>
      </c>
      <c r="I3307" s="2">
        <v>25000</v>
      </c>
    </row>
    <row r="3308" spans="1:9" x14ac:dyDescent="0.3">
      <c r="A3308" s="5">
        <v>7396</v>
      </c>
      <c r="B3308" s="5" t="s">
        <v>5013</v>
      </c>
      <c r="C3308" s="5">
        <v>5</v>
      </c>
      <c r="D3308" s="5" t="s">
        <v>63</v>
      </c>
      <c r="E3308" t="s">
        <v>5014</v>
      </c>
      <c r="F3308" t="s">
        <v>5015</v>
      </c>
      <c r="G3308">
        <v>5</v>
      </c>
      <c r="H3308" t="s">
        <v>88</v>
      </c>
      <c r="I3308" s="2">
        <v>25000</v>
      </c>
    </row>
    <row r="3309" spans="1:9" x14ac:dyDescent="0.3">
      <c r="A3309" s="5">
        <v>7392</v>
      </c>
      <c r="B3309" s="5" t="s">
        <v>5016</v>
      </c>
      <c r="C3309" s="5">
        <v>1</v>
      </c>
      <c r="D3309" s="5" t="s">
        <v>10</v>
      </c>
      <c r="E3309" t="s">
        <v>5017</v>
      </c>
      <c r="F3309" t="s">
        <v>5018</v>
      </c>
      <c r="G3309">
        <v>5</v>
      </c>
      <c r="H3309" t="s">
        <v>126</v>
      </c>
      <c r="I3309" s="2">
        <v>7000</v>
      </c>
    </row>
    <row r="3310" spans="1:9" x14ac:dyDescent="0.3">
      <c r="A3310" s="5">
        <v>7392</v>
      </c>
      <c r="B3310" s="5" t="s">
        <v>5016</v>
      </c>
      <c r="C3310" s="5">
        <v>1</v>
      </c>
      <c r="D3310" s="5" t="s">
        <v>10</v>
      </c>
      <c r="E3310" t="s">
        <v>5017</v>
      </c>
      <c r="F3310" t="s">
        <v>5018</v>
      </c>
      <c r="G3310">
        <v>5</v>
      </c>
      <c r="H3310" t="s">
        <v>175</v>
      </c>
      <c r="I3310" s="2">
        <v>5000</v>
      </c>
    </row>
    <row r="3311" spans="1:9" x14ac:dyDescent="0.3">
      <c r="A3311" s="5">
        <v>7392</v>
      </c>
      <c r="B3311" s="5" t="s">
        <v>5016</v>
      </c>
      <c r="C3311" s="5">
        <v>1</v>
      </c>
      <c r="D3311" s="5" t="s">
        <v>10</v>
      </c>
      <c r="E3311" t="s">
        <v>5017</v>
      </c>
      <c r="F3311" t="s">
        <v>5018</v>
      </c>
      <c r="G3311">
        <v>5</v>
      </c>
      <c r="H3311" t="s">
        <v>139</v>
      </c>
      <c r="I3311" s="2">
        <v>6000</v>
      </c>
    </row>
    <row r="3312" spans="1:9" x14ac:dyDescent="0.3">
      <c r="A3312" s="5">
        <v>7348</v>
      </c>
      <c r="B3312" s="5" t="s">
        <v>5019</v>
      </c>
      <c r="C3312" s="5">
        <v>1</v>
      </c>
      <c r="D3312" s="5" t="s">
        <v>10</v>
      </c>
      <c r="E3312" t="s">
        <v>5020</v>
      </c>
      <c r="F3312" t="s">
        <v>5021</v>
      </c>
      <c r="G3312">
        <v>5</v>
      </c>
      <c r="H3312" t="s">
        <v>21</v>
      </c>
      <c r="I3312" s="2">
        <v>6000</v>
      </c>
    </row>
    <row r="3313" spans="1:9" x14ac:dyDescent="0.3">
      <c r="A3313" s="5">
        <v>7348</v>
      </c>
      <c r="B3313" s="5" t="s">
        <v>5019</v>
      </c>
      <c r="C3313" s="5">
        <v>1</v>
      </c>
      <c r="D3313" s="5" t="s">
        <v>10</v>
      </c>
      <c r="E3313" t="s">
        <v>5020</v>
      </c>
      <c r="F3313" t="s">
        <v>5021</v>
      </c>
      <c r="G3313">
        <v>5</v>
      </c>
      <c r="H3313" t="s">
        <v>21</v>
      </c>
      <c r="I3313" s="2">
        <v>6000</v>
      </c>
    </row>
    <row r="3314" spans="1:9" x14ac:dyDescent="0.3">
      <c r="A3314" s="5">
        <v>7348</v>
      </c>
      <c r="B3314" s="5" t="s">
        <v>5019</v>
      </c>
      <c r="C3314" s="5">
        <v>1</v>
      </c>
      <c r="D3314" s="5" t="s">
        <v>10</v>
      </c>
      <c r="E3314" t="s">
        <v>5020</v>
      </c>
      <c r="F3314" t="s">
        <v>5021</v>
      </c>
      <c r="G3314">
        <v>5</v>
      </c>
      <c r="H3314" t="s">
        <v>229</v>
      </c>
      <c r="I3314" s="2">
        <v>6000</v>
      </c>
    </row>
    <row r="3315" spans="1:9" x14ac:dyDescent="0.3">
      <c r="A3315" s="5">
        <v>7344</v>
      </c>
      <c r="B3315" s="5" t="s">
        <v>5022</v>
      </c>
      <c r="C3315" s="5">
        <v>7</v>
      </c>
      <c r="D3315" s="5" t="s">
        <v>360</v>
      </c>
      <c r="E3315" t="s">
        <v>5023</v>
      </c>
      <c r="F3315" t="s">
        <v>5024</v>
      </c>
      <c r="G3315">
        <v>6</v>
      </c>
      <c r="H3315" t="s">
        <v>363</v>
      </c>
      <c r="I3315" s="2">
        <v>8000</v>
      </c>
    </row>
    <row r="3316" spans="1:9" x14ac:dyDescent="0.3">
      <c r="A3316" s="5">
        <v>7344</v>
      </c>
      <c r="B3316" s="5" t="s">
        <v>5022</v>
      </c>
      <c r="C3316" s="5">
        <v>7</v>
      </c>
      <c r="D3316" s="5" t="s">
        <v>360</v>
      </c>
      <c r="E3316" t="s">
        <v>5023</v>
      </c>
      <c r="F3316" t="s">
        <v>5024</v>
      </c>
      <c r="G3316">
        <v>6</v>
      </c>
      <c r="H3316" t="s">
        <v>5025</v>
      </c>
      <c r="I3316" s="2">
        <v>3000</v>
      </c>
    </row>
    <row r="3317" spans="1:9" x14ac:dyDescent="0.3">
      <c r="A3317" s="5">
        <v>7340</v>
      </c>
      <c r="B3317" s="5" t="s">
        <v>5026</v>
      </c>
      <c r="C3317" s="5">
        <v>2</v>
      </c>
      <c r="D3317" s="5" t="s">
        <v>261</v>
      </c>
      <c r="E3317" t="s">
        <v>5027</v>
      </c>
      <c r="F3317" t="s">
        <v>5028</v>
      </c>
      <c r="G3317">
        <v>9</v>
      </c>
      <c r="H3317" t="s">
        <v>265</v>
      </c>
      <c r="I3317" s="2">
        <v>5000</v>
      </c>
    </row>
    <row r="3318" spans="1:9" x14ac:dyDescent="0.3">
      <c r="A3318" s="5">
        <v>7340</v>
      </c>
      <c r="B3318" s="5" t="s">
        <v>5026</v>
      </c>
      <c r="C3318" s="5">
        <v>2</v>
      </c>
      <c r="D3318" s="5" t="s">
        <v>261</v>
      </c>
      <c r="E3318" t="s">
        <v>5027</v>
      </c>
      <c r="F3318" t="s">
        <v>5028</v>
      </c>
      <c r="G3318">
        <v>9</v>
      </c>
      <c r="H3318" t="s">
        <v>642</v>
      </c>
      <c r="I3318" s="2">
        <v>4000</v>
      </c>
    </row>
    <row r="3319" spans="1:9" x14ac:dyDescent="0.3">
      <c r="A3319" s="5">
        <v>7338</v>
      </c>
      <c r="B3319" s="5" t="s">
        <v>5029</v>
      </c>
      <c r="C3319" s="5">
        <v>1</v>
      </c>
      <c r="D3319" s="5" t="s">
        <v>10</v>
      </c>
      <c r="E3319" t="s">
        <v>5030</v>
      </c>
      <c r="F3319" t="s">
        <v>5031</v>
      </c>
      <c r="G3319">
        <v>60</v>
      </c>
      <c r="H3319" t="s">
        <v>5032</v>
      </c>
      <c r="I3319" s="2">
        <v>25000</v>
      </c>
    </row>
    <row r="3320" spans="1:9" x14ac:dyDescent="0.3">
      <c r="A3320" s="5">
        <v>7338</v>
      </c>
      <c r="B3320" s="5" t="s">
        <v>5029</v>
      </c>
      <c r="C3320" s="5">
        <v>1</v>
      </c>
      <c r="D3320" s="5" t="s">
        <v>10</v>
      </c>
      <c r="E3320" t="s">
        <v>5030</v>
      </c>
      <c r="F3320" t="s">
        <v>5031</v>
      </c>
      <c r="G3320">
        <v>60</v>
      </c>
      <c r="H3320" t="s">
        <v>5033</v>
      </c>
      <c r="I3320" s="2">
        <v>58000</v>
      </c>
    </row>
    <row r="3321" spans="1:9" x14ac:dyDescent="0.3">
      <c r="A3321" s="5">
        <v>7338</v>
      </c>
      <c r="B3321" s="5" t="s">
        <v>5029</v>
      </c>
      <c r="C3321" s="5">
        <v>1</v>
      </c>
      <c r="D3321" s="5" t="s">
        <v>10</v>
      </c>
      <c r="E3321" t="s">
        <v>5030</v>
      </c>
      <c r="F3321" t="s">
        <v>5031</v>
      </c>
      <c r="G3321">
        <v>60</v>
      </c>
      <c r="H3321" t="s">
        <v>5034</v>
      </c>
      <c r="I3321" s="2">
        <v>22000</v>
      </c>
    </row>
    <row r="3322" spans="1:9" x14ac:dyDescent="0.3">
      <c r="A3322" s="5">
        <v>7338</v>
      </c>
      <c r="B3322" s="5" t="s">
        <v>5029</v>
      </c>
      <c r="C3322" s="5">
        <v>1</v>
      </c>
      <c r="D3322" s="5" t="s">
        <v>10</v>
      </c>
      <c r="E3322" t="s">
        <v>5030</v>
      </c>
      <c r="F3322" t="s">
        <v>5031</v>
      </c>
      <c r="G3322">
        <v>60</v>
      </c>
      <c r="H3322" t="s">
        <v>5035</v>
      </c>
      <c r="I3322" s="2">
        <v>5000</v>
      </c>
    </row>
    <row r="3323" spans="1:9" x14ac:dyDescent="0.3">
      <c r="A3323" s="5">
        <v>7333</v>
      </c>
      <c r="B3323" s="5" t="s">
        <v>5036</v>
      </c>
      <c r="C3323" s="5">
        <v>13</v>
      </c>
      <c r="D3323" s="5" t="s">
        <v>27</v>
      </c>
      <c r="E3323" t="s">
        <v>5037</v>
      </c>
      <c r="F3323" t="s">
        <v>5038</v>
      </c>
      <c r="G3323">
        <v>9</v>
      </c>
      <c r="H3323" t="s">
        <v>5039</v>
      </c>
      <c r="I3323" s="2">
        <v>15000</v>
      </c>
    </row>
    <row r="3324" spans="1:9" x14ac:dyDescent="0.3">
      <c r="A3324" s="5">
        <v>7333</v>
      </c>
      <c r="B3324" s="5" t="s">
        <v>5036</v>
      </c>
      <c r="C3324" s="5">
        <v>13</v>
      </c>
      <c r="D3324" s="5" t="s">
        <v>27</v>
      </c>
      <c r="E3324" t="s">
        <v>5037</v>
      </c>
      <c r="F3324" t="s">
        <v>5038</v>
      </c>
      <c r="G3324">
        <v>9</v>
      </c>
      <c r="H3324" t="s">
        <v>5040</v>
      </c>
      <c r="I3324" s="2">
        <v>250</v>
      </c>
    </row>
    <row r="3325" spans="1:9" x14ac:dyDescent="0.3">
      <c r="A3325" s="5">
        <v>7332</v>
      </c>
      <c r="B3325" s="5" t="s">
        <v>5041</v>
      </c>
      <c r="C3325" s="5">
        <v>7</v>
      </c>
      <c r="D3325" s="5" t="s">
        <v>360</v>
      </c>
      <c r="E3325" t="s">
        <v>5042</v>
      </c>
      <c r="F3325" t="s">
        <v>5043</v>
      </c>
      <c r="G3325">
        <v>56</v>
      </c>
      <c r="H3325" t="s">
        <v>364</v>
      </c>
      <c r="I3325" s="2">
        <v>3500</v>
      </c>
    </row>
    <row r="3326" spans="1:9" x14ac:dyDescent="0.3">
      <c r="A3326" s="5">
        <v>7332</v>
      </c>
      <c r="B3326" s="5" t="s">
        <v>5041</v>
      </c>
      <c r="C3326" s="5">
        <v>7</v>
      </c>
      <c r="D3326" s="5" t="s">
        <v>360</v>
      </c>
      <c r="E3326" t="s">
        <v>5042</v>
      </c>
      <c r="F3326" t="s">
        <v>5043</v>
      </c>
      <c r="G3326">
        <v>56</v>
      </c>
      <c r="H3326" t="s">
        <v>363</v>
      </c>
      <c r="I3326" s="2">
        <v>7000</v>
      </c>
    </row>
    <row r="3327" spans="1:9" x14ac:dyDescent="0.3">
      <c r="A3327" s="5">
        <v>7309</v>
      </c>
      <c r="B3327" s="5" t="s">
        <v>5044</v>
      </c>
      <c r="C3327" s="5">
        <v>5</v>
      </c>
      <c r="D3327" s="5" t="s">
        <v>63</v>
      </c>
      <c r="E3327" t="s">
        <v>5045</v>
      </c>
      <c r="F3327" t="s">
        <v>5046</v>
      </c>
      <c r="G3327">
        <v>5</v>
      </c>
      <c r="H3327" t="s">
        <v>67</v>
      </c>
      <c r="I3327" s="2">
        <v>10000</v>
      </c>
    </row>
    <row r="3328" spans="1:9" x14ac:dyDescent="0.3">
      <c r="A3328" s="5">
        <v>7309</v>
      </c>
      <c r="B3328" s="5" t="s">
        <v>5044</v>
      </c>
      <c r="C3328" s="5">
        <v>5</v>
      </c>
      <c r="D3328" s="5" t="s">
        <v>63</v>
      </c>
      <c r="E3328" t="s">
        <v>5045</v>
      </c>
      <c r="F3328" t="s">
        <v>5046</v>
      </c>
      <c r="G3328">
        <v>5</v>
      </c>
      <c r="H3328" t="s">
        <v>88</v>
      </c>
      <c r="I3328" s="2">
        <v>30000</v>
      </c>
    </row>
    <row r="3329" spans="1:9" x14ac:dyDescent="0.3">
      <c r="A3329" s="5">
        <v>7299</v>
      </c>
      <c r="B3329" s="5" t="s">
        <v>5047</v>
      </c>
      <c r="C3329" s="5">
        <v>1</v>
      </c>
      <c r="D3329" s="5" t="s">
        <v>10</v>
      </c>
      <c r="E3329" t="s">
        <v>5048</v>
      </c>
      <c r="F3329" t="s">
        <v>5049</v>
      </c>
      <c r="G3329">
        <v>56</v>
      </c>
      <c r="H3329" t="s">
        <v>126</v>
      </c>
      <c r="I3329" s="2">
        <v>5000</v>
      </c>
    </row>
    <row r="3330" spans="1:9" x14ac:dyDescent="0.3">
      <c r="A3330" s="5">
        <v>7299</v>
      </c>
      <c r="B3330" s="5" t="s">
        <v>5047</v>
      </c>
      <c r="C3330" s="5">
        <v>1</v>
      </c>
      <c r="D3330" s="5" t="s">
        <v>10</v>
      </c>
      <c r="E3330" t="s">
        <v>5048</v>
      </c>
      <c r="F3330" t="s">
        <v>5049</v>
      </c>
      <c r="G3330">
        <v>56</v>
      </c>
      <c r="H3330" t="s">
        <v>139</v>
      </c>
      <c r="I3330" s="2">
        <v>5000</v>
      </c>
    </row>
    <row r="3331" spans="1:9" x14ac:dyDescent="0.3">
      <c r="A3331" s="5">
        <v>7287</v>
      </c>
      <c r="B3331" s="5" t="s">
        <v>5050</v>
      </c>
      <c r="C3331" s="5">
        <v>13</v>
      </c>
      <c r="D3331" s="5" t="s">
        <v>27</v>
      </c>
      <c r="E3331" t="s">
        <v>5051</v>
      </c>
      <c r="F3331" t="s">
        <v>5052</v>
      </c>
      <c r="G3331">
        <v>6</v>
      </c>
      <c r="H3331" t="s">
        <v>1665</v>
      </c>
      <c r="I3331" s="2">
        <v>220</v>
      </c>
    </row>
    <row r="3332" spans="1:9" x14ac:dyDescent="0.3">
      <c r="A3332" s="5">
        <v>7287</v>
      </c>
      <c r="B3332" s="5" t="s">
        <v>5050</v>
      </c>
      <c r="C3332" s="5">
        <v>13</v>
      </c>
      <c r="D3332" s="5" t="s">
        <v>27</v>
      </c>
      <c r="E3332" t="s">
        <v>5051</v>
      </c>
      <c r="F3332" t="s">
        <v>5052</v>
      </c>
      <c r="G3332">
        <v>6</v>
      </c>
      <c r="H3332" t="s">
        <v>5053</v>
      </c>
      <c r="I3332" s="2">
        <v>9000</v>
      </c>
    </row>
    <row r="3333" spans="1:9" x14ac:dyDescent="0.3">
      <c r="A3333" s="5">
        <v>7252</v>
      </c>
      <c r="B3333" s="5" t="s">
        <v>5054</v>
      </c>
      <c r="C3333" s="5">
        <v>5</v>
      </c>
      <c r="D3333" s="5" t="s">
        <v>63</v>
      </c>
      <c r="E3333" t="s">
        <v>5055</v>
      </c>
      <c r="F3333" t="s">
        <v>5056</v>
      </c>
      <c r="G3333">
        <v>6</v>
      </c>
      <c r="H3333" t="s">
        <v>88</v>
      </c>
      <c r="I3333" s="2">
        <v>35000</v>
      </c>
    </row>
    <row r="3334" spans="1:9" x14ac:dyDescent="0.3">
      <c r="A3334" s="5">
        <v>7252</v>
      </c>
      <c r="B3334" s="5" t="s">
        <v>5054</v>
      </c>
      <c r="C3334" s="5">
        <v>5</v>
      </c>
      <c r="D3334" s="5" t="s">
        <v>63</v>
      </c>
      <c r="E3334" t="s">
        <v>5055</v>
      </c>
      <c r="F3334" t="s">
        <v>5056</v>
      </c>
      <c r="G3334">
        <v>6</v>
      </c>
      <c r="H3334" t="s">
        <v>67</v>
      </c>
      <c r="I3334" s="2">
        <v>11000</v>
      </c>
    </row>
    <row r="3335" spans="1:9" x14ac:dyDescent="0.3">
      <c r="A3335" s="5">
        <v>7204</v>
      </c>
      <c r="B3335" s="5" t="s">
        <v>5057</v>
      </c>
      <c r="C3335" s="5">
        <v>7</v>
      </c>
      <c r="D3335" s="5" t="s">
        <v>360</v>
      </c>
      <c r="E3335" t="s">
        <v>5058</v>
      </c>
      <c r="F3335" t="s">
        <v>5059</v>
      </c>
      <c r="G3335">
        <v>65</v>
      </c>
      <c r="H3335" t="s">
        <v>5060</v>
      </c>
      <c r="I3335" s="2">
        <v>5000</v>
      </c>
    </row>
    <row r="3336" spans="1:9" x14ac:dyDescent="0.3">
      <c r="A3336" s="5">
        <v>7204</v>
      </c>
      <c r="B3336" s="5" t="s">
        <v>5057</v>
      </c>
      <c r="C3336" s="5">
        <v>7</v>
      </c>
      <c r="D3336" s="5" t="s">
        <v>360</v>
      </c>
      <c r="E3336" t="s">
        <v>5058</v>
      </c>
      <c r="F3336" t="s">
        <v>5059</v>
      </c>
      <c r="G3336">
        <v>65</v>
      </c>
      <c r="H3336" t="s">
        <v>5061</v>
      </c>
      <c r="I3336" s="2">
        <v>7000</v>
      </c>
    </row>
    <row r="3337" spans="1:9" x14ac:dyDescent="0.3">
      <c r="A3337" s="5">
        <v>7198</v>
      </c>
      <c r="B3337" s="5" t="s">
        <v>5062</v>
      </c>
      <c r="C3337" s="5">
        <v>5</v>
      </c>
      <c r="D3337" s="5" t="s">
        <v>63</v>
      </c>
      <c r="E3337" t="s">
        <v>5063</v>
      </c>
      <c r="F3337" t="s">
        <v>5064</v>
      </c>
      <c r="G3337">
        <v>8</v>
      </c>
      <c r="H3337" t="s">
        <v>117</v>
      </c>
      <c r="I3337" s="2">
        <v>5000</v>
      </c>
    </row>
    <row r="3338" spans="1:9" x14ac:dyDescent="0.3">
      <c r="A3338" s="5">
        <v>7147</v>
      </c>
      <c r="B3338" s="5" t="s">
        <v>5065</v>
      </c>
      <c r="C3338" s="5">
        <v>5</v>
      </c>
      <c r="D3338" s="5" t="s">
        <v>63</v>
      </c>
      <c r="E3338" t="s">
        <v>5066</v>
      </c>
      <c r="F3338" t="s">
        <v>5067</v>
      </c>
      <c r="G3338">
        <v>3</v>
      </c>
      <c r="H3338" t="s">
        <v>67</v>
      </c>
      <c r="I3338" s="2">
        <v>5000</v>
      </c>
    </row>
    <row r="3339" spans="1:9" x14ac:dyDescent="0.3">
      <c r="A3339" s="5">
        <v>7147</v>
      </c>
      <c r="B3339" s="5" t="s">
        <v>5065</v>
      </c>
      <c r="C3339" s="5">
        <v>5</v>
      </c>
      <c r="D3339" s="5" t="s">
        <v>63</v>
      </c>
      <c r="E3339" t="s">
        <v>5066</v>
      </c>
      <c r="F3339" t="s">
        <v>5067</v>
      </c>
      <c r="G3339">
        <v>3</v>
      </c>
      <c r="H3339" t="s">
        <v>88</v>
      </c>
      <c r="I3339" s="2">
        <v>15000</v>
      </c>
    </row>
    <row r="3340" spans="1:9" x14ac:dyDescent="0.3">
      <c r="A3340" s="5">
        <v>7142</v>
      </c>
      <c r="B3340" s="5" t="s">
        <v>5068</v>
      </c>
      <c r="C3340" s="5">
        <v>2</v>
      </c>
      <c r="D3340" s="5" t="s">
        <v>261</v>
      </c>
      <c r="E3340" t="s">
        <v>5069</v>
      </c>
      <c r="F3340" t="s">
        <v>5070</v>
      </c>
      <c r="G3340">
        <v>60</v>
      </c>
      <c r="H3340" t="s">
        <v>5071</v>
      </c>
      <c r="I3340" s="2">
        <v>13000</v>
      </c>
    </row>
    <row r="3341" spans="1:9" x14ac:dyDescent="0.3">
      <c r="A3341" s="5">
        <v>7142</v>
      </c>
      <c r="B3341" s="5" t="s">
        <v>5068</v>
      </c>
      <c r="C3341" s="5">
        <v>2</v>
      </c>
      <c r="D3341" s="5" t="s">
        <v>261</v>
      </c>
      <c r="E3341" t="s">
        <v>5069</v>
      </c>
      <c r="F3341" t="s">
        <v>5070</v>
      </c>
      <c r="G3341">
        <v>60</v>
      </c>
      <c r="H3341" t="s">
        <v>5072</v>
      </c>
      <c r="I3341" s="2">
        <v>11000</v>
      </c>
    </row>
    <row r="3342" spans="1:9" x14ac:dyDescent="0.3">
      <c r="A3342" s="5">
        <v>7142</v>
      </c>
      <c r="B3342" s="5" t="s">
        <v>5068</v>
      </c>
      <c r="C3342" s="5">
        <v>2</v>
      </c>
      <c r="D3342" s="5" t="s">
        <v>261</v>
      </c>
      <c r="E3342" t="s">
        <v>5069</v>
      </c>
      <c r="F3342" t="s">
        <v>5070</v>
      </c>
      <c r="G3342">
        <v>60</v>
      </c>
      <c r="H3342" t="s">
        <v>5073</v>
      </c>
      <c r="I3342" s="2">
        <v>15000</v>
      </c>
    </row>
    <row r="3343" spans="1:9" x14ac:dyDescent="0.3">
      <c r="A3343" s="5">
        <v>7142</v>
      </c>
      <c r="B3343" s="5" t="s">
        <v>5068</v>
      </c>
      <c r="C3343" s="5">
        <v>2</v>
      </c>
      <c r="D3343" s="5" t="s">
        <v>261</v>
      </c>
      <c r="E3343" t="s">
        <v>5069</v>
      </c>
      <c r="F3343" t="s">
        <v>5070</v>
      </c>
      <c r="G3343">
        <v>60</v>
      </c>
      <c r="H3343" t="s">
        <v>5074</v>
      </c>
      <c r="I3343" s="2">
        <v>11000</v>
      </c>
    </row>
    <row r="3344" spans="1:9" x14ac:dyDescent="0.3">
      <c r="A3344" s="5">
        <v>7142</v>
      </c>
      <c r="B3344" s="5" t="s">
        <v>5068</v>
      </c>
      <c r="C3344" s="5">
        <v>2</v>
      </c>
      <c r="D3344" s="5" t="s">
        <v>261</v>
      </c>
      <c r="E3344" t="s">
        <v>5069</v>
      </c>
      <c r="F3344" t="s">
        <v>5070</v>
      </c>
      <c r="G3344">
        <v>60</v>
      </c>
      <c r="H3344" t="s">
        <v>5075</v>
      </c>
      <c r="I3344" s="2">
        <v>14000</v>
      </c>
    </row>
    <row r="3345" spans="1:9" x14ac:dyDescent="0.3">
      <c r="A3345" s="5">
        <v>7117</v>
      </c>
      <c r="B3345" s="5" t="s">
        <v>5076</v>
      </c>
      <c r="C3345" s="5">
        <v>13</v>
      </c>
      <c r="D3345" s="5" t="s">
        <v>27</v>
      </c>
      <c r="E3345" t="s">
        <v>5077</v>
      </c>
      <c r="F3345" t="s">
        <v>5078</v>
      </c>
      <c r="G3345">
        <v>8</v>
      </c>
      <c r="H3345" t="s">
        <v>1183</v>
      </c>
      <c r="I3345" s="2">
        <v>7000</v>
      </c>
    </row>
    <row r="3346" spans="1:9" x14ac:dyDescent="0.3">
      <c r="A3346" s="5">
        <v>7101</v>
      </c>
      <c r="B3346" s="5" t="s">
        <v>5079</v>
      </c>
      <c r="C3346" s="5">
        <v>13</v>
      </c>
      <c r="D3346" s="5" t="s">
        <v>27</v>
      </c>
      <c r="E3346" t="s">
        <v>5080</v>
      </c>
      <c r="F3346" t="s">
        <v>5081</v>
      </c>
      <c r="G3346">
        <v>9</v>
      </c>
      <c r="H3346" t="s">
        <v>5082</v>
      </c>
      <c r="I3346" s="2">
        <v>10000</v>
      </c>
    </row>
    <row r="3347" spans="1:9" x14ac:dyDescent="0.3">
      <c r="A3347" s="5">
        <v>7058</v>
      </c>
      <c r="B3347" s="5" t="s">
        <v>5083</v>
      </c>
      <c r="C3347" s="5">
        <v>1</v>
      </c>
      <c r="D3347" s="5" t="s">
        <v>10</v>
      </c>
      <c r="E3347" t="s">
        <v>5084</v>
      </c>
      <c r="F3347" t="s">
        <v>5085</v>
      </c>
      <c r="G3347">
        <v>5</v>
      </c>
      <c r="H3347" t="s">
        <v>1847</v>
      </c>
      <c r="I3347" s="2">
        <v>5000</v>
      </c>
    </row>
    <row r="3348" spans="1:9" x14ac:dyDescent="0.3">
      <c r="A3348" s="5">
        <v>7058</v>
      </c>
      <c r="B3348" s="5" t="s">
        <v>5083</v>
      </c>
      <c r="C3348" s="5">
        <v>1</v>
      </c>
      <c r="D3348" s="5" t="s">
        <v>10</v>
      </c>
      <c r="E3348" t="s">
        <v>5084</v>
      </c>
      <c r="F3348" t="s">
        <v>5085</v>
      </c>
      <c r="G3348">
        <v>5</v>
      </c>
      <c r="H3348" t="s">
        <v>1848</v>
      </c>
      <c r="I3348" s="2">
        <v>6000</v>
      </c>
    </row>
    <row r="3349" spans="1:9" x14ac:dyDescent="0.3">
      <c r="A3349" s="5">
        <v>7058</v>
      </c>
      <c r="B3349" s="5" t="s">
        <v>5083</v>
      </c>
      <c r="C3349" s="5">
        <v>1</v>
      </c>
      <c r="D3349" s="5" t="s">
        <v>10</v>
      </c>
      <c r="E3349" t="s">
        <v>5084</v>
      </c>
      <c r="F3349" t="s">
        <v>5085</v>
      </c>
      <c r="G3349">
        <v>5</v>
      </c>
      <c r="H3349" t="s">
        <v>5086</v>
      </c>
      <c r="I3349" s="2">
        <v>6000</v>
      </c>
    </row>
    <row r="3350" spans="1:9" x14ac:dyDescent="0.3">
      <c r="A3350" s="5">
        <v>7051</v>
      </c>
      <c r="B3350" s="5" t="s">
        <v>2924</v>
      </c>
      <c r="C3350" s="5">
        <v>5</v>
      </c>
      <c r="D3350" s="5" t="s">
        <v>63</v>
      </c>
      <c r="E3350" t="s">
        <v>5087</v>
      </c>
      <c r="F3350" t="s">
        <v>5088</v>
      </c>
      <c r="G3350">
        <v>5</v>
      </c>
      <c r="H3350" t="s">
        <v>1720</v>
      </c>
      <c r="I3350" s="2">
        <v>5000</v>
      </c>
    </row>
    <row r="3351" spans="1:9" x14ac:dyDescent="0.3">
      <c r="A3351" s="5">
        <v>7051</v>
      </c>
      <c r="B3351" s="5" t="s">
        <v>2924</v>
      </c>
      <c r="C3351" s="5">
        <v>5</v>
      </c>
      <c r="D3351" s="5" t="s">
        <v>63</v>
      </c>
      <c r="E3351" t="s">
        <v>5087</v>
      </c>
      <c r="F3351" t="s">
        <v>5088</v>
      </c>
      <c r="G3351">
        <v>5</v>
      </c>
      <c r="H3351" t="s">
        <v>67</v>
      </c>
      <c r="I3351" s="2">
        <v>7000</v>
      </c>
    </row>
    <row r="3352" spans="1:9" x14ac:dyDescent="0.3">
      <c r="A3352" s="5">
        <v>7051</v>
      </c>
      <c r="B3352" s="5" t="s">
        <v>2924</v>
      </c>
      <c r="C3352" s="5">
        <v>5</v>
      </c>
      <c r="D3352" s="5" t="s">
        <v>63</v>
      </c>
      <c r="E3352" t="s">
        <v>5087</v>
      </c>
      <c r="F3352" t="s">
        <v>5088</v>
      </c>
      <c r="G3352">
        <v>5</v>
      </c>
      <c r="H3352" t="s">
        <v>5089</v>
      </c>
      <c r="I3352" s="2">
        <v>6000</v>
      </c>
    </row>
    <row r="3353" spans="1:9" x14ac:dyDescent="0.3">
      <c r="A3353" s="5">
        <v>7029</v>
      </c>
      <c r="B3353" s="5" t="s">
        <v>5090</v>
      </c>
      <c r="C3353" s="5">
        <v>7</v>
      </c>
      <c r="D3353" s="5" t="s">
        <v>360</v>
      </c>
      <c r="E3353" t="s">
        <v>5091</v>
      </c>
      <c r="F3353" t="s">
        <v>5092</v>
      </c>
      <c r="G3353">
        <v>56</v>
      </c>
      <c r="H3353" t="s">
        <v>364</v>
      </c>
      <c r="I3353" s="2">
        <v>1500</v>
      </c>
    </row>
    <row r="3354" spans="1:9" x14ac:dyDescent="0.3">
      <c r="A3354" s="5">
        <v>7029</v>
      </c>
      <c r="B3354" s="5" t="s">
        <v>5090</v>
      </c>
      <c r="C3354" s="5">
        <v>7</v>
      </c>
      <c r="D3354" s="5" t="s">
        <v>360</v>
      </c>
      <c r="E3354" t="s">
        <v>5091</v>
      </c>
      <c r="F3354" t="s">
        <v>5092</v>
      </c>
      <c r="G3354">
        <v>56</v>
      </c>
      <c r="H3354" t="s">
        <v>5093</v>
      </c>
      <c r="I3354" s="2">
        <v>3000</v>
      </c>
    </row>
    <row r="3355" spans="1:9" x14ac:dyDescent="0.3">
      <c r="A3355" s="5">
        <v>7029</v>
      </c>
      <c r="B3355" s="5" t="s">
        <v>5090</v>
      </c>
      <c r="C3355" s="5">
        <v>7</v>
      </c>
      <c r="D3355" s="5" t="s">
        <v>360</v>
      </c>
      <c r="E3355" t="s">
        <v>5091</v>
      </c>
      <c r="F3355" t="s">
        <v>5092</v>
      </c>
      <c r="G3355">
        <v>56</v>
      </c>
      <c r="H3355" t="s">
        <v>5094</v>
      </c>
      <c r="I3355" s="2">
        <v>6000</v>
      </c>
    </row>
    <row r="3356" spans="1:9" x14ac:dyDescent="0.3">
      <c r="A3356" s="5">
        <v>6978</v>
      </c>
      <c r="B3356" s="5" t="s">
        <v>5095</v>
      </c>
      <c r="C3356" s="5">
        <v>5</v>
      </c>
      <c r="D3356" s="5" t="s">
        <v>63</v>
      </c>
      <c r="E3356" t="s">
        <v>5096</v>
      </c>
      <c r="F3356" t="s">
        <v>5097</v>
      </c>
      <c r="G3356">
        <v>58</v>
      </c>
      <c r="H3356" t="s">
        <v>1104</v>
      </c>
      <c r="I3356" s="2">
        <v>50000</v>
      </c>
    </row>
    <row r="3357" spans="1:9" x14ac:dyDescent="0.3">
      <c r="A3357" s="5">
        <v>6978</v>
      </c>
      <c r="B3357" s="5" t="s">
        <v>5095</v>
      </c>
      <c r="C3357" s="5">
        <v>5</v>
      </c>
      <c r="D3357" s="5" t="s">
        <v>63</v>
      </c>
      <c r="E3357" t="s">
        <v>5096</v>
      </c>
      <c r="F3357" t="s">
        <v>5097</v>
      </c>
      <c r="G3357">
        <v>58</v>
      </c>
      <c r="H3357" t="s">
        <v>1105</v>
      </c>
      <c r="I3357" s="2">
        <v>15000</v>
      </c>
    </row>
    <row r="3358" spans="1:9" x14ac:dyDescent="0.3">
      <c r="A3358" s="5">
        <v>6871</v>
      </c>
      <c r="B3358" s="5" t="s">
        <v>5098</v>
      </c>
      <c r="C3358" s="5">
        <v>2</v>
      </c>
      <c r="D3358" s="5" t="s">
        <v>261</v>
      </c>
      <c r="E3358" t="s">
        <v>5099</v>
      </c>
      <c r="F3358" t="s">
        <v>5100</v>
      </c>
      <c r="G3358">
        <v>62</v>
      </c>
      <c r="H3358" t="s">
        <v>265</v>
      </c>
      <c r="I3358" s="2">
        <v>4000</v>
      </c>
    </row>
    <row r="3359" spans="1:9" x14ac:dyDescent="0.3">
      <c r="A3359" s="5">
        <v>6871</v>
      </c>
      <c r="B3359" s="5" t="s">
        <v>5098</v>
      </c>
      <c r="C3359" s="5">
        <v>2</v>
      </c>
      <c r="D3359" s="5" t="s">
        <v>261</v>
      </c>
      <c r="E3359" t="s">
        <v>5099</v>
      </c>
      <c r="F3359" t="s">
        <v>5100</v>
      </c>
      <c r="G3359">
        <v>62</v>
      </c>
      <c r="H3359" t="s">
        <v>642</v>
      </c>
      <c r="I3359" s="2">
        <v>3000</v>
      </c>
    </row>
    <row r="3360" spans="1:9" x14ac:dyDescent="0.3">
      <c r="A3360" s="5">
        <v>6856</v>
      </c>
      <c r="B3360" s="5" t="s">
        <v>5101</v>
      </c>
      <c r="C3360" s="5">
        <v>1</v>
      </c>
      <c r="D3360" s="5" t="s">
        <v>10</v>
      </c>
      <c r="E3360" t="s">
        <v>5102</v>
      </c>
      <c r="F3360" t="s">
        <v>5103</v>
      </c>
      <c r="G3360">
        <v>60</v>
      </c>
      <c r="H3360" t="s">
        <v>126</v>
      </c>
      <c r="I3360" s="2">
        <v>7000</v>
      </c>
    </row>
    <row r="3361" spans="1:9" x14ac:dyDescent="0.3">
      <c r="A3361" s="5">
        <v>6856</v>
      </c>
      <c r="B3361" s="5" t="s">
        <v>5101</v>
      </c>
      <c r="C3361" s="5">
        <v>1</v>
      </c>
      <c r="D3361" s="5" t="s">
        <v>10</v>
      </c>
      <c r="E3361" t="s">
        <v>5102</v>
      </c>
      <c r="F3361" t="s">
        <v>5103</v>
      </c>
      <c r="G3361">
        <v>60</v>
      </c>
      <c r="H3361" t="s">
        <v>1359</v>
      </c>
      <c r="I3361" s="2">
        <v>7000</v>
      </c>
    </row>
    <row r="3362" spans="1:9" x14ac:dyDescent="0.3">
      <c r="A3362" s="5">
        <v>6856</v>
      </c>
      <c r="B3362" s="5" t="s">
        <v>5101</v>
      </c>
      <c r="C3362" s="5">
        <v>1</v>
      </c>
      <c r="D3362" s="5" t="s">
        <v>10</v>
      </c>
      <c r="E3362" t="s">
        <v>5102</v>
      </c>
      <c r="F3362" t="s">
        <v>5103</v>
      </c>
      <c r="G3362">
        <v>60</v>
      </c>
      <c r="H3362" t="s">
        <v>879</v>
      </c>
      <c r="I3362" s="2">
        <v>7000</v>
      </c>
    </row>
    <row r="3363" spans="1:9" x14ac:dyDescent="0.3">
      <c r="A3363" s="5">
        <v>6834</v>
      </c>
      <c r="B3363" s="5" t="s">
        <v>5104</v>
      </c>
      <c r="C3363" s="5">
        <v>7</v>
      </c>
      <c r="D3363" s="5" t="s">
        <v>360</v>
      </c>
      <c r="E3363" t="s">
        <v>5105</v>
      </c>
      <c r="F3363" t="s">
        <v>5106</v>
      </c>
      <c r="G3363">
        <v>6</v>
      </c>
      <c r="H3363" t="s">
        <v>4528</v>
      </c>
      <c r="I3363" s="2">
        <v>4000</v>
      </c>
    </row>
    <row r="3364" spans="1:9" x14ac:dyDescent="0.3">
      <c r="A3364" s="5">
        <v>6834</v>
      </c>
      <c r="B3364" s="5" t="s">
        <v>5104</v>
      </c>
      <c r="C3364" s="5">
        <v>7</v>
      </c>
      <c r="D3364" s="5" t="s">
        <v>360</v>
      </c>
      <c r="E3364" t="s">
        <v>5105</v>
      </c>
      <c r="F3364" t="s">
        <v>5106</v>
      </c>
      <c r="G3364">
        <v>6</v>
      </c>
      <c r="H3364" t="s">
        <v>363</v>
      </c>
      <c r="I3364" s="2">
        <v>7000</v>
      </c>
    </row>
    <row r="3365" spans="1:9" x14ac:dyDescent="0.3">
      <c r="A3365" s="5">
        <v>6779</v>
      </c>
      <c r="B3365" s="5" t="s">
        <v>5107</v>
      </c>
      <c r="C3365" s="5">
        <v>7</v>
      </c>
      <c r="D3365" s="5" t="s">
        <v>360</v>
      </c>
      <c r="E3365" t="s">
        <v>5108</v>
      </c>
      <c r="F3365" t="s">
        <v>5109</v>
      </c>
      <c r="G3365">
        <v>63</v>
      </c>
      <c r="H3365" t="s">
        <v>5061</v>
      </c>
      <c r="I3365" s="2">
        <v>7000</v>
      </c>
    </row>
    <row r="3366" spans="1:9" x14ac:dyDescent="0.3">
      <c r="A3366" s="5">
        <v>6779</v>
      </c>
      <c r="B3366" s="5" t="s">
        <v>5107</v>
      </c>
      <c r="C3366" s="5">
        <v>7</v>
      </c>
      <c r="D3366" s="5" t="s">
        <v>360</v>
      </c>
      <c r="E3366" t="s">
        <v>5108</v>
      </c>
      <c r="F3366" t="s">
        <v>5109</v>
      </c>
      <c r="G3366">
        <v>63</v>
      </c>
      <c r="H3366" t="s">
        <v>5060</v>
      </c>
      <c r="I3366" s="2">
        <v>3000</v>
      </c>
    </row>
    <row r="3367" spans="1:9" x14ac:dyDescent="0.3">
      <c r="A3367" s="5">
        <v>6778</v>
      </c>
      <c r="B3367" s="5" t="s">
        <v>5110</v>
      </c>
      <c r="C3367" s="5">
        <v>1</v>
      </c>
      <c r="D3367" s="5" t="s">
        <v>10</v>
      </c>
      <c r="E3367" t="s">
        <v>5111</v>
      </c>
      <c r="F3367" t="s">
        <v>5112</v>
      </c>
      <c r="G3367">
        <v>64</v>
      </c>
      <c r="H3367" t="s">
        <v>217</v>
      </c>
      <c r="I3367" s="2">
        <v>8000</v>
      </c>
    </row>
    <row r="3368" spans="1:9" x14ac:dyDescent="0.3">
      <c r="A3368" s="5">
        <v>6778</v>
      </c>
      <c r="B3368" s="5" t="s">
        <v>5110</v>
      </c>
      <c r="C3368" s="5">
        <v>1</v>
      </c>
      <c r="D3368" s="5" t="s">
        <v>10</v>
      </c>
      <c r="E3368" t="s">
        <v>5111</v>
      </c>
      <c r="F3368" t="s">
        <v>5112</v>
      </c>
      <c r="G3368">
        <v>64</v>
      </c>
      <c r="H3368" t="s">
        <v>229</v>
      </c>
      <c r="I3368" s="2">
        <v>5000</v>
      </c>
    </row>
    <row r="3369" spans="1:9" x14ac:dyDescent="0.3">
      <c r="A3369" s="5">
        <v>6778</v>
      </c>
      <c r="B3369" s="5" t="s">
        <v>5110</v>
      </c>
      <c r="C3369" s="5">
        <v>1</v>
      </c>
      <c r="D3369" s="5" t="s">
        <v>10</v>
      </c>
      <c r="E3369" t="s">
        <v>5111</v>
      </c>
      <c r="F3369" t="s">
        <v>5112</v>
      </c>
      <c r="G3369">
        <v>64</v>
      </c>
      <c r="H3369" t="s">
        <v>126</v>
      </c>
      <c r="I3369" s="2">
        <v>7000</v>
      </c>
    </row>
    <row r="3370" spans="1:9" x14ac:dyDescent="0.3">
      <c r="A3370" s="5">
        <v>6778</v>
      </c>
      <c r="B3370" s="5" t="s">
        <v>5110</v>
      </c>
      <c r="C3370" s="5">
        <v>1</v>
      </c>
      <c r="D3370" s="5" t="s">
        <v>10</v>
      </c>
      <c r="E3370" t="s">
        <v>5111</v>
      </c>
      <c r="F3370" t="s">
        <v>5112</v>
      </c>
      <c r="G3370">
        <v>64</v>
      </c>
      <c r="H3370" t="s">
        <v>126</v>
      </c>
      <c r="I3370" s="2">
        <v>7000</v>
      </c>
    </row>
    <row r="3371" spans="1:9" x14ac:dyDescent="0.3">
      <c r="A3371" s="5">
        <v>6764</v>
      </c>
      <c r="B3371" s="5" t="s">
        <v>5113</v>
      </c>
      <c r="C3371" s="5">
        <v>1</v>
      </c>
      <c r="D3371" s="5" t="s">
        <v>10</v>
      </c>
      <c r="E3371" t="s">
        <v>5114</v>
      </c>
      <c r="F3371" t="s">
        <v>1169</v>
      </c>
      <c r="G3371">
        <v>214</v>
      </c>
      <c r="H3371" t="s">
        <v>5115</v>
      </c>
      <c r="I3371" s="2">
        <v>12000</v>
      </c>
    </row>
    <row r="3372" spans="1:9" x14ac:dyDescent="0.3">
      <c r="A3372" s="5">
        <v>6764</v>
      </c>
      <c r="B3372" s="5" t="s">
        <v>5113</v>
      </c>
      <c r="C3372" s="5">
        <v>1</v>
      </c>
      <c r="D3372" s="5" t="s">
        <v>10</v>
      </c>
      <c r="E3372" t="s">
        <v>5114</v>
      </c>
      <c r="F3372" t="s">
        <v>1169</v>
      </c>
      <c r="G3372">
        <v>214</v>
      </c>
      <c r="H3372" t="s">
        <v>2501</v>
      </c>
      <c r="I3372" s="2">
        <v>8000</v>
      </c>
    </row>
    <row r="3373" spans="1:9" x14ac:dyDescent="0.3">
      <c r="A3373" s="5">
        <v>6764</v>
      </c>
      <c r="B3373" s="5" t="s">
        <v>5113</v>
      </c>
      <c r="C3373" s="5">
        <v>1</v>
      </c>
      <c r="D3373" s="5" t="s">
        <v>10</v>
      </c>
      <c r="E3373" t="s">
        <v>5114</v>
      </c>
      <c r="F3373" t="s">
        <v>1169</v>
      </c>
      <c r="G3373">
        <v>214</v>
      </c>
      <c r="H3373" t="s">
        <v>2501</v>
      </c>
      <c r="I3373" s="2">
        <v>6000</v>
      </c>
    </row>
    <row r="3374" spans="1:9" x14ac:dyDescent="0.3">
      <c r="A3374" s="5">
        <v>6759</v>
      </c>
      <c r="B3374" s="5" t="s">
        <v>5116</v>
      </c>
      <c r="C3374" s="5">
        <v>1</v>
      </c>
      <c r="D3374" s="5" t="s">
        <v>10</v>
      </c>
      <c r="E3374" t="s">
        <v>5117</v>
      </c>
      <c r="F3374" t="s">
        <v>5118</v>
      </c>
      <c r="G3374">
        <v>41</v>
      </c>
      <c r="H3374" t="s">
        <v>1343</v>
      </c>
      <c r="I3374" s="2">
        <v>7000</v>
      </c>
    </row>
    <row r="3375" spans="1:9" x14ac:dyDescent="0.3">
      <c r="A3375" s="5">
        <v>6759</v>
      </c>
      <c r="B3375" s="5" t="s">
        <v>5116</v>
      </c>
      <c r="C3375" s="5">
        <v>1</v>
      </c>
      <c r="D3375" s="5" t="s">
        <v>10</v>
      </c>
      <c r="E3375" t="s">
        <v>5117</v>
      </c>
      <c r="F3375" t="s">
        <v>5118</v>
      </c>
      <c r="G3375">
        <v>41</v>
      </c>
      <c r="H3375" t="s">
        <v>21</v>
      </c>
      <c r="I3375" s="2">
        <v>7000</v>
      </c>
    </row>
    <row r="3376" spans="1:9" x14ac:dyDescent="0.3">
      <c r="A3376" s="5">
        <v>6739</v>
      </c>
      <c r="B3376" s="5" t="s">
        <v>5119</v>
      </c>
      <c r="C3376" s="5">
        <v>1</v>
      </c>
      <c r="D3376" s="5" t="s">
        <v>10</v>
      </c>
      <c r="E3376" t="s">
        <v>5120</v>
      </c>
      <c r="F3376" t="s">
        <v>5121</v>
      </c>
      <c r="G3376">
        <v>6</v>
      </c>
      <c r="H3376" t="s">
        <v>374</v>
      </c>
      <c r="I3376" s="2">
        <v>1000</v>
      </c>
    </row>
    <row r="3377" spans="1:9" x14ac:dyDescent="0.3">
      <c r="A3377" s="5">
        <v>6734</v>
      </c>
      <c r="B3377" s="5" t="s">
        <v>5122</v>
      </c>
      <c r="C3377" s="5">
        <v>1</v>
      </c>
      <c r="D3377" s="5" t="s">
        <v>10</v>
      </c>
      <c r="E3377" t="s">
        <v>5123</v>
      </c>
      <c r="F3377" t="s">
        <v>5124</v>
      </c>
      <c r="G3377">
        <v>5</v>
      </c>
      <c r="H3377" t="s">
        <v>4010</v>
      </c>
      <c r="I3377" s="2">
        <v>4500</v>
      </c>
    </row>
    <row r="3378" spans="1:9" x14ac:dyDescent="0.3">
      <c r="A3378" s="5">
        <v>6730</v>
      </c>
      <c r="B3378" s="5" t="s">
        <v>5125</v>
      </c>
      <c r="C3378" s="5">
        <v>5</v>
      </c>
      <c r="D3378" s="5" t="s">
        <v>63</v>
      </c>
      <c r="E3378" t="s">
        <v>5126</v>
      </c>
      <c r="F3378" t="s">
        <v>5127</v>
      </c>
      <c r="G3378">
        <v>6</v>
      </c>
      <c r="H3378" t="s">
        <v>67</v>
      </c>
      <c r="I3378" s="2">
        <v>5000</v>
      </c>
    </row>
    <row r="3379" spans="1:9" x14ac:dyDescent="0.3">
      <c r="A3379" s="5">
        <v>6714</v>
      </c>
      <c r="B3379" s="5" t="s">
        <v>5128</v>
      </c>
      <c r="C3379" s="5">
        <v>5</v>
      </c>
      <c r="D3379" s="5" t="s">
        <v>63</v>
      </c>
      <c r="E3379" t="s">
        <v>5129</v>
      </c>
      <c r="F3379" t="s">
        <v>5130</v>
      </c>
      <c r="G3379">
        <v>6</v>
      </c>
      <c r="H3379" t="s">
        <v>88</v>
      </c>
      <c r="I3379" s="2">
        <v>30000</v>
      </c>
    </row>
    <row r="3380" spans="1:9" x14ac:dyDescent="0.3">
      <c r="A3380" s="5">
        <v>6714</v>
      </c>
      <c r="B3380" s="5" t="s">
        <v>5128</v>
      </c>
      <c r="C3380" s="5">
        <v>5</v>
      </c>
      <c r="D3380" s="5" t="s">
        <v>63</v>
      </c>
      <c r="E3380" t="s">
        <v>5129</v>
      </c>
      <c r="F3380" t="s">
        <v>5130</v>
      </c>
      <c r="G3380">
        <v>6</v>
      </c>
      <c r="H3380" t="s">
        <v>67</v>
      </c>
      <c r="I3380" s="2">
        <v>10000</v>
      </c>
    </row>
    <row r="3381" spans="1:9" x14ac:dyDescent="0.3">
      <c r="A3381" s="5">
        <v>6712</v>
      </c>
      <c r="B3381" s="5" t="s">
        <v>5131</v>
      </c>
      <c r="C3381" s="5">
        <v>5</v>
      </c>
      <c r="D3381" s="5" t="s">
        <v>63</v>
      </c>
      <c r="E3381" t="s">
        <v>5132</v>
      </c>
      <c r="F3381" t="s">
        <v>5133</v>
      </c>
      <c r="G3381">
        <v>5</v>
      </c>
      <c r="H3381" t="s">
        <v>5134</v>
      </c>
      <c r="I3381" s="2">
        <v>6000</v>
      </c>
    </row>
    <row r="3382" spans="1:9" x14ac:dyDescent="0.3">
      <c r="A3382" s="5">
        <v>6712</v>
      </c>
      <c r="B3382" s="5" t="s">
        <v>5131</v>
      </c>
      <c r="C3382" s="5">
        <v>5</v>
      </c>
      <c r="D3382" s="5" t="s">
        <v>63</v>
      </c>
      <c r="E3382" t="s">
        <v>5132</v>
      </c>
      <c r="F3382" t="s">
        <v>5133</v>
      </c>
      <c r="G3382">
        <v>5</v>
      </c>
      <c r="H3382" t="s">
        <v>4914</v>
      </c>
      <c r="I3382" s="2">
        <v>6000</v>
      </c>
    </row>
    <row r="3383" spans="1:9" x14ac:dyDescent="0.3">
      <c r="A3383" s="5">
        <v>6712</v>
      </c>
      <c r="B3383" s="5" t="s">
        <v>5131</v>
      </c>
      <c r="C3383" s="5">
        <v>5</v>
      </c>
      <c r="D3383" s="5" t="s">
        <v>63</v>
      </c>
      <c r="E3383" t="s">
        <v>5132</v>
      </c>
      <c r="F3383" t="s">
        <v>5133</v>
      </c>
      <c r="G3383">
        <v>5</v>
      </c>
      <c r="H3383" t="s">
        <v>5135</v>
      </c>
      <c r="I3383" s="2">
        <v>11000</v>
      </c>
    </row>
    <row r="3384" spans="1:9" x14ac:dyDescent="0.3">
      <c r="A3384" s="5">
        <v>6688</v>
      </c>
      <c r="B3384" s="5" t="s">
        <v>2361</v>
      </c>
      <c r="C3384" s="5">
        <v>5</v>
      </c>
      <c r="D3384" s="5" t="s">
        <v>63</v>
      </c>
      <c r="E3384" t="s">
        <v>2362</v>
      </c>
      <c r="F3384" t="s">
        <v>5136</v>
      </c>
      <c r="G3384">
        <v>250</v>
      </c>
      <c r="H3384" t="s">
        <v>1104</v>
      </c>
      <c r="I3384" s="2">
        <v>15000</v>
      </c>
    </row>
    <row r="3385" spans="1:9" x14ac:dyDescent="0.3">
      <c r="A3385" s="5">
        <v>6684</v>
      </c>
      <c r="B3385" s="5" t="s">
        <v>5137</v>
      </c>
      <c r="C3385" s="5">
        <v>7</v>
      </c>
      <c r="D3385" s="5" t="s">
        <v>360</v>
      </c>
      <c r="E3385" t="s">
        <v>5138</v>
      </c>
      <c r="F3385" t="s">
        <v>5139</v>
      </c>
      <c r="G3385">
        <v>5</v>
      </c>
      <c r="H3385" t="s">
        <v>4996</v>
      </c>
      <c r="I3385" s="2">
        <v>3000</v>
      </c>
    </row>
    <row r="3386" spans="1:9" x14ac:dyDescent="0.3">
      <c r="A3386" s="5">
        <v>6684</v>
      </c>
      <c r="B3386" s="5" t="s">
        <v>5137</v>
      </c>
      <c r="C3386" s="5">
        <v>7</v>
      </c>
      <c r="D3386" s="5" t="s">
        <v>360</v>
      </c>
      <c r="E3386" t="s">
        <v>5138</v>
      </c>
      <c r="F3386" t="s">
        <v>5139</v>
      </c>
      <c r="G3386">
        <v>5</v>
      </c>
      <c r="H3386" t="s">
        <v>363</v>
      </c>
      <c r="I3386" s="2">
        <v>5000</v>
      </c>
    </row>
    <row r="3387" spans="1:9" x14ac:dyDescent="0.3">
      <c r="A3387" s="5">
        <v>6669</v>
      </c>
      <c r="B3387" s="5" t="s">
        <v>5140</v>
      </c>
      <c r="C3387" s="5">
        <v>13</v>
      </c>
      <c r="D3387" s="5" t="s">
        <v>27</v>
      </c>
      <c r="E3387" t="s">
        <v>5141</v>
      </c>
      <c r="F3387" t="s">
        <v>5142</v>
      </c>
      <c r="G3387">
        <v>61</v>
      </c>
      <c r="H3387" t="s">
        <v>2647</v>
      </c>
      <c r="I3387" s="2">
        <v>7000</v>
      </c>
    </row>
    <row r="3388" spans="1:9" x14ac:dyDescent="0.3">
      <c r="A3388" s="5">
        <v>6665</v>
      </c>
      <c r="B3388" s="5" t="s">
        <v>5143</v>
      </c>
      <c r="C3388" s="5">
        <v>1</v>
      </c>
      <c r="D3388" s="5" t="s">
        <v>10</v>
      </c>
      <c r="E3388" t="s">
        <v>5144</v>
      </c>
      <c r="F3388" t="s">
        <v>5145</v>
      </c>
      <c r="G3388">
        <v>9</v>
      </c>
      <c r="H3388" t="s">
        <v>139</v>
      </c>
      <c r="I3388" s="2">
        <v>6000</v>
      </c>
    </row>
    <row r="3389" spans="1:9" x14ac:dyDescent="0.3">
      <c r="A3389" s="5">
        <v>6665</v>
      </c>
      <c r="B3389" s="5" t="s">
        <v>5143</v>
      </c>
      <c r="C3389" s="5">
        <v>1</v>
      </c>
      <c r="D3389" s="5" t="s">
        <v>10</v>
      </c>
      <c r="E3389" t="s">
        <v>5144</v>
      </c>
      <c r="F3389" t="s">
        <v>5145</v>
      </c>
      <c r="G3389">
        <v>9</v>
      </c>
      <c r="H3389" t="s">
        <v>5146</v>
      </c>
      <c r="I3389" s="2">
        <v>8000</v>
      </c>
    </row>
    <row r="3390" spans="1:9" x14ac:dyDescent="0.3">
      <c r="A3390" s="5">
        <v>6529</v>
      </c>
      <c r="B3390" s="5" t="s">
        <v>5147</v>
      </c>
      <c r="C3390" s="5">
        <v>4</v>
      </c>
      <c r="D3390" s="5" t="s">
        <v>39</v>
      </c>
      <c r="E3390" t="s">
        <v>5148</v>
      </c>
      <c r="F3390" t="s">
        <v>5149</v>
      </c>
      <c r="G3390">
        <v>5</v>
      </c>
      <c r="H3390" t="s">
        <v>5150</v>
      </c>
      <c r="I3390" s="2">
        <v>2000</v>
      </c>
    </row>
    <row r="3391" spans="1:9" x14ac:dyDescent="0.3">
      <c r="A3391" s="5">
        <v>6529</v>
      </c>
      <c r="B3391" s="5" t="s">
        <v>5147</v>
      </c>
      <c r="C3391" s="5">
        <v>4</v>
      </c>
      <c r="D3391" s="5" t="s">
        <v>39</v>
      </c>
      <c r="E3391" t="s">
        <v>5148</v>
      </c>
      <c r="F3391" t="s">
        <v>5149</v>
      </c>
      <c r="G3391">
        <v>5</v>
      </c>
      <c r="H3391" t="s">
        <v>109</v>
      </c>
      <c r="I3391" s="2">
        <v>2000</v>
      </c>
    </row>
    <row r="3392" spans="1:9" x14ac:dyDescent="0.3">
      <c r="A3392" s="5">
        <v>6528</v>
      </c>
      <c r="B3392" s="5" t="s">
        <v>5151</v>
      </c>
      <c r="C3392" s="5">
        <v>5</v>
      </c>
      <c r="D3392" s="5" t="s">
        <v>63</v>
      </c>
      <c r="E3392" t="s">
        <v>5152</v>
      </c>
      <c r="F3392" t="s">
        <v>5153</v>
      </c>
      <c r="G3392">
        <v>6</v>
      </c>
      <c r="H3392" t="s">
        <v>88</v>
      </c>
      <c r="I3392" s="2">
        <v>20000</v>
      </c>
    </row>
    <row r="3393" spans="1:9" x14ac:dyDescent="0.3">
      <c r="A3393" s="5">
        <v>6528</v>
      </c>
      <c r="B3393" s="5" t="s">
        <v>5151</v>
      </c>
      <c r="C3393" s="5">
        <v>5</v>
      </c>
      <c r="D3393" s="5" t="s">
        <v>63</v>
      </c>
      <c r="E3393" t="s">
        <v>5152</v>
      </c>
      <c r="F3393" t="s">
        <v>5153</v>
      </c>
      <c r="G3393">
        <v>6</v>
      </c>
      <c r="H3393" t="s">
        <v>66</v>
      </c>
      <c r="I3393" s="2">
        <v>20000</v>
      </c>
    </row>
    <row r="3394" spans="1:9" x14ac:dyDescent="0.3">
      <c r="A3394" s="5">
        <v>6528</v>
      </c>
      <c r="B3394" s="5" t="s">
        <v>5151</v>
      </c>
      <c r="C3394" s="5">
        <v>5</v>
      </c>
      <c r="D3394" s="5" t="s">
        <v>63</v>
      </c>
      <c r="E3394" t="s">
        <v>5152</v>
      </c>
      <c r="F3394" t="s">
        <v>5153</v>
      </c>
      <c r="G3394">
        <v>6</v>
      </c>
      <c r="H3394" t="s">
        <v>67</v>
      </c>
      <c r="I3394" s="2">
        <v>5000</v>
      </c>
    </row>
    <row r="3395" spans="1:9" x14ac:dyDescent="0.3">
      <c r="A3395" s="5">
        <v>6424</v>
      </c>
      <c r="B3395" s="5" t="s">
        <v>5154</v>
      </c>
      <c r="C3395" s="5">
        <v>5</v>
      </c>
      <c r="D3395" s="5" t="s">
        <v>63</v>
      </c>
      <c r="E3395" t="s">
        <v>5155</v>
      </c>
      <c r="F3395" t="s">
        <v>5156</v>
      </c>
      <c r="G3395">
        <v>9</v>
      </c>
      <c r="H3395" t="s">
        <v>2126</v>
      </c>
      <c r="I3395" s="2">
        <v>25000</v>
      </c>
    </row>
    <row r="3396" spans="1:9" x14ac:dyDescent="0.3">
      <c r="A3396" s="5">
        <v>6424</v>
      </c>
      <c r="B3396" s="5" t="s">
        <v>5154</v>
      </c>
      <c r="C3396" s="5">
        <v>5</v>
      </c>
      <c r="D3396" s="5" t="s">
        <v>63</v>
      </c>
      <c r="E3396" t="s">
        <v>5155</v>
      </c>
      <c r="F3396" t="s">
        <v>5156</v>
      </c>
      <c r="G3396">
        <v>9</v>
      </c>
      <c r="H3396" t="s">
        <v>5157</v>
      </c>
      <c r="I3396" s="2">
        <v>7000</v>
      </c>
    </row>
    <row r="3397" spans="1:9" x14ac:dyDescent="0.3">
      <c r="A3397" s="5">
        <v>6412</v>
      </c>
      <c r="B3397" s="5" t="s">
        <v>5158</v>
      </c>
      <c r="C3397" s="5">
        <v>13</v>
      </c>
      <c r="D3397" s="5" t="s">
        <v>27</v>
      </c>
      <c r="E3397" t="s">
        <v>5159</v>
      </c>
      <c r="F3397" t="s">
        <v>5160</v>
      </c>
      <c r="G3397">
        <v>210</v>
      </c>
      <c r="H3397" t="s">
        <v>3077</v>
      </c>
      <c r="I3397" s="2">
        <v>7500</v>
      </c>
    </row>
    <row r="3398" spans="1:9" x14ac:dyDescent="0.3">
      <c r="A3398" s="5">
        <v>6408</v>
      </c>
      <c r="B3398" s="5" t="s">
        <v>5161</v>
      </c>
      <c r="C3398" s="5">
        <v>7</v>
      </c>
      <c r="D3398" s="5" t="s">
        <v>360</v>
      </c>
      <c r="E3398" t="s">
        <v>5162</v>
      </c>
      <c r="F3398" t="s">
        <v>5163</v>
      </c>
      <c r="G3398">
        <v>166</v>
      </c>
      <c r="H3398" t="s">
        <v>363</v>
      </c>
      <c r="I3398" s="2">
        <v>5000</v>
      </c>
    </row>
    <row r="3399" spans="1:9" x14ac:dyDescent="0.3">
      <c r="A3399" s="5">
        <v>6384</v>
      </c>
      <c r="B3399" s="5" t="s">
        <v>5101</v>
      </c>
      <c r="C3399" s="5">
        <v>1</v>
      </c>
      <c r="D3399" s="5" t="s">
        <v>10</v>
      </c>
      <c r="E3399" t="s">
        <v>5164</v>
      </c>
      <c r="F3399" t="s">
        <v>5165</v>
      </c>
      <c r="G3399">
        <v>63</v>
      </c>
      <c r="H3399" t="s">
        <v>229</v>
      </c>
      <c r="I3399" s="2">
        <v>5000</v>
      </c>
    </row>
    <row r="3400" spans="1:9" x14ac:dyDescent="0.3">
      <c r="A3400" s="5">
        <v>6384</v>
      </c>
      <c r="B3400" s="5" t="s">
        <v>5101</v>
      </c>
      <c r="C3400" s="5">
        <v>1</v>
      </c>
      <c r="D3400" s="5" t="s">
        <v>10</v>
      </c>
      <c r="E3400" t="s">
        <v>5164</v>
      </c>
      <c r="F3400" t="s">
        <v>5165</v>
      </c>
      <c r="G3400">
        <v>63</v>
      </c>
      <c r="H3400" t="s">
        <v>217</v>
      </c>
      <c r="I3400" s="2">
        <v>12000</v>
      </c>
    </row>
    <row r="3401" spans="1:9" x14ac:dyDescent="0.3">
      <c r="A3401" s="5">
        <v>6384</v>
      </c>
      <c r="B3401" s="5" t="s">
        <v>5101</v>
      </c>
      <c r="C3401" s="5">
        <v>1</v>
      </c>
      <c r="D3401" s="5" t="s">
        <v>10</v>
      </c>
      <c r="E3401" t="s">
        <v>5164</v>
      </c>
      <c r="F3401" t="s">
        <v>5165</v>
      </c>
      <c r="G3401">
        <v>63</v>
      </c>
      <c r="H3401" t="s">
        <v>37</v>
      </c>
      <c r="I3401" s="2">
        <v>5500</v>
      </c>
    </row>
    <row r="3402" spans="1:9" x14ac:dyDescent="0.3">
      <c r="A3402" s="5">
        <v>6378</v>
      </c>
      <c r="B3402" s="5" t="s">
        <v>784</v>
      </c>
      <c r="C3402" s="5">
        <v>1</v>
      </c>
      <c r="D3402" s="5" t="s">
        <v>10</v>
      </c>
      <c r="E3402" t="s">
        <v>5166</v>
      </c>
      <c r="F3402" t="s">
        <v>5167</v>
      </c>
      <c r="G3402">
        <v>63</v>
      </c>
      <c r="H3402" t="s">
        <v>352</v>
      </c>
      <c r="I3402" s="2">
        <v>10000</v>
      </c>
    </row>
    <row r="3403" spans="1:9" x14ac:dyDescent="0.3">
      <c r="A3403" s="5">
        <v>6369</v>
      </c>
      <c r="B3403" s="5" t="s">
        <v>5168</v>
      </c>
      <c r="C3403" s="5">
        <v>5</v>
      </c>
      <c r="D3403" s="5" t="s">
        <v>63</v>
      </c>
      <c r="E3403" t="s">
        <v>4616</v>
      </c>
      <c r="F3403" t="s">
        <v>5169</v>
      </c>
      <c r="G3403">
        <v>6</v>
      </c>
      <c r="H3403" t="s">
        <v>66</v>
      </c>
      <c r="I3403" s="2">
        <v>30000</v>
      </c>
    </row>
    <row r="3404" spans="1:9" x14ac:dyDescent="0.3">
      <c r="A3404" s="5">
        <v>6369</v>
      </c>
      <c r="B3404" s="5" t="s">
        <v>5168</v>
      </c>
      <c r="C3404" s="5">
        <v>5</v>
      </c>
      <c r="D3404" s="5" t="s">
        <v>63</v>
      </c>
      <c r="E3404" t="s">
        <v>4616</v>
      </c>
      <c r="F3404" t="s">
        <v>5169</v>
      </c>
      <c r="G3404">
        <v>6</v>
      </c>
      <c r="H3404" t="s">
        <v>88</v>
      </c>
      <c r="I3404" s="2">
        <v>25000</v>
      </c>
    </row>
    <row r="3405" spans="1:9" x14ac:dyDescent="0.3">
      <c r="A3405" s="5">
        <v>6369</v>
      </c>
      <c r="B3405" s="5" t="s">
        <v>5168</v>
      </c>
      <c r="C3405" s="5">
        <v>5</v>
      </c>
      <c r="D3405" s="5" t="s">
        <v>63</v>
      </c>
      <c r="E3405" t="s">
        <v>4616</v>
      </c>
      <c r="F3405" t="s">
        <v>5169</v>
      </c>
      <c r="G3405">
        <v>6</v>
      </c>
      <c r="H3405" t="s">
        <v>67</v>
      </c>
      <c r="I3405" s="2">
        <v>10000</v>
      </c>
    </row>
    <row r="3406" spans="1:9" x14ac:dyDescent="0.3">
      <c r="A3406" s="5">
        <v>6325</v>
      </c>
      <c r="B3406" s="5" t="s">
        <v>5170</v>
      </c>
      <c r="C3406" s="5">
        <v>1</v>
      </c>
      <c r="D3406" s="5" t="s">
        <v>10</v>
      </c>
      <c r="E3406" t="s">
        <v>5171</v>
      </c>
      <c r="F3406" t="s">
        <v>5172</v>
      </c>
      <c r="G3406">
        <v>5</v>
      </c>
      <c r="H3406" t="s">
        <v>5173</v>
      </c>
      <c r="I3406" s="2">
        <v>55000</v>
      </c>
    </row>
    <row r="3407" spans="1:9" x14ac:dyDescent="0.3">
      <c r="A3407" s="5">
        <v>6325</v>
      </c>
      <c r="B3407" s="5" t="s">
        <v>5170</v>
      </c>
      <c r="C3407" s="5">
        <v>1</v>
      </c>
      <c r="D3407" s="5" t="s">
        <v>10</v>
      </c>
      <c r="E3407" t="s">
        <v>5171</v>
      </c>
      <c r="F3407" t="s">
        <v>5172</v>
      </c>
      <c r="G3407">
        <v>5</v>
      </c>
      <c r="H3407" t="s">
        <v>5174</v>
      </c>
      <c r="I3407" s="2">
        <v>15000</v>
      </c>
    </row>
    <row r="3408" spans="1:9" x14ac:dyDescent="0.3">
      <c r="A3408" s="5">
        <v>6325</v>
      </c>
      <c r="B3408" s="5" t="s">
        <v>5170</v>
      </c>
      <c r="C3408" s="5">
        <v>1</v>
      </c>
      <c r="D3408" s="5" t="s">
        <v>10</v>
      </c>
      <c r="E3408" t="s">
        <v>5171</v>
      </c>
      <c r="F3408" t="s">
        <v>5172</v>
      </c>
      <c r="G3408">
        <v>5</v>
      </c>
      <c r="H3408" t="s">
        <v>5175</v>
      </c>
      <c r="I3408" s="2">
        <v>15000</v>
      </c>
    </row>
    <row r="3409" spans="1:9" x14ac:dyDescent="0.3">
      <c r="A3409" s="5">
        <v>6304</v>
      </c>
      <c r="B3409" s="5" t="s">
        <v>5176</v>
      </c>
      <c r="C3409" s="5">
        <v>1</v>
      </c>
      <c r="D3409" s="5" t="s">
        <v>10</v>
      </c>
      <c r="E3409" t="s">
        <v>5177</v>
      </c>
      <c r="F3409" t="s">
        <v>5178</v>
      </c>
      <c r="G3409">
        <v>5</v>
      </c>
      <c r="H3409" t="s">
        <v>3292</v>
      </c>
      <c r="I3409" s="2">
        <v>6000</v>
      </c>
    </row>
    <row r="3410" spans="1:9" x14ac:dyDescent="0.3">
      <c r="A3410" s="5">
        <v>6304</v>
      </c>
      <c r="B3410" s="5" t="s">
        <v>5176</v>
      </c>
      <c r="C3410" s="5">
        <v>1</v>
      </c>
      <c r="D3410" s="5" t="s">
        <v>10</v>
      </c>
      <c r="E3410" t="s">
        <v>5177</v>
      </c>
      <c r="F3410" t="s">
        <v>5178</v>
      </c>
      <c r="G3410">
        <v>5</v>
      </c>
      <c r="H3410" t="s">
        <v>236</v>
      </c>
      <c r="I3410" s="2">
        <v>6000</v>
      </c>
    </row>
    <row r="3411" spans="1:9" x14ac:dyDescent="0.3">
      <c r="A3411" s="5">
        <v>6304</v>
      </c>
      <c r="B3411" s="5" t="s">
        <v>5176</v>
      </c>
      <c r="C3411" s="5">
        <v>1</v>
      </c>
      <c r="D3411" s="5" t="s">
        <v>10</v>
      </c>
      <c r="E3411" t="s">
        <v>5177</v>
      </c>
      <c r="F3411" t="s">
        <v>5178</v>
      </c>
      <c r="G3411">
        <v>5</v>
      </c>
      <c r="H3411" t="s">
        <v>859</v>
      </c>
      <c r="I3411" s="2">
        <v>6000</v>
      </c>
    </row>
    <row r="3412" spans="1:9" x14ac:dyDescent="0.3">
      <c r="A3412" s="5">
        <v>6220</v>
      </c>
      <c r="B3412" s="5" t="s">
        <v>5179</v>
      </c>
      <c r="C3412" s="5">
        <v>5</v>
      </c>
      <c r="D3412" s="5" t="s">
        <v>63</v>
      </c>
      <c r="E3412" t="s">
        <v>5180</v>
      </c>
      <c r="F3412" t="s">
        <v>5181</v>
      </c>
      <c r="G3412">
        <v>182</v>
      </c>
      <c r="H3412" t="s">
        <v>88</v>
      </c>
      <c r="I3412" s="2">
        <v>20000</v>
      </c>
    </row>
    <row r="3413" spans="1:9" x14ac:dyDescent="0.3">
      <c r="A3413" s="5">
        <v>6220</v>
      </c>
      <c r="B3413" s="5" t="s">
        <v>5179</v>
      </c>
      <c r="C3413" s="5">
        <v>5</v>
      </c>
      <c r="D3413" s="5" t="s">
        <v>63</v>
      </c>
      <c r="E3413" t="s">
        <v>5180</v>
      </c>
      <c r="F3413" t="s">
        <v>5181</v>
      </c>
      <c r="G3413">
        <v>182</v>
      </c>
      <c r="H3413" t="s">
        <v>67</v>
      </c>
      <c r="I3413" s="2">
        <v>6000</v>
      </c>
    </row>
    <row r="3414" spans="1:9" x14ac:dyDescent="0.3">
      <c r="A3414" s="5">
        <v>6208</v>
      </c>
      <c r="B3414" s="5" t="s">
        <v>5182</v>
      </c>
      <c r="C3414" s="5">
        <v>5</v>
      </c>
      <c r="D3414" s="5" t="s">
        <v>63</v>
      </c>
      <c r="E3414" t="s">
        <v>5183</v>
      </c>
      <c r="F3414" t="s">
        <v>5184</v>
      </c>
      <c r="G3414">
        <v>5</v>
      </c>
      <c r="H3414" t="s">
        <v>67</v>
      </c>
      <c r="I3414" s="2">
        <v>8000</v>
      </c>
    </row>
    <row r="3415" spans="1:9" x14ac:dyDescent="0.3">
      <c r="A3415" s="5">
        <v>6208</v>
      </c>
      <c r="B3415" s="5" t="s">
        <v>5182</v>
      </c>
      <c r="C3415" s="5">
        <v>5</v>
      </c>
      <c r="D3415" s="5" t="s">
        <v>63</v>
      </c>
      <c r="E3415" t="s">
        <v>5183</v>
      </c>
      <c r="F3415" t="s">
        <v>5184</v>
      </c>
      <c r="G3415">
        <v>5</v>
      </c>
      <c r="H3415" t="s">
        <v>88</v>
      </c>
      <c r="I3415" s="2">
        <v>25000</v>
      </c>
    </row>
    <row r="3416" spans="1:9" x14ac:dyDescent="0.3">
      <c r="A3416" s="5">
        <v>6199</v>
      </c>
      <c r="B3416" s="5" t="s">
        <v>5185</v>
      </c>
      <c r="C3416" s="5">
        <v>5</v>
      </c>
      <c r="D3416" s="5" t="s">
        <v>63</v>
      </c>
      <c r="E3416" t="s">
        <v>5186</v>
      </c>
      <c r="F3416" t="s">
        <v>5187</v>
      </c>
      <c r="G3416">
        <v>5</v>
      </c>
      <c r="H3416" t="s">
        <v>88</v>
      </c>
      <c r="I3416" s="2">
        <v>20000</v>
      </c>
    </row>
    <row r="3417" spans="1:9" x14ac:dyDescent="0.3">
      <c r="A3417" s="5">
        <v>6199</v>
      </c>
      <c r="B3417" s="5" t="s">
        <v>5185</v>
      </c>
      <c r="C3417" s="5">
        <v>5</v>
      </c>
      <c r="D3417" s="5" t="s">
        <v>63</v>
      </c>
      <c r="E3417" t="s">
        <v>5186</v>
      </c>
      <c r="F3417" t="s">
        <v>5187</v>
      </c>
      <c r="G3417">
        <v>5</v>
      </c>
      <c r="H3417" t="s">
        <v>67</v>
      </c>
      <c r="I3417" s="2">
        <v>6000</v>
      </c>
    </row>
    <row r="3418" spans="1:9" x14ac:dyDescent="0.3">
      <c r="A3418" s="5">
        <v>6052</v>
      </c>
      <c r="B3418" s="5" t="s">
        <v>5188</v>
      </c>
      <c r="C3418" s="5">
        <v>1</v>
      </c>
      <c r="D3418" s="5" t="s">
        <v>10</v>
      </c>
      <c r="E3418" t="s">
        <v>5189</v>
      </c>
      <c r="F3418" t="s">
        <v>5190</v>
      </c>
      <c r="G3418">
        <v>5</v>
      </c>
      <c r="H3418" t="s">
        <v>3057</v>
      </c>
      <c r="I3418" s="2">
        <v>10000</v>
      </c>
    </row>
    <row r="3419" spans="1:9" x14ac:dyDescent="0.3">
      <c r="A3419" s="5">
        <v>6052</v>
      </c>
      <c r="B3419" s="5" t="s">
        <v>5188</v>
      </c>
      <c r="C3419" s="5">
        <v>1</v>
      </c>
      <c r="D3419" s="5" t="s">
        <v>10</v>
      </c>
      <c r="E3419" t="s">
        <v>5189</v>
      </c>
      <c r="F3419" t="s">
        <v>5190</v>
      </c>
      <c r="G3419">
        <v>5</v>
      </c>
      <c r="H3419" t="s">
        <v>3069</v>
      </c>
      <c r="I3419" s="2">
        <v>10000</v>
      </c>
    </row>
    <row r="3420" spans="1:9" x14ac:dyDescent="0.3">
      <c r="A3420" s="5">
        <v>6017</v>
      </c>
      <c r="B3420" s="5" t="s">
        <v>2364</v>
      </c>
      <c r="C3420" s="5">
        <v>5</v>
      </c>
      <c r="D3420" s="5" t="s">
        <v>63</v>
      </c>
      <c r="E3420" t="s">
        <v>2365</v>
      </c>
      <c r="F3420" t="s">
        <v>5191</v>
      </c>
      <c r="G3420">
        <v>450</v>
      </c>
      <c r="H3420" t="s">
        <v>1104</v>
      </c>
      <c r="I3420" s="2">
        <v>27000</v>
      </c>
    </row>
    <row r="3421" spans="1:9" x14ac:dyDescent="0.3">
      <c r="A3421" s="5">
        <v>6015</v>
      </c>
      <c r="B3421" s="5" t="s">
        <v>5192</v>
      </c>
      <c r="C3421" s="5">
        <v>5</v>
      </c>
      <c r="D3421" s="5" t="s">
        <v>63</v>
      </c>
      <c r="E3421" t="s">
        <v>5193</v>
      </c>
      <c r="G3421">
        <v>432</v>
      </c>
      <c r="H3421" t="s">
        <v>1104</v>
      </c>
      <c r="I3421" s="2">
        <v>22000</v>
      </c>
    </row>
    <row r="3422" spans="1:9" x14ac:dyDescent="0.3">
      <c r="A3422" s="5">
        <v>6015</v>
      </c>
      <c r="B3422" s="5" t="s">
        <v>5192</v>
      </c>
      <c r="C3422" s="5">
        <v>5</v>
      </c>
      <c r="D3422" s="5" t="s">
        <v>63</v>
      </c>
      <c r="E3422" t="s">
        <v>5193</v>
      </c>
      <c r="G3422">
        <v>432</v>
      </c>
      <c r="H3422" t="s">
        <v>67</v>
      </c>
      <c r="I3422" s="2">
        <v>6000</v>
      </c>
    </row>
    <row r="3423" spans="1:9" x14ac:dyDescent="0.3">
      <c r="A3423" s="5">
        <v>5959</v>
      </c>
      <c r="B3423" s="5" t="s">
        <v>5194</v>
      </c>
      <c r="C3423" s="5">
        <v>1</v>
      </c>
      <c r="D3423" s="5" t="s">
        <v>10</v>
      </c>
      <c r="E3423" t="s">
        <v>5195</v>
      </c>
      <c r="F3423" t="s">
        <v>5196</v>
      </c>
      <c r="G3423">
        <v>65</v>
      </c>
      <c r="H3423" t="s">
        <v>217</v>
      </c>
      <c r="I3423" s="2">
        <v>13000</v>
      </c>
    </row>
    <row r="3424" spans="1:9" x14ac:dyDescent="0.3">
      <c r="A3424" s="5">
        <v>5959</v>
      </c>
      <c r="B3424" s="5" t="s">
        <v>5194</v>
      </c>
      <c r="C3424" s="5">
        <v>1</v>
      </c>
      <c r="D3424" s="5" t="s">
        <v>10</v>
      </c>
      <c r="E3424" t="s">
        <v>5195</v>
      </c>
      <c r="F3424" t="s">
        <v>5196</v>
      </c>
      <c r="G3424">
        <v>65</v>
      </c>
      <c r="H3424" t="s">
        <v>217</v>
      </c>
      <c r="I3424" s="2">
        <v>14000</v>
      </c>
    </row>
    <row r="3425" spans="1:9" x14ac:dyDescent="0.3">
      <c r="A3425" s="5">
        <v>5959</v>
      </c>
      <c r="B3425" s="5" t="s">
        <v>5194</v>
      </c>
      <c r="C3425" s="5">
        <v>1</v>
      </c>
      <c r="D3425" s="5" t="s">
        <v>10</v>
      </c>
      <c r="E3425" t="s">
        <v>5195</v>
      </c>
      <c r="F3425" t="s">
        <v>5196</v>
      </c>
      <c r="G3425">
        <v>65</v>
      </c>
      <c r="H3425" t="s">
        <v>229</v>
      </c>
      <c r="I3425" s="2">
        <v>6000</v>
      </c>
    </row>
    <row r="3426" spans="1:9" x14ac:dyDescent="0.3">
      <c r="A3426" s="5">
        <v>5948</v>
      </c>
      <c r="B3426" s="5" t="s">
        <v>5197</v>
      </c>
      <c r="C3426" s="5">
        <v>5</v>
      </c>
      <c r="D3426" s="5" t="s">
        <v>63</v>
      </c>
      <c r="E3426" t="s">
        <v>5198</v>
      </c>
      <c r="F3426" t="s">
        <v>5199</v>
      </c>
      <c r="G3426">
        <v>258</v>
      </c>
      <c r="H3426" t="s">
        <v>88</v>
      </c>
      <c r="I3426" s="2">
        <v>20000</v>
      </c>
    </row>
    <row r="3427" spans="1:9" x14ac:dyDescent="0.3">
      <c r="A3427" s="5">
        <v>5948</v>
      </c>
      <c r="B3427" s="5" t="s">
        <v>5197</v>
      </c>
      <c r="C3427" s="5">
        <v>5</v>
      </c>
      <c r="D3427" s="5" t="s">
        <v>63</v>
      </c>
      <c r="E3427" t="s">
        <v>5198</v>
      </c>
      <c r="F3427" t="s">
        <v>5199</v>
      </c>
      <c r="G3427">
        <v>258</v>
      </c>
      <c r="H3427" t="s">
        <v>67</v>
      </c>
      <c r="I3427" s="2">
        <v>7000</v>
      </c>
    </row>
    <row r="3428" spans="1:9" x14ac:dyDescent="0.3">
      <c r="A3428" s="5">
        <v>5936</v>
      </c>
      <c r="B3428" s="5" t="s">
        <v>5200</v>
      </c>
      <c r="C3428" s="5">
        <v>5</v>
      </c>
      <c r="D3428" s="5" t="s">
        <v>63</v>
      </c>
      <c r="E3428" t="s">
        <v>5201</v>
      </c>
      <c r="F3428" t="s">
        <v>5202</v>
      </c>
      <c r="G3428">
        <v>5</v>
      </c>
      <c r="H3428" t="s">
        <v>88</v>
      </c>
      <c r="I3428" s="2">
        <v>20000</v>
      </c>
    </row>
    <row r="3429" spans="1:9" x14ac:dyDescent="0.3">
      <c r="A3429" s="5">
        <v>5936</v>
      </c>
      <c r="B3429" s="5" t="s">
        <v>5200</v>
      </c>
      <c r="C3429" s="5">
        <v>5</v>
      </c>
      <c r="D3429" s="5" t="s">
        <v>63</v>
      </c>
      <c r="E3429" t="s">
        <v>5201</v>
      </c>
      <c r="F3429" t="s">
        <v>5202</v>
      </c>
      <c r="G3429">
        <v>5</v>
      </c>
      <c r="H3429" t="s">
        <v>67</v>
      </c>
      <c r="I3429" s="2">
        <v>10000</v>
      </c>
    </row>
    <row r="3430" spans="1:9" x14ac:dyDescent="0.3">
      <c r="A3430" s="5">
        <v>5755</v>
      </c>
      <c r="B3430" s="5" t="s">
        <v>5203</v>
      </c>
      <c r="C3430" s="5">
        <v>5</v>
      </c>
      <c r="D3430" s="5" t="s">
        <v>63</v>
      </c>
      <c r="E3430" t="s">
        <v>5204</v>
      </c>
      <c r="F3430" t="s">
        <v>5205</v>
      </c>
      <c r="G3430">
        <v>68</v>
      </c>
      <c r="H3430" t="s">
        <v>67</v>
      </c>
      <c r="I3430" s="2">
        <v>10000</v>
      </c>
    </row>
    <row r="3431" spans="1:9" x14ac:dyDescent="0.3">
      <c r="A3431" s="5">
        <v>5755</v>
      </c>
      <c r="B3431" s="5" t="s">
        <v>5203</v>
      </c>
      <c r="C3431" s="5">
        <v>5</v>
      </c>
      <c r="D3431" s="5" t="s">
        <v>63</v>
      </c>
      <c r="E3431" t="s">
        <v>5204</v>
      </c>
      <c r="F3431" t="s">
        <v>5205</v>
      </c>
      <c r="G3431">
        <v>68</v>
      </c>
      <c r="H3431" t="s">
        <v>1856</v>
      </c>
      <c r="I3431" s="2">
        <v>7000</v>
      </c>
    </row>
    <row r="3432" spans="1:9" x14ac:dyDescent="0.3">
      <c r="A3432" s="5">
        <v>5755</v>
      </c>
      <c r="B3432" s="5" t="s">
        <v>5203</v>
      </c>
      <c r="C3432" s="5">
        <v>5</v>
      </c>
      <c r="D3432" s="5" t="s">
        <v>63</v>
      </c>
      <c r="E3432" t="s">
        <v>5204</v>
      </c>
      <c r="F3432" t="s">
        <v>5205</v>
      </c>
      <c r="G3432">
        <v>68</v>
      </c>
      <c r="H3432" t="s">
        <v>88</v>
      </c>
      <c r="I3432" s="2">
        <v>25000</v>
      </c>
    </row>
    <row r="3433" spans="1:9" x14ac:dyDescent="0.3">
      <c r="A3433" s="5">
        <v>5713</v>
      </c>
      <c r="B3433" s="5" t="s">
        <v>5206</v>
      </c>
      <c r="C3433" s="5">
        <v>1</v>
      </c>
      <c r="D3433" s="5" t="s">
        <v>10</v>
      </c>
      <c r="E3433" t="s">
        <v>5207</v>
      </c>
      <c r="F3433" t="s">
        <v>5208</v>
      </c>
      <c r="G3433">
        <v>59</v>
      </c>
      <c r="H3433" t="s">
        <v>374</v>
      </c>
      <c r="I3433" s="2">
        <v>1300</v>
      </c>
    </row>
    <row r="3434" spans="1:9" x14ac:dyDescent="0.3">
      <c r="A3434" s="5">
        <v>5713</v>
      </c>
      <c r="B3434" s="5" t="s">
        <v>5206</v>
      </c>
      <c r="C3434" s="5">
        <v>1</v>
      </c>
      <c r="D3434" s="5" t="s">
        <v>10</v>
      </c>
      <c r="E3434" t="s">
        <v>5207</v>
      </c>
      <c r="F3434" t="s">
        <v>5208</v>
      </c>
      <c r="G3434">
        <v>59</v>
      </c>
      <c r="H3434" t="s">
        <v>304</v>
      </c>
      <c r="I3434" s="2">
        <v>5500</v>
      </c>
    </row>
    <row r="3435" spans="1:9" x14ac:dyDescent="0.3">
      <c r="A3435" s="5">
        <v>5669</v>
      </c>
      <c r="B3435" s="5" t="s">
        <v>5209</v>
      </c>
      <c r="C3435" s="5">
        <v>5</v>
      </c>
      <c r="D3435" s="5" t="s">
        <v>63</v>
      </c>
      <c r="E3435" t="s">
        <v>5210</v>
      </c>
      <c r="F3435" t="s">
        <v>5211</v>
      </c>
      <c r="G3435">
        <v>5</v>
      </c>
      <c r="H3435" t="s">
        <v>1105</v>
      </c>
      <c r="I3435" s="2">
        <v>10000</v>
      </c>
    </row>
    <row r="3436" spans="1:9" x14ac:dyDescent="0.3">
      <c r="A3436" s="5">
        <v>5669</v>
      </c>
      <c r="B3436" s="5" t="s">
        <v>5209</v>
      </c>
      <c r="C3436" s="5">
        <v>5</v>
      </c>
      <c r="D3436" s="5" t="s">
        <v>63</v>
      </c>
      <c r="E3436" t="s">
        <v>5210</v>
      </c>
      <c r="F3436" t="s">
        <v>5211</v>
      </c>
      <c r="G3436">
        <v>5</v>
      </c>
      <c r="H3436" t="s">
        <v>88</v>
      </c>
      <c r="I3436" s="2">
        <v>25000</v>
      </c>
    </row>
    <row r="3437" spans="1:9" x14ac:dyDescent="0.3">
      <c r="A3437" s="5">
        <v>5230</v>
      </c>
      <c r="B3437" s="5" t="s">
        <v>5212</v>
      </c>
      <c r="C3437" s="5">
        <v>5</v>
      </c>
      <c r="D3437" s="5" t="s">
        <v>63</v>
      </c>
      <c r="E3437" t="s">
        <v>5213</v>
      </c>
      <c r="F3437" t="s">
        <v>5214</v>
      </c>
      <c r="G3437">
        <v>98</v>
      </c>
      <c r="H3437" t="s">
        <v>88</v>
      </c>
      <c r="I3437" s="2">
        <v>25000</v>
      </c>
    </row>
    <row r="3438" spans="1:9" x14ac:dyDescent="0.3">
      <c r="A3438" s="5">
        <v>5230</v>
      </c>
      <c r="B3438" s="5" t="s">
        <v>5212</v>
      </c>
      <c r="C3438" s="5">
        <v>5</v>
      </c>
      <c r="D3438" s="5" t="s">
        <v>63</v>
      </c>
      <c r="E3438" t="s">
        <v>5213</v>
      </c>
      <c r="F3438" t="s">
        <v>5214</v>
      </c>
      <c r="G3438">
        <v>98</v>
      </c>
      <c r="H3438" t="s">
        <v>67</v>
      </c>
      <c r="I3438" s="2">
        <v>8000</v>
      </c>
    </row>
    <row r="3439" spans="1:9" x14ac:dyDescent="0.3">
      <c r="A3439" s="5">
        <v>4984</v>
      </c>
      <c r="B3439" s="5" t="s">
        <v>5215</v>
      </c>
      <c r="C3439" s="5">
        <v>5</v>
      </c>
      <c r="D3439" s="5" t="s">
        <v>63</v>
      </c>
      <c r="E3439" t="s">
        <v>5216</v>
      </c>
      <c r="F3439" t="s">
        <v>5217</v>
      </c>
      <c r="G3439">
        <v>3</v>
      </c>
      <c r="H3439" t="s">
        <v>67</v>
      </c>
      <c r="I3439" s="2">
        <v>7000</v>
      </c>
    </row>
    <row r="3440" spans="1:9" x14ac:dyDescent="0.3">
      <c r="A3440" s="5">
        <v>4984</v>
      </c>
      <c r="B3440" s="5" t="s">
        <v>5215</v>
      </c>
      <c r="C3440" s="5">
        <v>5</v>
      </c>
      <c r="D3440" s="5" t="s">
        <v>63</v>
      </c>
      <c r="E3440" t="s">
        <v>5216</v>
      </c>
      <c r="F3440" t="s">
        <v>5217</v>
      </c>
      <c r="G3440">
        <v>3</v>
      </c>
      <c r="H3440" t="s">
        <v>88</v>
      </c>
      <c r="I3440" s="2">
        <v>20000</v>
      </c>
    </row>
    <row r="3441" spans="1:9" x14ac:dyDescent="0.3">
      <c r="A3441" s="5">
        <v>4970</v>
      </c>
      <c r="B3441" s="5" t="s">
        <v>5218</v>
      </c>
      <c r="C3441" s="5">
        <v>5</v>
      </c>
      <c r="D3441" s="5" t="s">
        <v>63</v>
      </c>
      <c r="E3441" t="s">
        <v>5219</v>
      </c>
      <c r="F3441" t="s">
        <v>5220</v>
      </c>
      <c r="G3441">
        <v>3</v>
      </c>
      <c r="H3441" t="s">
        <v>5221</v>
      </c>
      <c r="I3441" s="2">
        <v>5000</v>
      </c>
    </row>
    <row r="3442" spans="1:9" x14ac:dyDescent="0.3">
      <c r="A3442" s="5">
        <v>4970</v>
      </c>
      <c r="B3442" s="5" t="s">
        <v>5218</v>
      </c>
      <c r="C3442" s="5">
        <v>5</v>
      </c>
      <c r="D3442" s="5" t="s">
        <v>63</v>
      </c>
      <c r="E3442" t="s">
        <v>5219</v>
      </c>
      <c r="F3442" t="s">
        <v>5220</v>
      </c>
      <c r="G3442">
        <v>3</v>
      </c>
      <c r="H3442" t="s">
        <v>1104</v>
      </c>
      <c r="I3442" s="2">
        <v>15000</v>
      </c>
    </row>
    <row r="3443" spans="1:9" x14ac:dyDescent="0.3">
      <c r="A3443" s="5">
        <v>4955</v>
      </c>
      <c r="B3443" s="5" t="s">
        <v>578</v>
      </c>
      <c r="C3443" s="5">
        <v>1</v>
      </c>
      <c r="D3443" s="5" t="s">
        <v>10</v>
      </c>
      <c r="E3443" t="s">
        <v>5222</v>
      </c>
      <c r="F3443" t="s">
        <v>5223</v>
      </c>
      <c r="G3443">
        <v>8</v>
      </c>
      <c r="H3443" t="s">
        <v>304</v>
      </c>
      <c r="I3443" s="2">
        <v>5500</v>
      </c>
    </row>
    <row r="3444" spans="1:9" x14ac:dyDescent="0.3">
      <c r="A3444" s="5">
        <v>4955</v>
      </c>
      <c r="B3444" s="5" t="s">
        <v>578</v>
      </c>
      <c r="C3444" s="5">
        <v>1</v>
      </c>
      <c r="D3444" s="5" t="s">
        <v>10</v>
      </c>
      <c r="E3444" t="s">
        <v>5222</v>
      </c>
      <c r="F3444" t="s">
        <v>5223</v>
      </c>
      <c r="G3444">
        <v>8</v>
      </c>
      <c r="H3444" t="s">
        <v>374</v>
      </c>
      <c r="I3444" s="2">
        <v>2000</v>
      </c>
    </row>
    <row r="3445" spans="1:9" x14ac:dyDescent="0.3">
      <c r="A3445" s="5">
        <v>4955</v>
      </c>
      <c r="B3445" s="5" t="s">
        <v>578</v>
      </c>
      <c r="C3445" s="5">
        <v>1</v>
      </c>
      <c r="D3445" s="5" t="s">
        <v>10</v>
      </c>
      <c r="E3445" t="s">
        <v>5222</v>
      </c>
      <c r="F3445" t="s">
        <v>5223</v>
      </c>
      <c r="G3445">
        <v>8</v>
      </c>
      <c r="H3445" t="s">
        <v>139</v>
      </c>
      <c r="I3445" s="2">
        <v>5500</v>
      </c>
    </row>
    <row r="3446" spans="1:9" x14ac:dyDescent="0.3">
      <c r="A3446" s="5">
        <v>4826</v>
      </c>
      <c r="B3446" s="5" t="s">
        <v>5206</v>
      </c>
      <c r="C3446" s="5">
        <v>1</v>
      </c>
      <c r="D3446" s="5" t="s">
        <v>10</v>
      </c>
      <c r="E3446" t="s">
        <v>5224</v>
      </c>
      <c r="F3446" t="s">
        <v>5225</v>
      </c>
      <c r="G3446">
        <v>63</v>
      </c>
      <c r="H3446" t="s">
        <v>581</v>
      </c>
      <c r="I3446" s="2">
        <v>3000</v>
      </c>
    </row>
    <row r="3447" spans="1:9" x14ac:dyDescent="0.3">
      <c r="A3447" s="5">
        <v>4826</v>
      </c>
      <c r="B3447" s="5" t="s">
        <v>5206</v>
      </c>
      <c r="C3447" s="5">
        <v>1</v>
      </c>
      <c r="D3447" s="5" t="s">
        <v>10</v>
      </c>
      <c r="E3447" t="s">
        <v>5224</v>
      </c>
      <c r="F3447" t="s">
        <v>5225</v>
      </c>
      <c r="G3447">
        <v>63</v>
      </c>
      <c r="H3447" t="s">
        <v>304</v>
      </c>
      <c r="I3447" s="2">
        <v>4000</v>
      </c>
    </row>
    <row r="3448" spans="1:9" x14ac:dyDescent="0.3">
      <c r="A3448" s="5">
        <v>4826</v>
      </c>
      <c r="B3448" s="5" t="s">
        <v>5206</v>
      </c>
      <c r="C3448" s="5">
        <v>1</v>
      </c>
      <c r="D3448" s="5" t="s">
        <v>10</v>
      </c>
      <c r="E3448" t="s">
        <v>5224</v>
      </c>
      <c r="F3448" t="s">
        <v>5225</v>
      </c>
      <c r="G3448">
        <v>63</v>
      </c>
      <c r="H3448" t="s">
        <v>374</v>
      </c>
      <c r="I3448" s="2">
        <v>1500</v>
      </c>
    </row>
    <row r="3449" spans="1:9" x14ac:dyDescent="0.3">
      <c r="A3449" s="5">
        <v>4824</v>
      </c>
      <c r="B3449" s="5" t="s">
        <v>5226</v>
      </c>
      <c r="C3449" s="5">
        <v>5</v>
      </c>
      <c r="D3449" s="5" t="s">
        <v>63</v>
      </c>
      <c r="E3449" t="s">
        <v>5227</v>
      </c>
      <c r="F3449" t="s">
        <v>5228</v>
      </c>
      <c r="G3449">
        <v>62</v>
      </c>
      <c r="H3449" t="s">
        <v>1104</v>
      </c>
      <c r="I3449" s="2">
        <v>30000</v>
      </c>
    </row>
    <row r="3450" spans="1:9" x14ac:dyDescent="0.3">
      <c r="A3450" s="5">
        <v>4824</v>
      </c>
      <c r="B3450" s="5" t="s">
        <v>5226</v>
      </c>
      <c r="C3450" s="5">
        <v>5</v>
      </c>
      <c r="D3450" s="5" t="s">
        <v>63</v>
      </c>
      <c r="E3450" t="s">
        <v>5227</v>
      </c>
      <c r="F3450" t="s">
        <v>5228</v>
      </c>
      <c r="G3450">
        <v>62</v>
      </c>
      <c r="H3450" t="s">
        <v>1105</v>
      </c>
      <c r="I3450" s="2">
        <v>12000</v>
      </c>
    </row>
    <row r="3451" spans="1:9" x14ac:dyDescent="0.3">
      <c r="A3451" s="5">
        <v>4576</v>
      </c>
      <c r="B3451" s="5" t="s">
        <v>5229</v>
      </c>
      <c r="C3451" s="5">
        <v>13</v>
      </c>
      <c r="D3451" s="5" t="s">
        <v>27</v>
      </c>
      <c r="E3451" t="s">
        <v>5230</v>
      </c>
      <c r="F3451" t="s">
        <v>5231</v>
      </c>
      <c r="G3451">
        <v>62</v>
      </c>
      <c r="H3451" t="s">
        <v>633</v>
      </c>
      <c r="I3451" s="2">
        <v>15000</v>
      </c>
    </row>
    <row r="3452" spans="1:9" x14ac:dyDescent="0.3">
      <c r="A3452" s="5">
        <v>4576</v>
      </c>
      <c r="B3452" s="5" t="s">
        <v>5229</v>
      </c>
      <c r="C3452" s="5">
        <v>13</v>
      </c>
      <c r="D3452" s="5" t="s">
        <v>27</v>
      </c>
      <c r="E3452" t="s">
        <v>5230</v>
      </c>
      <c r="F3452" t="s">
        <v>5231</v>
      </c>
      <c r="G3452">
        <v>62</v>
      </c>
      <c r="H3452" t="s">
        <v>5040</v>
      </c>
      <c r="I3452" s="2">
        <v>8000</v>
      </c>
    </row>
    <row r="3453" spans="1:9" x14ac:dyDescent="0.3">
      <c r="A3453" s="5">
        <v>4526</v>
      </c>
      <c r="B3453" s="5" t="s">
        <v>5232</v>
      </c>
      <c r="C3453" s="5">
        <v>1</v>
      </c>
      <c r="D3453" s="5" t="s">
        <v>10</v>
      </c>
      <c r="E3453" t="s">
        <v>5233</v>
      </c>
      <c r="F3453" t="s">
        <v>5234</v>
      </c>
      <c r="G3453">
        <v>9</v>
      </c>
      <c r="H3453" t="s">
        <v>5235</v>
      </c>
      <c r="I3453" s="2">
        <v>16000</v>
      </c>
    </row>
    <row r="3454" spans="1:9" x14ac:dyDescent="0.3">
      <c r="A3454" s="5">
        <v>4526</v>
      </c>
      <c r="B3454" s="5" t="s">
        <v>5232</v>
      </c>
      <c r="C3454" s="5">
        <v>1</v>
      </c>
      <c r="D3454" s="5" t="s">
        <v>10</v>
      </c>
      <c r="E3454" t="s">
        <v>5233</v>
      </c>
      <c r="F3454" t="s">
        <v>5234</v>
      </c>
      <c r="G3454">
        <v>9</v>
      </c>
      <c r="H3454" t="s">
        <v>5236</v>
      </c>
      <c r="I3454" s="2">
        <v>15000</v>
      </c>
    </row>
    <row r="3455" spans="1:9" x14ac:dyDescent="0.3">
      <c r="A3455" s="5">
        <v>4506</v>
      </c>
      <c r="B3455" s="5" t="s">
        <v>5237</v>
      </c>
      <c r="C3455" s="5">
        <v>5</v>
      </c>
      <c r="D3455" s="5" t="s">
        <v>63</v>
      </c>
      <c r="E3455" t="s">
        <v>5238</v>
      </c>
      <c r="G3455">
        <v>336</v>
      </c>
      <c r="H3455" t="s">
        <v>5239</v>
      </c>
      <c r="I3455" s="2">
        <v>5000</v>
      </c>
    </row>
    <row r="3456" spans="1:9" x14ac:dyDescent="0.3">
      <c r="A3456" s="5">
        <v>4506</v>
      </c>
      <c r="B3456" s="5" t="s">
        <v>5237</v>
      </c>
      <c r="C3456" s="5">
        <v>5</v>
      </c>
      <c r="D3456" s="5" t="s">
        <v>63</v>
      </c>
      <c r="E3456" t="s">
        <v>5238</v>
      </c>
      <c r="G3456">
        <v>336</v>
      </c>
      <c r="H3456" t="s">
        <v>88</v>
      </c>
      <c r="I3456" s="2">
        <v>20000</v>
      </c>
    </row>
    <row r="3457" spans="1:9" x14ac:dyDescent="0.3">
      <c r="A3457" s="5">
        <v>4412</v>
      </c>
      <c r="B3457" s="5" t="s">
        <v>5240</v>
      </c>
      <c r="C3457" s="5">
        <v>5</v>
      </c>
      <c r="D3457" s="5" t="s">
        <v>63</v>
      </c>
      <c r="E3457" t="s">
        <v>5241</v>
      </c>
      <c r="F3457" t="s">
        <v>5242</v>
      </c>
      <c r="G3457">
        <v>63</v>
      </c>
      <c r="H3457" t="s">
        <v>1104</v>
      </c>
      <c r="I3457" s="2">
        <v>30000</v>
      </c>
    </row>
    <row r="3458" spans="1:9" x14ac:dyDescent="0.3">
      <c r="A3458" s="5">
        <v>4412</v>
      </c>
      <c r="B3458" s="5" t="s">
        <v>5240</v>
      </c>
      <c r="C3458" s="5">
        <v>5</v>
      </c>
      <c r="D3458" s="5" t="s">
        <v>63</v>
      </c>
      <c r="E3458" t="s">
        <v>5241</v>
      </c>
      <c r="F3458" t="s">
        <v>5242</v>
      </c>
      <c r="G3458">
        <v>63</v>
      </c>
      <c r="H3458" t="s">
        <v>1105</v>
      </c>
      <c r="I3458" s="2">
        <v>10000</v>
      </c>
    </row>
    <row r="3459" spans="1:9" x14ac:dyDescent="0.3">
      <c r="A3459" s="5">
        <v>4407</v>
      </c>
      <c r="B3459" s="5" t="s">
        <v>5243</v>
      </c>
      <c r="C3459" s="5">
        <v>7</v>
      </c>
      <c r="D3459" s="5" t="s">
        <v>360</v>
      </c>
      <c r="E3459" t="s">
        <v>5244</v>
      </c>
      <c r="F3459" t="s">
        <v>5245</v>
      </c>
      <c r="G3459">
        <v>62</v>
      </c>
      <c r="H3459" t="s">
        <v>5060</v>
      </c>
      <c r="I3459" s="2">
        <v>3000</v>
      </c>
    </row>
    <row r="3460" spans="1:9" x14ac:dyDescent="0.3">
      <c r="A3460" s="5">
        <v>4407</v>
      </c>
      <c r="B3460" s="5" t="s">
        <v>5243</v>
      </c>
      <c r="C3460" s="5">
        <v>7</v>
      </c>
      <c r="D3460" s="5" t="s">
        <v>360</v>
      </c>
      <c r="E3460" t="s">
        <v>5244</v>
      </c>
      <c r="F3460" t="s">
        <v>5245</v>
      </c>
      <c r="G3460">
        <v>62</v>
      </c>
      <c r="H3460" t="s">
        <v>5061</v>
      </c>
      <c r="I3460" s="2">
        <v>7000</v>
      </c>
    </row>
    <row r="3461" spans="1:9" x14ac:dyDescent="0.3">
      <c r="A3461" s="5">
        <v>4325</v>
      </c>
      <c r="B3461" s="5" t="s">
        <v>5246</v>
      </c>
      <c r="C3461" s="5">
        <v>1</v>
      </c>
      <c r="D3461" s="5" t="s">
        <v>10</v>
      </c>
      <c r="E3461" t="s">
        <v>5247</v>
      </c>
      <c r="F3461" t="s">
        <v>5248</v>
      </c>
      <c r="G3461">
        <v>252</v>
      </c>
      <c r="H3461" t="s">
        <v>403</v>
      </c>
      <c r="I3461" s="2">
        <v>7000</v>
      </c>
    </row>
    <row r="3462" spans="1:9" x14ac:dyDescent="0.3">
      <c r="A3462" s="5">
        <v>4325</v>
      </c>
      <c r="B3462" s="5" t="s">
        <v>5246</v>
      </c>
      <c r="C3462" s="5">
        <v>1</v>
      </c>
      <c r="D3462" s="5" t="s">
        <v>10</v>
      </c>
      <c r="E3462" t="s">
        <v>5247</v>
      </c>
      <c r="F3462" t="s">
        <v>5248</v>
      </c>
      <c r="G3462">
        <v>252</v>
      </c>
      <c r="H3462" t="s">
        <v>1042</v>
      </c>
      <c r="I3462" s="2">
        <v>7000</v>
      </c>
    </row>
    <row r="3463" spans="1:9" x14ac:dyDescent="0.3">
      <c r="A3463" s="5">
        <v>4325</v>
      </c>
      <c r="B3463" s="5" t="s">
        <v>5246</v>
      </c>
      <c r="C3463" s="5">
        <v>1</v>
      </c>
      <c r="D3463" s="5" t="s">
        <v>10</v>
      </c>
      <c r="E3463" t="s">
        <v>5247</v>
      </c>
      <c r="F3463" t="s">
        <v>5248</v>
      </c>
      <c r="G3463">
        <v>252</v>
      </c>
      <c r="H3463" t="s">
        <v>187</v>
      </c>
      <c r="I3463" s="2">
        <v>4000</v>
      </c>
    </row>
    <row r="3464" spans="1:9" x14ac:dyDescent="0.3">
      <c r="A3464" s="5">
        <v>4242</v>
      </c>
      <c r="B3464" s="5" t="s">
        <v>5249</v>
      </c>
      <c r="C3464" s="5">
        <v>5</v>
      </c>
      <c r="D3464" s="5" t="s">
        <v>63</v>
      </c>
      <c r="E3464" t="s">
        <v>5250</v>
      </c>
      <c r="F3464" t="s">
        <v>5251</v>
      </c>
      <c r="G3464">
        <v>264</v>
      </c>
      <c r="H3464" t="s">
        <v>117</v>
      </c>
      <c r="I3464" s="2">
        <v>8000</v>
      </c>
    </row>
    <row r="3465" spans="1:9" x14ac:dyDescent="0.3">
      <c r="A3465" s="5">
        <v>4102</v>
      </c>
      <c r="B3465" s="5" t="s">
        <v>5252</v>
      </c>
      <c r="C3465" s="5">
        <v>5</v>
      </c>
      <c r="D3465" s="5" t="s">
        <v>63</v>
      </c>
      <c r="E3465" t="s">
        <v>5253</v>
      </c>
      <c r="F3465" t="s">
        <v>5254</v>
      </c>
      <c r="G3465">
        <v>7</v>
      </c>
      <c r="H3465" t="s">
        <v>673</v>
      </c>
      <c r="I3465" s="2">
        <v>5000</v>
      </c>
    </row>
    <row r="3466" spans="1:9" x14ac:dyDescent="0.3">
      <c r="A3466" s="5">
        <v>4102</v>
      </c>
      <c r="B3466" s="5" t="s">
        <v>5252</v>
      </c>
      <c r="C3466" s="5">
        <v>5</v>
      </c>
      <c r="D3466" s="5" t="s">
        <v>63</v>
      </c>
      <c r="E3466" t="s">
        <v>5253</v>
      </c>
      <c r="F3466" t="s">
        <v>5254</v>
      </c>
      <c r="G3466">
        <v>7</v>
      </c>
      <c r="H3466" t="s">
        <v>88</v>
      </c>
      <c r="I3466" s="2">
        <v>15000</v>
      </c>
    </row>
    <row r="3467" spans="1:9" x14ac:dyDescent="0.3">
      <c r="A3467" s="5">
        <v>4096</v>
      </c>
      <c r="B3467" s="5" t="s">
        <v>5255</v>
      </c>
      <c r="C3467" s="5">
        <v>7</v>
      </c>
      <c r="D3467" s="5" t="s">
        <v>360</v>
      </c>
      <c r="E3467" t="s">
        <v>5256</v>
      </c>
      <c r="F3467" t="s">
        <v>5257</v>
      </c>
      <c r="G3467">
        <v>6</v>
      </c>
      <c r="H3467" t="s">
        <v>5258</v>
      </c>
      <c r="I3467" s="2">
        <v>5000</v>
      </c>
    </row>
    <row r="3468" spans="1:9" x14ac:dyDescent="0.3">
      <c r="A3468" s="5">
        <v>4096</v>
      </c>
      <c r="B3468" s="5" t="s">
        <v>5255</v>
      </c>
      <c r="C3468" s="5">
        <v>7</v>
      </c>
      <c r="D3468" s="5" t="s">
        <v>360</v>
      </c>
      <c r="E3468" t="s">
        <v>5256</v>
      </c>
      <c r="F3468" t="s">
        <v>5257</v>
      </c>
      <c r="G3468">
        <v>6</v>
      </c>
      <c r="H3468" t="s">
        <v>5259</v>
      </c>
      <c r="I3468" s="2">
        <v>4000</v>
      </c>
    </row>
    <row r="3469" spans="1:9" x14ac:dyDescent="0.3">
      <c r="A3469" s="5">
        <v>4052</v>
      </c>
      <c r="B3469" s="5" t="s">
        <v>5260</v>
      </c>
      <c r="C3469" s="5">
        <v>5</v>
      </c>
      <c r="D3469" s="5" t="s">
        <v>63</v>
      </c>
      <c r="E3469" t="s">
        <v>5261</v>
      </c>
      <c r="F3469" t="s">
        <v>5262</v>
      </c>
      <c r="G3469">
        <v>9</v>
      </c>
      <c r="H3469" t="s">
        <v>673</v>
      </c>
      <c r="I3469" s="2">
        <v>9000</v>
      </c>
    </row>
    <row r="3470" spans="1:9" x14ac:dyDescent="0.3">
      <c r="A3470" s="5">
        <v>4052</v>
      </c>
      <c r="B3470" s="5" t="s">
        <v>5260</v>
      </c>
      <c r="C3470" s="5">
        <v>5</v>
      </c>
      <c r="D3470" s="5" t="s">
        <v>63</v>
      </c>
      <c r="E3470" t="s">
        <v>5261</v>
      </c>
      <c r="F3470" t="s">
        <v>5262</v>
      </c>
      <c r="G3470">
        <v>9</v>
      </c>
      <c r="H3470" t="s">
        <v>88</v>
      </c>
      <c r="I3470" s="2">
        <v>30000</v>
      </c>
    </row>
    <row r="3471" spans="1:9" x14ac:dyDescent="0.3">
      <c r="A3471" s="5">
        <v>4019</v>
      </c>
      <c r="B3471" s="5" t="s">
        <v>5263</v>
      </c>
      <c r="C3471" s="5">
        <v>2</v>
      </c>
      <c r="D3471" s="5" t="s">
        <v>261</v>
      </c>
      <c r="E3471" t="s">
        <v>5264</v>
      </c>
      <c r="F3471" t="s">
        <v>5265</v>
      </c>
      <c r="G3471">
        <v>6</v>
      </c>
      <c r="H3471" t="s">
        <v>265</v>
      </c>
      <c r="I3471" s="2">
        <v>8000</v>
      </c>
    </row>
    <row r="3472" spans="1:9" x14ac:dyDescent="0.3">
      <c r="A3472" s="5">
        <v>4019</v>
      </c>
      <c r="B3472" s="5" t="s">
        <v>5263</v>
      </c>
      <c r="C3472" s="5">
        <v>2</v>
      </c>
      <c r="D3472" s="5" t="s">
        <v>261</v>
      </c>
      <c r="E3472" t="s">
        <v>5264</v>
      </c>
      <c r="F3472" t="s">
        <v>5265</v>
      </c>
      <c r="G3472">
        <v>6</v>
      </c>
      <c r="H3472" t="s">
        <v>264</v>
      </c>
      <c r="I3472" s="2">
        <v>7000</v>
      </c>
    </row>
    <row r="3473" spans="1:9" x14ac:dyDescent="0.3">
      <c r="A3473" s="5">
        <v>3986</v>
      </c>
      <c r="B3473" s="5" t="s">
        <v>5266</v>
      </c>
      <c r="C3473" s="5">
        <v>1</v>
      </c>
      <c r="D3473" s="5" t="s">
        <v>10</v>
      </c>
      <c r="E3473" t="s">
        <v>5267</v>
      </c>
      <c r="F3473" t="s">
        <v>5268</v>
      </c>
      <c r="G3473">
        <v>163</v>
      </c>
      <c r="H3473" t="s">
        <v>229</v>
      </c>
      <c r="I3473" s="2">
        <v>4500</v>
      </c>
    </row>
    <row r="3474" spans="1:9" x14ac:dyDescent="0.3">
      <c r="A3474" s="5">
        <v>3986</v>
      </c>
      <c r="B3474" s="5" t="s">
        <v>5266</v>
      </c>
      <c r="C3474" s="5">
        <v>1</v>
      </c>
      <c r="D3474" s="5" t="s">
        <v>10</v>
      </c>
      <c r="E3474" t="s">
        <v>5267</v>
      </c>
      <c r="F3474" t="s">
        <v>5268</v>
      </c>
      <c r="G3474">
        <v>163</v>
      </c>
      <c r="H3474" t="s">
        <v>304</v>
      </c>
      <c r="I3474" s="2">
        <v>5000</v>
      </c>
    </row>
    <row r="3475" spans="1:9" x14ac:dyDescent="0.3">
      <c r="A3475" s="5">
        <v>3906</v>
      </c>
      <c r="B3475" s="5" t="s">
        <v>5269</v>
      </c>
      <c r="C3475" s="5">
        <v>1</v>
      </c>
      <c r="D3475" s="5" t="s">
        <v>10</v>
      </c>
      <c r="E3475" t="s">
        <v>5270</v>
      </c>
      <c r="F3475" t="s">
        <v>5271</v>
      </c>
      <c r="G3475">
        <v>101</v>
      </c>
      <c r="H3475" t="s">
        <v>236</v>
      </c>
      <c r="I3475" s="2">
        <v>6000</v>
      </c>
    </row>
    <row r="3476" spans="1:9" x14ac:dyDescent="0.3">
      <c r="A3476" s="5">
        <v>3906</v>
      </c>
      <c r="B3476" s="5" t="s">
        <v>5269</v>
      </c>
      <c r="C3476" s="5">
        <v>1</v>
      </c>
      <c r="D3476" s="5" t="s">
        <v>10</v>
      </c>
      <c r="E3476" t="s">
        <v>5270</v>
      </c>
      <c r="F3476" t="s">
        <v>5271</v>
      </c>
      <c r="G3476">
        <v>101</v>
      </c>
      <c r="H3476" t="s">
        <v>5272</v>
      </c>
      <c r="I3476" s="2">
        <v>6000</v>
      </c>
    </row>
    <row r="3477" spans="1:9" x14ac:dyDescent="0.3">
      <c r="A3477" s="5">
        <v>3906</v>
      </c>
      <c r="B3477" s="5" t="s">
        <v>5269</v>
      </c>
      <c r="C3477" s="5">
        <v>1</v>
      </c>
      <c r="D3477" s="5" t="s">
        <v>10</v>
      </c>
      <c r="E3477" t="s">
        <v>5270</v>
      </c>
      <c r="F3477" t="s">
        <v>5271</v>
      </c>
      <c r="G3477">
        <v>101</v>
      </c>
      <c r="H3477" t="s">
        <v>5272</v>
      </c>
      <c r="I3477" s="2">
        <v>4000</v>
      </c>
    </row>
    <row r="3478" spans="1:9" x14ac:dyDescent="0.3">
      <c r="A3478" s="5">
        <v>3887</v>
      </c>
      <c r="B3478" s="5" t="s">
        <v>5273</v>
      </c>
      <c r="C3478" s="5">
        <v>1</v>
      </c>
      <c r="D3478" s="5" t="s">
        <v>10</v>
      </c>
      <c r="E3478" t="s">
        <v>5274</v>
      </c>
      <c r="F3478" t="s">
        <v>5275</v>
      </c>
      <c r="G3478">
        <v>10</v>
      </c>
      <c r="H3478" t="s">
        <v>4010</v>
      </c>
      <c r="I3478" s="2">
        <v>5000</v>
      </c>
    </row>
    <row r="3479" spans="1:9" x14ac:dyDescent="0.3">
      <c r="A3479" s="5">
        <v>3887</v>
      </c>
      <c r="B3479" s="5" t="s">
        <v>5273</v>
      </c>
      <c r="C3479" s="5">
        <v>1</v>
      </c>
      <c r="D3479" s="5" t="s">
        <v>10</v>
      </c>
      <c r="E3479" t="s">
        <v>5274</v>
      </c>
      <c r="F3479" t="s">
        <v>5275</v>
      </c>
      <c r="G3479">
        <v>10</v>
      </c>
      <c r="H3479" t="s">
        <v>1655</v>
      </c>
      <c r="I3479" s="2">
        <v>6000</v>
      </c>
    </row>
    <row r="3480" spans="1:9" x14ac:dyDescent="0.3">
      <c r="A3480" s="5">
        <v>3887</v>
      </c>
      <c r="B3480" s="5" t="s">
        <v>5273</v>
      </c>
      <c r="C3480" s="5">
        <v>1</v>
      </c>
      <c r="D3480" s="5" t="s">
        <v>10</v>
      </c>
      <c r="E3480" t="s">
        <v>5274</v>
      </c>
      <c r="F3480" t="s">
        <v>5275</v>
      </c>
      <c r="G3480">
        <v>10</v>
      </c>
      <c r="H3480" t="s">
        <v>3132</v>
      </c>
      <c r="I3480" s="2">
        <v>6000</v>
      </c>
    </row>
    <row r="3481" spans="1:9" x14ac:dyDescent="0.3">
      <c r="A3481" s="5">
        <v>3887</v>
      </c>
      <c r="B3481" s="5" t="s">
        <v>5273</v>
      </c>
      <c r="C3481" s="5">
        <v>1</v>
      </c>
      <c r="D3481" s="5" t="s">
        <v>10</v>
      </c>
      <c r="E3481" t="s">
        <v>5274</v>
      </c>
      <c r="F3481" t="s">
        <v>5275</v>
      </c>
      <c r="G3481">
        <v>10</v>
      </c>
      <c r="H3481" t="s">
        <v>189</v>
      </c>
      <c r="I3481" s="2">
        <v>6000</v>
      </c>
    </row>
    <row r="3482" spans="1:9" x14ac:dyDescent="0.3">
      <c r="A3482" s="5">
        <v>3545</v>
      </c>
      <c r="B3482" s="5" t="s">
        <v>5276</v>
      </c>
      <c r="C3482" s="5">
        <v>5</v>
      </c>
      <c r="D3482" s="5" t="s">
        <v>63</v>
      </c>
      <c r="E3482" t="s">
        <v>5277</v>
      </c>
      <c r="F3482" t="s">
        <v>5278</v>
      </c>
      <c r="G3482">
        <v>71</v>
      </c>
      <c r="H3482" t="s">
        <v>88</v>
      </c>
      <c r="I3482" s="2">
        <v>33000</v>
      </c>
    </row>
    <row r="3483" spans="1:9" x14ac:dyDescent="0.3">
      <c r="A3483" s="5">
        <v>3545</v>
      </c>
      <c r="B3483" s="5" t="s">
        <v>5276</v>
      </c>
      <c r="C3483" s="5">
        <v>5</v>
      </c>
      <c r="D3483" s="5" t="s">
        <v>63</v>
      </c>
      <c r="E3483" t="s">
        <v>5277</v>
      </c>
      <c r="F3483" t="s">
        <v>5278</v>
      </c>
      <c r="G3483">
        <v>71</v>
      </c>
      <c r="H3483" t="s">
        <v>2142</v>
      </c>
      <c r="I3483" s="2">
        <v>7000</v>
      </c>
    </row>
    <row r="3484" spans="1:9" x14ac:dyDescent="0.3">
      <c r="A3484" s="5">
        <v>3545</v>
      </c>
      <c r="B3484" s="5" t="s">
        <v>5276</v>
      </c>
      <c r="C3484" s="5">
        <v>5</v>
      </c>
      <c r="D3484" s="5" t="s">
        <v>63</v>
      </c>
      <c r="E3484" t="s">
        <v>5277</v>
      </c>
      <c r="F3484" t="s">
        <v>5278</v>
      </c>
      <c r="G3484">
        <v>71</v>
      </c>
      <c r="H3484" t="s">
        <v>2143</v>
      </c>
      <c r="I3484" s="2">
        <v>8000</v>
      </c>
    </row>
    <row r="3485" spans="1:9" x14ac:dyDescent="0.3">
      <c r="A3485" s="5">
        <v>3545</v>
      </c>
      <c r="B3485" s="5" t="s">
        <v>5276</v>
      </c>
      <c r="C3485" s="5">
        <v>5</v>
      </c>
      <c r="D3485" s="5" t="s">
        <v>63</v>
      </c>
      <c r="E3485" t="s">
        <v>5277</v>
      </c>
      <c r="F3485" t="s">
        <v>5278</v>
      </c>
      <c r="G3485">
        <v>71</v>
      </c>
      <c r="H3485" t="s">
        <v>4186</v>
      </c>
      <c r="I3485" s="2">
        <v>11000</v>
      </c>
    </row>
    <row r="3486" spans="1:9" x14ac:dyDescent="0.3">
      <c r="A3486" s="5">
        <v>3450</v>
      </c>
      <c r="B3486" s="5" t="s">
        <v>5279</v>
      </c>
      <c r="C3486" s="5">
        <v>5</v>
      </c>
      <c r="D3486" s="5" t="s">
        <v>63</v>
      </c>
      <c r="E3486" t="s">
        <v>5280</v>
      </c>
      <c r="F3486" t="s">
        <v>5281</v>
      </c>
      <c r="G3486">
        <v>6</v>
      </c>
      <c r="H3486" t="s">
        <v>67</v>
      </c>
      <c r="I3486" s="2">
        <v>8000</v>
      </c>
    </row>
    <row r="3487" spans="1:9" x14ac:dyDescent="0.3">
      <c r="A3487" s="5">
        <v>3450</v>
      </c>
      <c r="B3487" s="5" t="s">
        <v>5279</v>
      </c>
      <c r="C3487" s="5">
        <v>5</v>
      </c>
      <c r="D3487" s="5" t="s">
        <v>63</v>
      </c>
      <c r="E3487" t="s">
        <v>5280</v>
      </c>
      <c r="F3487" t="s">
        <v>5281</v>
      </c>
      <c r="G3487">
        <v>6</v>
      </c>
      <c r="H3487" t="s">
        <v>88</v>
      </c>
      <c r="I3487" s="2">
        <v>25000</v>
      </c>
    </row>
    <row r="3488" spans="1:9" x14ac:dyDescent="0.3">
      <c r="A3488" s="5">
        <v>3436</v>
      </c>
      <c r="B3488" s="5" t="s">
        <v>5282</v>
      </c>
      <c r="C3488" s="5">
        <v>5</v>
      </c>
      <c r="D3488" s="5" t="s">
        <v>63</v>
      </c>
      <c r="E3488" t="s">
        <v>5283</v>
      </c>
      <c r="F3488" t="s">
        <v>5284</v>
      </c>
      <c r="G3488">
        <v>172</v>
      </c>
      <c r="H3488" t="s">
        <v>586</v>
      </c>
      <c r="I3488" s="2">
        <v>8000</v>
      </c>
    </row>
    <row r="3489" spans="1:9" x14ac:dyDescent="0.3">
      <c r="A3489" s="5">
        <v>3436</v>
      </c>
      <c r="B3489" s="5" t="s">
        <v>5282</v>
      </c>
      <c r="C3489" s="5">
        <v>5</v>
      </c>
      <c r="D3489" s="5" t="s">
        <v>63</v>
      </c>
      <c r="E3489" t="s">
        <v>5283</v>
      </c>
      <c r="F3489" t="s">
        <v>5284</v>
      </c>
      <c r="G3489">
        <v>172</v>
      </c>
      <c r="H3489" t="s">
        <v>67</v>
      </c>
      <c r="I3489" s="2">
        <v>10000</v>
      </c>
    </row>
    <row r="3490" spans="1:9" x14ac:dyDescent="0.3">
      <c r="A3490" s="5">
        <v>3312</v>
      </c>
      <c r="B3490" s="5" t="s">
        <v>5285</v>
      </c>
      <c r="C3490" s="5">
        <v>5</v>
      </c>
      <c r="D3490" s="5" t="s">
        <v>63</v>
      </c>
      <c r="E3490" t="s">
        <v>5286</v>
      </c>
      <c r="F3490" t="s">
        <v>5287</v>
      </c>
      <c r="G3490">
        <v>62</v>
      </c>
      <c r="H3490" t="s">
        <v>1104</v>
      </c>
      <c r="I3490" s="2">
        <v>35000</v>
      </c>
    </row>
    <row r="3491" spans="1:9" x14ac:dyDescent="0.3">
      <c r="A3491" s="5">
        <v>3312</v>
      </c>
      <c r="B3491" s="5" t="s">
        <v>5285</v>
      </c>
      <c r="C3491" s="5">
        <v>5</v>
      </c>
      <c r="D3491" s="5" t="s">
        <v>63</v>
      </c>
      <c r="E3491" t="s">
        <v>5286</v>
      </c>
      <c r="F3491" t="s">
        <v>5287</v>
      </c>
      <c r="G3491">
        <v>62</v>
      </c>
      <c r="H3491" t="s">
        <v>1105</v>
      </c>
      <c r="I3491" s="2">
        <v>12000</v>
      </c>
    </row>
    <row r="3492" spans="1:9" x14ac:dyDescent="0.3">
      <c r="A3492" s="5">
        <v>3263</v>
      </c>
      <c r="B3492" s="5" t="s">
        <v>5288</v>
      </c>
      <c r="C3492" s="5">
        <v>5</v>
      </c>
      <c r="D3492" s="5" t="s">
        <v>63</v>
      </c>
      <c r="E3492" t="s">
        <v>5289</v>
      </c>
      <c r="F3492" t="s">
        <v>5290</v>
      </c>
      <c r="G3492">
        <v>62</v>
      </c>
      <c r="H3492" t="s">
        <v>88</v>
      </c>
      <c r="I3492" s="2">
        <v>15000</v>
      </c>
    </row>
    <row r="3493" spans="1:9" x14ac:dyDescent="0.3">
      <c r="A3493" s="5">
        <v>3263</v>
      </c>
      <c r="B3493" s="5" t="s">
        <v>5288</v>
      </c>
      <c r="C3493" s="5">
        <v>5</v>
      </c>
      <c r="D3493" s="5" t="s">
        <v>63</v>
      </c>
      <c r="E3493" t="s">
        <v>5289</v>
      </c>
      <c r="F3493" t="s">
        <v>5290</v>
      </c>
      <c r="G3493">
        <v>62</v>
      </c>
      <c r="H3493" t="s">
        <v>67</v>
      </c>
      <c r="I3493" s="2">
        <v>7000</v>
      </c>
    </row>
    <row r="3494" spans="1:9" x14ac:dyDescent="0.3">
      <c r="A3494" s="5">
        <v>3263</v>
      </c>
      <c r="B3494" s="5" t="s">
        <v>5288</v>
      </c>
      <c r="C3494" s="5">
        <v>5</v>
      </c>
      <c r="D3494" s="5" t="s">
        <v>63</v>
      </c>
      <c r="E3494" t="s">
        <v>5289</v>
      </c>
      <c r="F3494" t="s">
        <v>5290</v>
      </c>
      <c r="G3494">
        <v>62</v>
      </c>
      <c r="H3494" t="s">
        <v>88</v>
      </c>
      <c r="I3494" s="2">
        <v>15000</v>
      </c>
    </row>
    <row r="3495" spans="1:9" x14ac:dyDescent="0.3">
      <c r="A3495" s="5">
        <v>3120</v>
      </c>
      <c r="B3495" s="5" t="s">
        <v>5291</v>
      </c>
      <c r="C3495" s="5">
        <v>7</v>
      </c>
      <c r="D3495" s="5" t="s">
        <v>360</v>
      </c>
      <c r="E3495" t="s">
        <v>5292</v>
      </c>
      <c r="F3495" t="s">
        <v>5293</v>
      </c>
      <c r="G3495">
        <v>9</v>
      </c>
      <c r="H3495" t="s">
        <v>363</v>
      </c>
      <c r="I3495" s="2">
        <v>8000</v>
      </c>
    </row>
    <row r="3496" spans="1:9" x14ac:dyDescent="0.3">
      <c r="A3496" s="5">
        <v>3098</v>
      </c>
      <c r="B3496" s="5" t="s">
        <v>5294</v>
      </c>
      <c r="C3496" s="5">
        <v>5</v>
      </c>
      <c r="D3496" s="5" t="s">
        <v>63</v>
      </c>
      <c r="E3496" t="s">
        <v>5295</v>
      </c>
      <c r="F3496" t="s">
        <v>5296</v>
      </c>
      <c r="G3496">
        <v>98</v>
      </c>
      <c r="H3496" t="s">
        <v>67</v>
      </c>
      <c r="I3496" s="2">
        <v>8000</v>
      </c>
    </row>
    <row r="3497" spans="1:9" x14ac:dyDescent="0.3">
      <c r="A3497" s="5">
        <v>3098</v>
      </c>
      <c r="B3497" s="5" t="s">
        <v>5294</v>
      </c>
      <c r="C3497" s="5">
        <v>5</v>
      </c>
      <c r="D3497" s="5" t="s">
        <v>63</v>
      </c>
      <c r="E3497" t="s">
        <v>5295</v>
      </c>
      <c r="F3497" t="s">
        <v>5296</v>
      </c>
      <c r="G3497">
        <v>98</v>
      </c>
      <c r="H3497" t="s">
        <v>88</v>
      </c>
      <c r="I3497" s="2">
        <v>25000</v>
      </c>
    </row>
    <row r="3498" spans="1:9" x14ac:dyDescent="0.3">
      <c r="A3498" s="5">
        <v>3002</v>
      </c>
      <c r="B3498" s="5" t="s">
        <v>5297</v>
      </c>
      <c r="C3498" s="5">
        <v>13</v>
      </c>
      <c r="D3498" s="5" t="s">
        <v>27</v>
      </c>
      <c r="E3498" t="s">
        <v>5298</v>
      </c>
      <c r="F3498" t="s">
        <v>5299</v>
      </c>
      <c r="G3498">
        <v>318</v>
      </c>
      <c r="H3498" t="s">
        <v>5300</v>
      </c>
      <c r="I3498" s="2">
        <v>15000</v>
      </c>
    </row>
    <row r="3499" spans="1:9" x14ac:dyDescent="0.3">
      <c r="A3499" s="5">
        <v>3002</v>
      </c>
      <c r="B3499" s="5" t="s">
        <v>5297</v>
      </c>
      <c r="C3499" s="5">
        <v>13</v>
      </c>
      <c r="D3499" s="5" t="s">
        <v>27</v>
      </c>
      <c r="E3499" t="s">
        <v>5298</v>
      </c>
      <c r="F3499" t="s">
        <v>5299</v>
      </c>
      <c r="G3499">
        <v>318</v>
      </c>
      <c r="H3499" t="s">
        <v>5301</v>
      </c>
      <c r="I3499" s="2">
        <v>200</v>
      </c>
    </row>
    <row r="3500" spans="1:9" x14ac:dyDescent="0.3">
      <c r="A3500" s="5">
        <v>2937</v>
      </c>
      <c r="B3500" s="5" t="s">
        <v>5302</v>
      </c>
      <c r="C3500" s="5">
        <v>5</v>
      </c>
      <c r="D3500" s="5" t="s">
        <v>63</v>
      </c>
      <c r="E3500" t="s">
        <v>5303</v>
      </c>
      <c r="F3500" t="s">
        <v>74</v>
      </c>
      <c r="G3500">
        <v>62</v>
      </c>
      <c r="H3500" t="s">
        <v>1105</v>
      </c>
      <c r="I3500" s="2">
        <v>10000</v>
      </c>
    </row>
    <row r="3501" spans="1:9" x14ac:dyDescent="0.3">
      <c r="A3501" s="5">
        <v>2937</v>
      </c>
      <c r="B3501" s="5" t="s">
        <v>5302</v>
      </c>
      <c r="C3501" s="5">
        <v>5</v>
      </c>
      <c r="D3501" s="5" t="s">
        <v>63</v>
      </c>
      <c r="E3501" t="s">
        <v>5303</v>
      </c>
      <c r="F3501" t="s">
        <v>74</v>
      </c>
      <c r="G3501">
        <v>62</v>
      </c>
      <c r="H3501" t="s">
        <v>1104</v>
      </c>
      <c r="I3501" s="2">
        <v>30000</v>
      </c>
    </row>
    <row r="3502" spans="1:9" x14ac:dyDescent="0.3">
      <c r="A3502" s="5">
        <v>2936</v>
      </c>
      <c r="B3502" s="5" t="s">
        <v>5304</v>
      </c>
      <c r="C3502" s="5">
        <v>5</v>
      </c>
      <c r="D3502" s="5" t="s">
        <v>63</v>
      </c>
      <c r="E3502" t="s">
        <v>5305</v>
      </c>
      <c r="F3502" t="s">
        <v>74</v>
      </c>
      <c r="G3502">
        <v>62</v>
      </c>
      <c r="H3502" t="s">
        <v>1105</v>
      </c>
      <c r="I3502" s="2">
        <v>12000</v>
      </c>
    </row>
    <row r="3503" spans="1:9" x14ac:dyDescent="0.3">
      <c r="A3503" s="5">
        <v>2936</v>
      </c>
      <c r="B3503" s="5" t="s">
        <v>5304</v>
      </c>
      <c r="C3503" s="5">
        <v>5</v>
      </c>
      <c r="D3503" s="5" t="s">
        <v>63</v>
      </c>
      <c r="E3503" t="s">
        <v>5305</v>
      </c>
      <c r="F3503" t="s">
        <v>74</v>
      </c>
      <c r="G3503">
        <v>62</v>
      </c>
      <c r="H3503" t="s">
        <v>1104</v>
      </c>
      <c r="I3503" s="2">
        <v>35000</v>
      </c>
    </row>
    <row r="3504" spans="1:9" x14ac:dyDescent="0.3">
      <c r="A3504" s="5">
        <v>2928</v>
      </c>
      <c r="B3504" s="5" t="s">
        <v>5306</v>
      </c>
      <c r="C3504" s="5">
        <v>5</v>
      </c>
      <c r="D3504" s="5" t="s">
        <v>63</v>
      </c>
      <c r="E3504" t="s">
        <v>5307</v>
      </c>
      <c r="F3504" t="s">
        <v>5308</v>
      </c>
      <c r="G3504">
        <v>6</v>
      </c>
      <c r="H3504" t="s">
        <v>88</v>
      </c>
      <c r="I3504" s="2">
        <v>15000</v>
      </c>
    </row>
    <row r="3505" spans="1:9" x14ac:dyDescent="0.3">
      <c r="A3505" s="5">
        <v>2928</v>
      </c>
      <c r="B3505" s="5" t="s">
        <v>5306</v>
      </c>
      <c r="C3505" s="5">
        <v>5</v>
      </c>
      <c r="D3505" s="5" t="s">
        <v>63</v>
      </c>
      <c r="E3505" t="s">
        <v>5307</v>
      </c>
      <c r="F3505" t="s">
        <v>5308</v>
      </c>
      <c r="G3505">
        <v>6</v>
      </c>
      <c r="H3505" t="s">
        <v>67</v>
      </c>
      <c r="I3505" s="2">
        <v>4000</v>
      </c>
    </row>
    <row r="3506" spans="1:9" x14ac:dyDescent="0.3">
      <c r="A3506" s="5">
        <v>2832</v>
      </c>
      <c r="B3506" s="5" t="s">
        <v>5309</v>
      </c>
      <c r="C3506" s="5">
        <v>1</v>
      </c>
      <c r="D3506" s="5" t="s">
        <v>10</v>
      </c>
      <c r="E3506" t="s">
        <v>5310</v>
      </c>
      <c r="F3506" t="s">
        <v>5311</v>
      </c>
      <c r="G3506">
        <v>9</v>
      </c>
      <c r="H3506" t="s">
        <v>1042</v>
      </c>
      <c r="I3506" s="2">
        <v>3500</v>
      </c>
    </row>
    <row r="3507" spans="1:9" x14ac:dyDescent="0.3">
      <c r="A3507" s="5">
        <v>2832</v>
      </c>
      <c r="B3507" s="5" t="s">
        <v>5309</v>
      </c>
      <c r="C3507" s="5">
        <v>1</v>
      </c>
      <c r="D3507" s="5" t="s">
        <v>10</v>
      </c>
      <c r="E3507" t="s">
        <v>5310</v>
      </c>
      <c r="F3507" t="s">
        <v>5311</v>
      </c>
      <c r="G3507">
        <v>9</v>
      </c>
      <c r="H3507" t="s">
        <v>37</v>
      </c>
      <c r="I3507" s="2">
        <v>3500</v>
      </c>
    </row>
    <row r="3508" spans="1:9" x14ac:dyDescent="0.3">
      <c r="A3508" s="5">
        <v>2700</v>
      </c>
      <c r="B3508" s="5" t="s">
        <v>5312</v>
      </c>
      <c r="C3508" s="5">
        <v>1</v>
      </c>
      <c r="D3508" s="5" t="s">
        <v>10</v>
      </c>
      <c r="E3508" t="s">
        <v>5313</v>
      </c>
      <c r="F3508" t="s">
        <v>5314</v>
      </c>
      <c r="G3508">
        <v>8</v>
      </c>
      <c r="H3508" t="s">
        <v>5315</v>
      </c>
      <c r="I3508" s="2">
        <v>15000</v>
      </c>
    </row>
    <row r="3509" spans="1:9" x14ac:dyDescent="0.3">
      <c r="A3509" s="5">
        <v>2700</v>
      </c>
      <c r="B3509" s="5" t="s">
        <v>5312</v>
      </c>
      <c r="C3509" s="5">
        <v>1</v>
      </c>
      <c r="D3509" s="5" t="s">
        <v>10</v>
      </c>
      <c r="E3509" t="s">
        <v>5313</v>
      </c>
      <c r="F3509" t="s">
        <v>5314</v>
      </c>
      <c r="G3509">
        <v>8</v>
      </c>
      <c r="H3509" t="s">
        <v>139</v>
      </c>
      <c r="I3509" s="2">
        <v>7000</v>
      </c>
    </row>
    <row r="3510" spans="1:9" x14ac:dyDescent="0.3">
      <c r="A3510" s="5">
        <v>2700</v>
      </c>
      <c r="B3510" s="5" t="s">
        <v>5312</v>
      </c>
      <c r="C3510" s="5">
        <v>1</v>
      </c>
      <c r="D3510" s="5" t="s">
        <v>10</v>
      </c>
      <c r="E3510" t="s">
        <v>5313</v>
      </c>
      <c r="F3510" t="s">
        <v>5314</v>
      </c>
      <c r="G3510">
        <v>8</v>
      </c>
      <c r="H3510" t="s">
        <v>180</v>
      </c>
      <c r="I3510" s="2">
        <v>18000</v>
      </c>
    </row>
    <row r="3511" spans="1:9" x14ac:dyDescent="0.3">
      <c r="A3511" s="5">
        <v>2699</v>
      </c>
      <c r="B3511" s="5" t="s">
        <v>5316</v>
      </c>
      <c r="C3511" s="5">
        <v>13</v>
      </c>
      <c r="D3511" s="5" t="s">
        <v>27</v>
      </c>
      <c r="E3511" t="s">
        <v>5317</v>
      </c>
      <c r="F3511" t="s">
        <v>5318</v>
      </c>
      <c r="G3511">
        <v>9</v>
      </c>
      <c r="H3511" t="s">
        <v>5319</v>
      </c>
      <c r="I3511" s="2">
        <v>5000</v>
      </c>
    </row>
    <row r="3512" spans="1:9" x14ac:dyDescent="0.3">
      <c r="A3512" s="5">
        <v>2699</v>
      </c>
      <c r="B3512" s="5" t="s">
        <v>5316</v>
      </c>
      <c r="C3512" s="5">
        <v>13</v>
      </c>
      <c r="D3512" s="5" t="s">
        <v>27</v>
      </c>
      <c r="E3512" t="s">
        <v>5317</v>
      </c>
      <c r="F3512" t="s">
        <v>5318</v>
      </c>
      <c r="G3512">
        <v>9</v>
      </c>
      <c r="H3512" t="s">
        <v>424</v>
      </c>
      <c r="I3512" s="2">
        <v>14000</v>
      </c>
    </row>
    <row r="3513" spans="1:9" x14ac:dyDescent="0.3">
      <c r="A3513" s="5">
        <v>2699</v>
      </c>
      <c r="B3513" s="5" t="s">
        <v>5316</v>
      </c>
      <c r="C3513" s="5">
        <v>13</v>
      </c>
      <c r="D3513" s="5" t="s">
        <v>27</v>
      </c>
      <c r="E3513" t="s">
        <v>5317</v>
      </c>
      <c r="F3513" t="s">
        <v>5318</v>
      </c>
      <c r="G3513">
        <v>9</v>
      </c>
      <c r="H3513" t="s">
        <v>1665</v>
      </c>
      <c r="I3513" s="2">
        <v>600</v>
      </c>
    </row>
    <row r="3514" spans="1:9" x14ac:dyDescent="0.3">
      <c r="A3514" s="5">
        <v>2409</v>
      </c>
      <c r="B3514" s="5" t="s">
        <v>5320</v>
      </c>
      <c r="C3514" s="5">
        <v>5</v>
      </c>
      <c r="D3514" s="5" t="s">
        <v>63</v>
      </c>
      <c r="E3514" t="s">
        <v>5321</v>
      </c>
      <c r="F3514" t="s">
        <v>5322</v>
      </c>
      <c r="G3514">
        <v>58</v>
      </c>
      <c r="H3514" t="s">
        <v>88</v>
      </c>
      <c r="I3514" s="2">
        <v>20000</v>
      </c>
    </row>
    <row r="3515" spans="1:9" x14ac:dyDescent="0.3">
      <c r="A3515" s="5">
        <v>2409</v>
      </c>
      <c r="B3515" s="5" t="s">
        <v>5320</v>
      </c>
      <c r="C3515" s="5">
        <v>5</v>
      </c>
      <c r="D3515" s="5" t="s">
        <v>63</v>
      </c>
      <c r="E3515" t="s">
        <v>5321</v>
      </c>
      <c r="F3515" t="s">
        <v>5322</v>
      </c>
      <c r="G3515">
        <v>58</v>
      </c>
      <c r="H3515" t="s">
        <v>673</v>
      </c>
      <c r="I3515" s="2">
        <v>6000</v>
      </c>
    </row>
    <row r="3516" spans="1:9" x14ac:dyDescent="0.3">
      <c r="A3516" s="5">
        <v>2322</v>
      </c>
      <c r="B3516" s="5" t="s">
        <v>2367</v>
      </c>
      <c r="C3516" s="5">
        <v>2</v>
      </c>
      <c r="D3516" s="5" t="s">
        <v>261</v>
      </c>
      <c r="E3516" t="s">
        <v>5323</v>
      </c>
      <c r="F3516" t="s">
        <v>5324</v>
      </c>
      <c r="G3516">
        <v>6</v>
      </c>
      <c r="H3516" t="s">
        <v>642</v>
      </c>
      <c r="I3516" s="2">
        <v>5000</v>
      </c>
    </row>
    <row r="3517" spans="1:9" x14ac:dyDescent="0.3">
      <c r="A3517" s="5">
        <v>2322</v>
      </c>
      <c r="B3517" s="5" t="s">
        <v>2367</v>
      </c>
      <c r="C3517" s="5">
        <v>2</v>
      </c>
      <c r="D3517" s="5" t="s">
        <v>261</v>
      </c>
      <c r="E3517" t="s">
        <v>5323</v>
      </c>
      <c r="F3517" t="s">
        <v>5324</v>
      </c>
      <c r="G3517">
        <v>6</v>
      </c>
      <c r="H3517" t="s">
        <v>265</v>
      </c>
      <c r="I3517" s="2">
        <v>6000</v>
      </c>
    </row>
    <row r="3518" spans="1:9" x14ac:dyDescent="0.3">
      <c r="A3518" s="5">
        <v>2225</v>
      </c>
      <c r="B3518" s="5" t="s">
        <v>5325</v>
      </c>
      <c r="C3518" s="5">
        <v>3</v>
      </c>
      <c r="D3518" s="5" t="s">
        <v>44</v>
      </c>
      <c r="E3518" t="s">
        <v>5326</v>
      </c>
      <c r="F3518" t="s">
        <v>5327</v>
      </c>
      <c r="G3518">
        <v>9</v>
      </c>
      <c r="H3518" t="s">
        <v>4071</v>
      </c>
      <c r="I3518" s="2">
        <v>10000</v>
      </c>
    </row>
    <row r="3519" spans="1:9" x14ac:dyDescent="0.3">
      <c r="A3519" s="5">
        <v>2022</v>
      </c>
      <c r="B3519" s="5" t="s">
        <v>5328</v>
      </c>
      <c r="C3519" s="5">
        <v>1</v>
      </c>
      <c r="D3519" s="5" t="s">
        <v>10</v>
      </c>
      <c r="E3519" t="s">
        <v>5329</v>
      </c>
      <c r="F3519" t="s">
        <v>5330</v>
      </c>
      <c r="G3519">
        <v>9</v>
      </c>
      <c r="H3519" t="s">
        <v>4855</v>
      </c>
      <c r="I3519" s="2">
        <v>3500</v>
      </c>
    </row>
    <row r="3520" spans="1:9" x14ac:dyDescent="0.3">
      <c r="A3520" s="5">
        <v>2022</v>
      </c>
      <c r="B3520" s="5" t="s">
        <v>5328</v>
      </c>
      <c r="C3520" s="5">
        <v>1</v>
      </c>
      <c r="D3520" s="5" t="s">
        <v>10</v>
      </c>
      <c r="E3520" t="s">
        <v>5329</v>
      </c>
      <c r="F3520" t="s">
        <v>5330</v>
      </c>
      <c r="G3520">
        <v>9</v>
      </c>
      <c r="H3520" t="s">
        <v>5331</v>
      </c>
      <c r="I3520" s="2">
        <v>4700</v>
      </c>
    </row>
    <row r="3521" spans="1:9" x14ac:dyDescent="0.3">
      <c r="A3521" s="5">
        <v>1921</v>
      </c>
      <c r="B3521" s="5" t="s">
        <v>5332</v>
      </c>
      <c r="C3521" s="5">
        <v>5</v>
      </c>
      <c r="D3521" s="5" t="s">
        <v>63</v>
      </c>
      <c r="E3521" t="s">
        <v>5333</v>
      </c>
      <c r="F3521" t="s">
        <v>5334</v>
      </c>
      <c r="G3521">
        <v>6</v>
      </c>
      <c r="H3521" t="s">
        <v>67</v>
      </c>
      <c r="I3521" s="2">
        <v>8000</v>
      </c>
    </row>
    <row r="3522" spans="1:9" x14ac:dyDescent="0.3">
      <c r="A3522" s="5">
        <v>1921</v>
      </c>
      <c r="B3522" s="5" t="s">
        <v>5332</v>
      </c>
      <c r="C3522" s="5">
        <v>5</v>
      </c>
      <c r="D3522" s="5" t="s">
        <v>63</v>
      </c>
      <c r="E3522" t="s">
        <v>5333</v>
      </c>
      <c r="F3522" t="s">
        <v>5334</v>
      </c>
      <c r="G3522">
        <v>6</v>
      </c>
      <c r="H3522" t="s">
        <v>88</v>
      </c>
      <c r="I3522" s="2">
        <v>20000</v>
      </c>
    </row>
    <row r="3523" spans="1:9" x14ac:dyDescent="0.3">
      <c r="A3523" s="5">
        <v>1739</v>
      </c>
      <c r="B3523" s="5" t="s">
        <v>5335</v>
      </c>
      <c r="C3523" s="5">
        <v>1</v>
      </c>
      <c r="D3523" s="5" t="s">
        <v>10</v>
      </c>
      <c r="E3523" t="s">
        <v>5336</v>
      </c>
      <c r="F3523" t="s">
        <v>5337</v>
      </c>
      <c r="G3523">
        <v>257</v>
      </c>
      <c r="H3523" t="s">
        <v>1761</v>
      </c>
      <c r="I3523" s="2">
        <v>12000</v>
      </c>
    </row>
    <row r="3524" spans="1:9" x14ac:dyDescent="0.3">
      <c r="A3524" s="5">
        <v>1739</v>
      </c>
      <c r="B3524" s="5" t="s">
        <v>5335</v>
      </c>
      <c r="C3524" s="5">
        <v>1</v>
      </c>
      <c r="D3524" s="5" t="s">
        <v>10</v>
      </c>
      <c r="E3524" t="s">
        <v>5336</v>
      </c>
      <c r="F3524" t="s">
        <v>5337</v>
      </c>
      <c r="G3524">
        <v>257</v>
      </c>
      <c r="H3524" t="s">
        <v>4010</v>
      </c>
      <c r="I3524" s="2">
        <v>5000</v>
      </c>
    </row>
    <row r="3525" spans="1:9" x14ac:dyDescent="0.3">
      <c r="A3525" s="5">
        <v>1739</v>
      </c>
      <c r="B3525" s="5" t="s">
        <v>5335</v>
      </c>
      <c r="C3525" s="5">
        <v>1</v>
      </c>
      <c r="D3525" s="5" t="s">
        <v>10</v>
      </c>
      <c r="E3525" t="s">
        <v>5336</v>
      </c>
      <c r="F3525" t="s">
        <v>5337</v>
      </c>
      <c r="G3525">
        <v>257</v>
      </c>
      <c r="H3525" t="s">
        <v>5338</v>
      </c>
      <c r="I3525" s="2">
        <v>8000</v>
      </c>
    </row>
    <row r="3526" spans="1:9" x14ac:dyDescent="0.3">
      <c r="A3526" s="5">
        <v>1739</v>
      </c>
      <c r="B3526" s="5" t="s">
        <v>5335</v>
      </c>
      <c r="C3526" s="5">
        <v>1</v>
      </c>
      <c r="D3526" s="5" t="s">
        <v>10</v>
      </c>
      <c r="E3526" t="s">
        <v>5336</v>
      </c>
      <c r="F3526" t="s">
        <v>5337</v>
      </c>
      <c r="G3526">
        <v>257</v>
      </c>
      <c r="H3526" t="s">
        <v>217</v>
      </c>
      <c r="I3526" s="2">
        <v>13000</v>
      </c>
    </row>
    <row r="3527" spans="1:9" x14ac:dyDescent="0.3">
      <c r="A3527" s="5">
        <v>1476</v>
      </c>
      <c r="B3527" s="5" t="s">
        <v>5339</v>
      </c>
      <c r="C3527" s="5">
        <v>4</v>
      </c>
      <c r="D3527" s="5" t="s">
        <v>39</v>
      </c>
      <c r="E3527" t="s">
        <v>5340</v>
      </c>
      <c r="F3527" t="s">
        <v>5341</v>
      </c>
      <c r="G3527">
        <v>6</v>
      </c>
      <c r="H3527" t="s">
        <v>5342</v>
      </c>
      <c r="I3527" s="2">
        <v>15900</v>
      </c>
    </row>
    <row r="3528" spans="1:9" x14ac:dyDescent="0.3">
      <c r="A3528" s="5">
        <v>1476</v>
      </c>
      <c r="B3528" s="5" t="s">
        <v>5339</v>
      </c>
      <c r="C3528" s="5">
        <v>4</v>
      </c>
      <c r="D3528" s="5" t="s">
        <v>39</v>
      </c>
      <c r="E3528" t="s">
        <v>5340</v>
      </c>
      <c r="F3528" t="s">
        <v>5341</v>
      </c>
      <c r="G3528">
        <v>6</v>
      </c>
      <c r="H3528" t="s">
        <v>5343</v>
      </c>
      <c r="I3528" s="2">
        <v>13900</v>
      </c>
    </row>
    <row r="3529" spans="1:9" x14ac:dyDescent="0.3">
      <c r="A3529" s="5">
        <v>1460</v>
      </c>
      <c r="B3529" s="5" t="s">
        <v>5344</v>
      </c>
      <c r="C3529" s="5">
        <v>1</v>
      </c>
      <c r="D3529" s="5" t="s">
        <v>10</v>
      </c>
      <c r="E3529" t="s">
        <v>5345</v>
      </c>
      <c r="F3529" t="s">
        <v>5346</v>
      </c>
      <c r="G3529">
        <v>56</v>
      </c>
      <c r="H3529" t="s">
        <v>2016</v>
      </c>
      <c r="I3529" s="2">
        <v>6000</v>
      </c>
    </row>
    <row r="3530" spans="1:9" x14ac:dyDescent="0.3">
      <c r="A3530" s="5">
        <v>1460</v>
      </c>
      <c r="B3530" s="5" t="s">
        <v>5344</v>
      </c>
      <c r="C3530" s="5">
        <v>1</v>
      </c>
      <c r="D3530" s="5" t="s">
        <v>10</v>
      </c>
      <c r="E3530" t="s">
        <v>5345</v>
      </c>
      <c r="F3530" t="s">
        <v>5346</v>
      </c>
      <c r="G3530">
        <v>56</v>
      </c>
      <c r="H3530" t="s">
        <v>5347</v>
      </c>
      <c r="I3530" s="2">
        <v>5000</v>
      </c>
    </row>
    <row r="3531" spans="1:9" x14ac:dyDescent="0.3">
      <c r="A3531" s="5">
        <v>1447</v>
      </c>
      <c r="B3531" s="5" t="s">
        <v>4127</v>
      </c>
      <c r="C3531" s="5">
        <v>5</v>
      </c>
      <c r="D3531" s="5" t="s">
        <v>63</v>
      </c>
      <c r="E3531" t="s">
        <v>5348</v>
      </c>
      <c r="F3531" t="s">
        <v>5349</v>
      </c>
      <c r="G3531">
        <v>9</v>
      </c>
      <c r="H3531" t="s">
        <v>1104</v>
      </c>
      <c r="I3531" s="2">
        <v>25000</v>
      </c>
    </row>
    <row r="3532" spans="1:9" x14ac:dyDescent="0.3">
      <c r="A3532" s="5">
        <v>1447</v>
      </c>
      <c r="B3532" s="5" t="s">
        <v>4127</v>
      </c>
      <c r="C3532" s="5">
        <v>5</v>
      </c>
      <c r="D3532" s="5" t="s">
        <v>63</v>
      </c>
      <c r="E3532" t="s">
        <v>5348</v>
      </c>
      <c r="F3532" t="s">
        <v>5349</v>
      </c>
      <c r="G3532">
        <v>9</v>
      </c>
      <c r="H3532" t="s">
        <v>1105</v>
      </c>
      <c r="I3532" s="2">
        <v>10000</v>
      </c>
    </row>
    <row r="3533" spans="1:9" x14ac:dyDescent="0.3">
      <c r="A3533" s="5">
        <v>1299</v>
      </c>
      <c r="B3533" s="5" t="s">
        <v>5350</v>
      </c>
      <c r="C3533" s="5">
        <v>5</v>
      </c>
      <c r="D3533" s="5" t="s">
        <v>63</v>
      </c>
      <c r="E3533" t="s">
        <v>5351</v>
      </c>
      <c r="F3533" t="s">
        <v>5352</v>
      </c>
      <c r="G3533">
        <v>63</v>
      </c>
      <c r="H3533" t="s">
        <v>1104</v>
      </c>
      <c r="I3533" s="2">
        <v>15000</v>
      </c>
    </row>
    <row r="3534" spans="1:9" x14ac:dyDescent="0.3">
      <c r="A3534" s="5">
        <v>1299</v>
      </c>
      <c r="B3534" s="5" t="s">
        <v>5350</v>
      </c>
      <c r="C3534" s="5">
        <v>5</v>
      </c>
      <c r="D3534" s="5" t="s">
        <v>63</v>
      </c>
      <c r="E3534" t="s">
        <v>5351</v>
      </c>
      <c r="F3534" t="s">
        <v>5352</v>
      </c>
      <c r="G3534">
        <v>63</v>
      </c>
      <c r="H3534" t="s">
        <v>1105</v>
      </c>
      <c r="I3534" s="2">
        <v>5000</v>
      </c>
    </row>
    <row r="3535" spans="1:9" x14ac:dyDescent="0.3">
      <c r="A3535" s="5">
        <v>1264</v>
      </c>
      <c r="B3535" s="5" t="s">
        <v>5353</v>
      </c>
      <c r="C3535" s="5">
        <v>13</v>
      </c>
      <c r="D3535" s="5" t="s">
        <v>27</v>
      </c>
      <c r="E3535" t="s">
        <v>5354</v>
      </c>
      <c r="F3535" t="s">
        <v>5355</v>
      </c>
      <c r="G3535">
        <v>62</v>
      </c>
      <c r="H3535" t="s">
        <v>5040</v>
      </c>
      <c r="I3535" s="2">
        <v>7000</v>
      </c>
    </row>
    <row r="3536" spans="1:9" x14ac:dyDescent="0.3">
      <c r="A3536" s="5">
        <v>1264</v>
      </c>
      <c r="B3536" s="5" t="s">
        <v>5353</v>
      </c>
      <c r="C3536" s="5">
        <v>13</v>
      </c>
      <c r="D3536" s="5" t="s">
        <v>27</v>
      </c>
      <c r="E3536" t="s">
        <v>5354</v>
      </c>
      <c r="F3536" t="s">
        <v>5355</v>
      </c>
      <c r="G3536">
        <v>62</v>
      </c>
      <c r="H3536" t="s">
        <v>633</v>
      </c>
      <c r="I3536" s="2">
        <v>12000</v>
      </c>
    </row>
    <row r="3537" spans="1:9" x14ac:dyDescent="0.3">
      <c r="A3537" s="5">
        <v>1163</v>
      </c>
      <c r="B3537" s="5" t="s">
        <v>5356</v>
      </c>
      <c r="C3537" s="5">
        <v>7</v>
      </c>
      <c r="D3537" s="5" t="s">
        <v>360</v>
      </c>
      <c r="E3537" t="s">
        <v>5357</v>
      </c>
      <c r="F3537" t="s">
        <v>5358</v>
      </c>
      <c r="G3537">
        <v>6</v>
      </c>
      <c r="H3537" t="s">
        <v>4996</v>
      </c>
      <c r="I3537" s="2">
        <v>4000</v>
      </c>
    </row>
    <row r="3538" spans="1:9" x14ac:dyDescent="0.3">
      <c r="A3538" s="5">
        <v>1163</v>
      </c>
      <c r="B3538" s="5" t="s">
        <v>5356</v>
      </c>
      <c r="C3538" s="5">
        <v>7</v>
      </c>
      <c r="D3538" s="5" t="s">
        <v>360</v>
      </c>
      <c r="E3538" t="s">
        <v>5357</v>
      </c>
      <c r="F3538" t="s">
        <v>5358</v>
      </c>
      <c r="G3538">
        <v>6</v>
      </c>
      <c r="H3538" t="s">
        <v>446</v>
      </c>
      <c r="I3538" s="2">
        <v>6000</v>
      </c>
    </row>
    <row r="3539" spans="1:9" x14ac:dyDescent="0.3">
      <c r="A3539" s="5">
        <v>1145</v>
      </c>
      <c r="B3539" s="5" t="s">
        <v>5359</v>
      </c>
      <c r="C3539" s="5">
        <v>1</v>
      </c>
      <c r="D3539" s="5" t="s">
        <v>10</v>
      </c>
      <c r="E3539" t="s">
        <v>5360</v>
      </c>
      <c r="F3539" t="s">
        <v>5361</v>
      </c>
      <c r="G3539">
        <v>8</v>
      </c>
      <c r="H3539" t="s">
        <v>5362</v>
      </c>
      <c r="I3539" s="2">
        <v>7000</v>
      </c>
    </row>
    <row r="3540" spans="1:9" x14ac:dyDescent="0.3">
      <c r="A3540" s="5">
        <v>1113</v>
      </c>
      <c r="B3540" s="5" t="s">
        <v>5122</v>
      </c>
      <c r="C3540" s="5">
        <v>1</v>
      </c>
      <c r="D3540" s="5" t="s">
        <v>10</v>
      </c>
      <c r="E3540" t="s">
        <v>5363</v>
      </c>
      <c r="F3540" t="s">
        <v>5364</v>
      </c>
      <c r="G3540">
        <v>60</v>
      </c>
      <c r="H3540" t="s">
        <v>1042</v>
      </c>
      <c r="I3540" s="2">
        <v>4500</v>
      </c>
    </row>
    <row r="3541" spans="1:9" x14ac:dyDescent="0.3">
      <c r="A3541" s="5">
        <v>879</v>
      </c>
      <c r="B3541" s="5" t="s">
        <v>5365</v>
      </c>
      <c r="C3541" s="5">
        <v>3</v>
      </c>
      <c r="D3541" s="5" t="s">
        <v>44</v>
      </c>
      <c r="E3541" t="s">
        <v>5366</v>
      </c>
      <c r="F3541" t="s">
        <v>5367</v>
      </c>
      <c r="G3541">
        <v>7</v>
      </c>
      <c r="H3541" t="s">
        <v>5368</v>
      </c>
      <c r="I3541" s="2">
        <v>8000</v>
      </c>
    </row>
    <row r="3542" spans="1:9" x14ac:dyDescent="0.3">
      <c r="A3542" s="5">
        <v>879</v>
      </c>
      <c r="B3542" s="5" t="s">
        <v>5365</v>
      </c>
      <c r="C3542" s="5">
        <v>3</v>
      </c>
      <c r="D3542" s="5" t="s">
        <v>44</v>
      </c>
      <c r="E3542" t="s">
        <v>5366</v>
      </c>
      <c r="F3542" t="s">
        <v>5367</v>
      </c>
      <c r="G3542">
        <v>7</v>
      </c>
      <c r="H3542" t="s">
        <v>794</v>
      </c>
      <c r="I3542" s="2">
        <v>9000</v>
      </c>
    </row>
    <row r="3543" spans="1:9" x14ac:dyDescent="0.3">
      <c r="A3543" s="5">
        <v>784</v>
      </c>
      <c r="B3543" s="5" t="s">
        <v>5369</v>
      </c>
      <c r="C3543" s="5">
        <v>5</v>
      </c>
      <c r="D3543" s="5" t="s">
        <v>63</v>
      </c>
      <c r="E3543" t="s">
        <v>5370</v>
      </c>
      <c r="F3543" t="s">
        <v>5371</v>
      </c>
      <c r="G3543">
        <v>111</v>
      </c>
      <c r="H3543" t="s">
        <v>1104</v>
      </c>
      <c r="I3543" s="2">
        <v>30000</v>
      </c>
    </row>
    <row r="3544" spans="1:9" x14ac:dyDescent="0.3">
      <c r="A3544" s="5">
        <v>784</v>
      </c>
      <c r="B3544" s="5" t="s">
        <v>5369</v>
      </c>
      <c r="C3544" s="5">
        <v>5</v>
      </c>
      <c r="D3544" s="5" t="s">
        <v>63</v>
      </c>
      <c r="E3544" t="s">
        <v>5370</v>
      </c>
      <c r="F3544" t="s">
        <v>5371</v>
      </c>
      <c r="G3544">
        <v>111</v>
      </c>
      <c r="H3544" t="s">
        <v>67</v>
      </c>
      <c r="I3544" s="2">
        <v>10000</v>
      </c>
    </row>
    <row r="3545" spans="1:9" x14ac:dyDescent="0.3">
      <c r="A3545" s="5">
        <v>736</v>
      </c>
      <c r="B3545" s="5" t="s">
        <v>5372</v>
      </c>
      <c r="C3545" s="5">
        <v>1</v>
      </c>
      <c r="D3545" s="5" t="s">
        <v>10</v>
      </c>
      <c r="E3545" t="s">
        <v>5373</v>
      </c>
      <c r="F3545" t="s">
        <v>5374</v>
      </c>
      <c r="G3545">
        <v>56</v>
      </c>
      <c r="H3545" t="s">
        <v>5375</v>
      </c>
      <c r="I3545" s="2">
        <v>12000</v>
      </c>
    </row>
    <row r="3546" spans="1:9" x14ac:dyDescent="0.3">
      <c r="A3546" s="5">
        <v>736</v>
      </c>
      <c r="B3546" s="5" t="s">
        <v>5372</v>
      </c>
      <c r="C3546" s="5">
        <v>1</v>
      </c>
      <c r="D3546" s="5" t="s">
        <v>10</v>
      </c>
      <c r="E3546" t="s">
        <v>5373</v>
      </c>
      <c r="F3546" t="s">
        <v>5374</v>
      </c>
      <c r="G3546">
        <v>56</v>
      </c>
      <c r="H3546" t="s">
        <v>188</v>
      </c>
      <c r="I3546" s="2">
        <v>6000</v>
      </c>
    </row>
    <row r="3547" spans="1:9" x14ac:dyDescent="0.3">
      <c r="A3547" s="5">
        <v>443</v>
      </c>
      <c r="B3547" s="5" t="s">
        <v>5376</v>
      </c>
      <c r="C3547" s="5">
        <v>3</v>
      </c>
      <c r="D3547" s="5" t="s">
        <v>44</v>
      </c>
      <c r="E3547" t="s">
        <v>5377</v>
      </c>
      <c r="F3547" t="s">
        <v>5378</v>
      </c>
      <c r="G3547">
        <v>6</v>
      </c>
      <c r="H3547" t="s">
        <v>5379</v>
      </c>
      <c r="I3547" s="2">
        <v>10000</v>
      </c>
    </row>
    <row r="3548" spans="1:9" x14ac:dyDescent="0.3">
      <c r="A3548" s="5">
        <v>443</v>
      </c>
      <c r="B3548" s="5" t="s">
        <v>5376</v>
      </c>
      <c r="C3548" s="5">
        <v>3</v>
      </c>
      <c r="D3548" s="5" t="s">
        <v>44</v>
      </c>
      <c r="E3548" t="s">
        <v>5377</v>
      </c>
      <c r="F3548" t="s">
        <v>5378</v>
      </c>
      <c r="G3548">
        <v>6</v>
      </c>
      <c r="H3548" t="s">
        <v>2016</v>
      </c>
      <c r="I3548" s="2">
        <v>10000</v>
      </c>
    </row>
    <row r="3549" spans="1:9" x14ac:dyDescent="0.3">
      <c r="A3549" s="5">
        <v>272</v>
      </c>
      <c r="B3549" s="5" t="s">
        <v>5380</v>
      </c>
      <c r="C3549" s="5">
        <v>13</v>
      </c>
      <c r="D3549" s="5" t="s">
        <v>27</v>
      </c>
      <c r="E3549" t="s">
        <v>5381</v>
      </c>
      <c r="F3549" t="s">
        <v>5382</v>
      </c>
      <c r="G3549">
        <v>7</v>
      </c>
      <c r="H3549" t="s">
        <v>5383</v>
      </c>
      <c r="I3549" s="2">
        <v>15000</v>
      </c>
    </row>
    <row r="3550" spans="1:9" x14ac:dyDescent="0.3">
      <c r="A3550" s="5">
        <v>272</v>
      </c>
      <c r="B3550" s="5" t="s">
        <v>5380</v>
      </c>
      <c r="C3550" s="5">
        <v>13</v>
      </c>
      <c r="D3550" s="5" t="s">
        <v>27</v>
      </c>
      <c r="E3550" t="s">
        <v>5381</v>
      </c>
      <c r="F3550" t="s">
        <v>5382</v>
      </c>
      <c r="G3550">
        <v>7</v>
      </c>
      <c r="H3550" t="s">
        <v>5384</v>
      </c>
      <c r="I3550" s="2">
        <v>15000</v>
      </c>
    </row>
    <row r="3551" spans="1:9" x14ac:dyDescent="0.3">
      <c r="A3551" s="5">
        <v>272</v>
      </c>
      <c r="B3551" s="5" t="s">
        <v>5380</v>
      </c>
      <c r="C3551" s="5">
        <v>13</v>
      </c>
      <c r="D3551" s="5" t="s">
        <v>27</v>
      </c>
      <c r="E3551" t="s">
        <v>5381</v>
      </c>
      <c r="F3551" t="s">
        <v>5382</v>
      </c>
      <c r="G3551">
        <v>7</v>
      </c>
      <c r="H3551" t="s">
        <v>5385</v>
      </c>
      <c r="I3551" s="2">
        <v>15000</v>
      </c>
    </row>
    <row r="3552" spans="1:9" x14ac:dyDescent="0.3">
      <c r="A3552" s="5">
        <v>263</v>
      </c>
      <c r="B3552" s="5" t="s">
        <v>5386</v>
      </c>
      <c r="C3552" s="5">
        <v>5</v>
      </c>
      <c r="D3552" s="5" t="s">
        <v>63</v>
      </c>
      <c r="E3552" t="s">
        <v>5387</v>
      </c>
      <c r="G3552">
        <v>137</v>
      </c>
      <c r="H3552" t="s">
        <v>67</v>
      </c>
      <c r="I3552" s="2">
        <v>10000</v>
      </c>
    </row>
    <row r="3553" spans="1:9" x14ac:dyDescent="0.3">
      <c r="A3553" s="5">
        <v>263</v>
      </c>
      <c r="B3553" s="5" t="s">
        <v>5386</v>
      </c>
      <c r="C3553" s="5">
        <v>5</v>
      </c>
      <c r="D3553" s="5" t="s">
        <v>63</v>
      </c>
      <c r="E3553" t="s">
        <v>5387</v>
      </c>
      <c r="G3553">
        <v>137</v>
      </c>
      <c r="H3553" t="s">
        <v>1104</v>
      </c>
      <c r="I3553" s="2">
        <v>15000</v>
      </c>
    </row>
  </sheetData>
  <autoFilter ref="A1:I3553" xr:uid="{99014895-66A3-476B-ACE0-085E6B1C4EFF}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:G1428"/>
  <sheetViews>
    <sheetView workbookViewId="0">
      <pane ySplit="1" topLeftCell="A2" activePane="bottomLeft" state="frozen"/>
      <selection pane="bottomLeft" activeCell="O25" sqref="O25"/>
    </sheetView>
  </sheetViews>
  <sheetFormatPr defaultRowHeight="16.5" x14ac:dyDescent="0.3"/>
  <cols>
    <col min="1" max="1" width="19.625" customWidth="1"/>
    <col min="4" max="4" width="27.25" customWidth="1"/>
    <col min="5" max="5" width="20.375" customWidth="1"/>
  </cols>
  <sheetData>
    <row r="1" spans="1:7" x14ac:dyDescent="0.3">
      <c r="A1" t="s">
        <v>5493</v>
      </c>
      <c r="D1" s="1" t="s">
        <v>1</v>
      </c>
      <c r="E1" s="3" t="s">
        <v>7</v>
      </c>
      <c r="F1" t="s">
        <v>5409</v>
      </c>
      <c r="G1" t="s">
        <v>5410</v>
      </c>
    </row>
    <row r="2" spans="1:7" x14ac:dyDescent="0.3">
      <c r="A2" s="6" t="s">
        <v>5486</v>
      </c>
      <c r="D2" t="s">
        <v>4434</v>
      </c>
      <c r="E2" t="s">
        <v>5388</v>
      </c>
      <c r="F2">
        <v>2020</v>
      </c>
      <c r="G2">
        <v>1</v>
      </c>
    </row>
    <row r="3" spans="1:7" x14ac:dyDescent="0.3">
      <c r="A3" s="6" t="s">
        <v>5487</v>
      </c>
      <c r="D3" t="s">
        <v>536</v>
      </c>
      <c r="E3" t="s">
        <v>139</v>
      </c>
      <c r="F3">
        <v>2021</v>
      </c>
      <c r="G3">
        <v>2</v>
      </c>
    </row>
    <row r="4" spans="1:7" x14ac:dyDescent="0.3">
      <c r="A4" s="6" t="s">
        <v>5488</v>
      </c>
      <c r="D4" t="s">
        <v>2293</v>
      </c>
      <c r="E4" t="s">
        <v>5389</v>
      </c>
      <c r="F4">
        <v>2022</v>
      </c>
      <c r="G4">
        <v>3</v>
      </c>
    </row>
    <row r="5" spans="1:7" x14ac:dyDescent="0.3">
      <c r="A5" s="6" t="s">
        <v>5489</v>
      </c>
      <c r="D5" t="s">
        <v>3249</v>
      </c>
      <c r="E5" t="s">
        <v>1086</v>
      </c>
      <c r="F5">
        <v>2023</v>
      </c>
      <c r="G5">
        <v>4</v>
      </c>
    </row>
    <row r="6" spans="1:7" x14ac:dyDescent="0.3">
      <c r="A6" s="6" t="s">
        <v>5490</v>
      </c>
      <c r="D6" t="s">
        <v>4642</v>
      </c>
      <c r="E6" t="s">
        <v>581</v>
      </c>
      <c r="F6">
        <v>2024</v>
      </c>
      <c r="G6">
        <v>5</v>
      </c>
    </row>
    <row r="7" spans="1:7" x14ac:dyDescent="0.3">
      <c r="A7" s="6" t="s">
        <v>5491</v>
      </c>
      <c r="D7" t="s">
        <v>4395</v>
      </c>
      <c r="E7" t="s">
        <v>1104</v>
      </c>
      <c r="F7">
        <v>2025</v>
      </c>
      <c r="G7">
        <v>6</v>
      </c>
    </row>
    <row r="8" spans="1:7" x14ac:dyDescent="0.3">
      <c r="A8" s="6" t="s">
        <v>5492</v>
      </c>
      <c r="D8" t="s">
        <v>923</v>
      </c>
      <c r="E8" t="s">
        <v>5390</v>
      </c>
      <c r="F8">
        <v>2026</v>
      </c>
      <c r="G8">
        <v>7</v>
      </c>
    </row>
    <row r="9" spans="1:7" x14ac:dyDescent="0.3">
      <c r="D9" t="s">
        <v>2478</v>
      </c>
      <c r="E9" t="s">
        <v>264</v>
      </c>
      <c r="F9">
        <v>2027</v>
      </c>
      <c r="G9">
        <v>8</v>
      </c>
    </row>
    <row r="10" spans="1:7" x14ac:dyDescent="0.3">
      <c r="D10" t="s">
        <v>3938</v>
      </c>
      <c r="E10" t="s">
        <v>149</v>
      </c>
      <c r="F10">
        <v>2028</v>
      </c>
      <c r="G10">
        <v>9</v>
      </c>
    </row>
    <row r="11" spans="1:7" x14ac:dyDescent="0.3">
      <c r="D11" t="s">
        <v>3354</v>
      </c>
      <c r="E11" t="s">
        <v>1697</v>
      </c>
      <c r="F11">
        <v>2029</v>
      </c>
      <c r="G11">
        <v>10</v>
      </c>
    </row>
    <row r="12" spans="1:7" x14ac:dyDescent="0.3">
      <c r="D12" t="s">
        <v>3742</v>
      </c>
      <c r="E12" t="s">
        <v>2719</v>
      </c>
      <c r="F12">
        <v>2030</v>
      </c>
      <c r="G12">
        <v>11</v>
      </c>
    </row>
    <row r="13" spans="1:7" x14ac:dyDescent="0.3">
      <c r="D13" t="s">
        <v>2414</v>
      </c>
      <c r="E13" t="s">
        <v>2836</v>
      </c>
      <c r="G13">
        <v>12</v>
      </c>
    </row>
    <row r="14" spans="1:7" x14ac:dyDescent="0.3">
      <c r="D14" t="s">
        <v>5022</v>
      </c>
      <c r="E14" t="s">
        <v>1696</v>
      </c>
    </row>
    <row r="15" spans="1:7" x14ac:dyDescent="0.3">
      <c r="D15" t="s">
        <v>3151</v>
      </c>
      <c r="E15" t="s">
        <v>2837</v>
      </c>
    </row>
    <row r="16" spans="1:7" x14ac:dyDescent="0.3">
      <c r="D16" t="s">
        <v>1700</v>
      </c>
      <c r="E16" t="s">
        <v>2324</v>
      </c>
    </row>
    <row r="17" spans="4:5" x14ac:dyDescent="0.3">
      <c r="D17" t="s">
        <v>5079</v>
      </c>
      <c r="E17" t="s">
        <v>2325</v>
      </c>
    </row>
    <row r="18" spans="4:5" x14ac:dyDescent="0.3">
      <c r="D18" t="s">
        <v>2106</v>
      </c>
      <c r="E18" t="s">
        <v>855</v>
      </c>
    </row>
    <row r="19" spans="4:5" x14ac:dyDescent="0.3">
      <c r="D19" t="s">
        <v>3187</v>
      </c>
      <c r="E19" t="s">
        <v>3145</v>
      </c>
    </row>
    <row r="20" spans="4:5" x14ac:dyDescent="0.3">
      <c r="D20" t="s">
        <v>4791</v>
      </c>
      <c r="E20" t="s">
        <v>555</v>
      </c>
    </row>
    <row r="21" spans="4:5" x14ac:dyDescent="0.3">
      <c r="D21" t="s">
        <v>22</v>
      </c>
      <c r="E21" t="s">
        <v>554</v>
      </c>
    </row>
    <row r="22" spans="4:5" x14ac:dyDescent="0.3">
      <c r="D22" t="s">
        <v>4959</v>
      </c>
      <c r="E22" t="s">
        <v>1704</v>
      </c>
    </row>
    <row r="23" spans="4:5" x14ac:dyDescent="0.3">
      <c r="D23" t="s">
        <v>140</v>
      </c>
      <c r="E23" t="s">
        <v>3641</v>
      </c>
    </row>
    <row r="24" spans="4:5" x14ac:dyDescent="0.3">
      <c r="D24" t="s">
        <v>3638</v>
      </c>
      <c r="E24" t="s">
        <v>179</v>
      </c>
    </row>
    <row r="25" spans="4:5" x14ac:dyDescent="0.3">
      <c r="D25" t="s">
        <v>3495</v>
      </c>
      <c r="E25" t="s">
        <v>1627</v>
      </c>
    </row>
    <row r="26" spans="4:5" x14ac:dyDescent="0.3">
      <c r="D26" t="s">
        <v>2317</v>
      </c>
      <c r="E26" t="s">
        <v>4140</v>
      </c>
    </row>
    <row r="27" spans="4:5" x14ac:dyDescent="0.3">
      <c r="D27" t="s">
        <v>4482</v>
      </c>
      <c r="E27" t="s">
        <v>288</v>
      </c>
    </row>
    <row r="28" spans="4:5" x14ac:dyDescent="0.3">
      <c r="D28" t="s">
        <v>3441</v>
      </c>
      <c r="E28" t="s">
        <v>241</v>
      </c>
    </row>
    <row r="29" spans="4:5" x14ac:dyDescent="0.3">
      <c r="D29" t="s">
        <v>3212</v>
      </c>
      <c r="E29" t="s">
        <v>777</v>
      </c>
    </row>
    <row r="30" spans="4:5" x14ac:dyDescent="0.3">
      <c r="D30" t="s">
        <v>3542</v>
      </c>
      <c r="E30" t="s">
        <v>3144</v>
      </c>
    </row>
    <row r="31" spans="4:5" x14ac:dyDescent="0.3">
      <c r="D31" t="s">
        <v>4846</v>
      </c>
      <c r="E31" t="s">
        <v>939</v>
      </c>
    </row>
    <row r="32" spans="4:5" x14ac:dyDescent="0.3">
      <c r="D32" t="s">
        <v>2858</v>
      </c>
      <c r="E32" t="s">
        <v>1860</v>
      </c>
    </row>
    <row r="33" spans="4:5" x14ac:dyDescent="0.3">
      <c r="D33" t="s">
        <v>2251</v>
      </c>
      <c r="E33" t="s">
        <v>1560</v>
      </c>
    </row>
    <row r="34" spans="4:5" x14ac:dyDescent="0.3">
      <c r="D34" t="s">
        <v>2559</v>
      </c>
      <c r="E34" t="s">
        <v>383</v>
      </c>
    </row>
    <row r="35" spans="4:5" x14ac:dyDescent="0.3">
      <c r="D35" t="s">
        <v>5365</v>
      </c>
      <c r="E35" t="s">
        <v>5391</v>
      </c>
    </row>
    <row r="36" spans="4:5" x14ac:dyDescent="0.3">
      <c r="D36" t="s">
        <v>1533</v>
      </c>
      <c r="E36" t="s">
        <v>1543</v>
      </c>
    </row>
    <row r="37" spans="4:5" x14ac:dyDescent="0.3">
      <c r="D37" t="s">
        <v>3710</v>
      </c>
      <c r="E37" t="s">
        <v>2122</v>
      </c>
    </row>
    <row r="38" spans="4:5" x14ac:dyDescent="0.3">
      <c r="D38" t="s">
        <v>3488</v>
      </c>
      <c r="E38" t="s">
        <v>3102</v>
      </c>
    </row>
    <row r="39" spans="4:5" x14ac:dyDescent="0.3">
      <c r="D39" t="s">
        <v>1570</v>
      </c>
      <c r="E39" t="s">
        <v>4327</v>
      </c>
    </row>
    <row r="40" spans="4:5" x14ac:dyDescent="0.3">
      <c r="D40" t="s">
        <v>334</v>
      </c>
      <c r="E40" t="s">
        <v>899</v>
      </c>
    </row>
    <row r="41" spans="4:5" x14ac:dyDescent="0.3">
      <c r="D41" t="s">
        <v>3027</v>
      </c>
      <c r="E41" t="s">
        <v>189</v>
      </c>
    </row>
    <row r="42" spans="4:5" x14ac:dyDescent="0.3">
      <c r="D42" t="s">
        <v>4437</v>
      </c>
      <c r="E42" t="s">
        <v>3301</v>
      </c>
    </row>
    <row r="43" spans="4:5" x14ac:dyDescent="0.3">
      <c r="D43" t="s">
        <v>5369</v>
      </c>
      <c r="E43" t="s">
        <v>4028</v>
      </c>
    </row>
    <row r="44" spans="4:5" x14ac:dyDescent="0.3">
      <c r="D44" t="s">
        <v>886</v>
      </c>
      <c r="E44" t="s">
        <v>1268</v>
      </c>
    </row>
    <row r="45" spans="4:5" x14ac:dyDescent="0.3">
      <c r="D45" t="s">
        <v>4479</v>
      </c>
      <c r="E45" t="s">
        <v>214</v>
      </c>
    </row>
    <row r="46" spans="4:5" x14ac:dyDescent="0.3">
      <c r="D46" t="s">
        <v>4092</v>
      </c>
      <c r="E46" t="s">
        <v>3814</v>
      </c>
    </row>
    <row r="47" spans="4:5" x14ac:dyDescent="0.3">
      <c r="D47" t="s">
        <v>4738</v>
      </c>
      <c r="E47" t="s">
        <v>3815</v>
      </c>
    </row>
    <row r="48" spans="4:5" x14ac:dyDescent="0.3">
      <c r="D48" t="s">
        <v>1264</v>
      </c>
      <c r="E48" t="s">
        <v>835</v>
      </c>
    </row>
    <row r="49" spans="4:5" x14ac:dyDescent="0.3">
      <c r="D49" t="s">
        <v>2545</v>
      </c>
      <c r="E49" t="s">
        <v>834</v>
      </c>
    </row>
    <row r="50" spans="4:5" x14ac:dyDescent="0.3">
      <c r="D50" t="s">
        <v>1176</v>
      </c>
      <c r="E50" t="s">
        <v>1110</v>
      </c>
    </row>
    <row r="51" spans="4:5" x14ac:dyDescent="0.3">
      <c r="D51" t="s">
        <v>3073</v>
      </c>
      <c r="E51" t="s">
        <v>1670</v>
      </c>
    </row>
    <row r="52" spans="4:5" x14ac:dyDescent="0.3">
      <c r="D52" t="s">
        <v>4392</v>
      </c>
      <c r="E52" t="s">
        <v>1190</v>
      </c>
    </row>
    <row r="53" spans="4:5" x14ac:dyDescent="0.3">
      <c r="D53" t="s">
        <v>4701</v>
      </c>
      <c r="E53" t="s">
        <v>769</v>
      </c>
    </row>
    <row r="54" spans="4:5" x14ac:dyDescent="0.3">
      <c r="D54" t="s">
        <v>4980</v>
      </c>
      <c r="E54" t="s">
        <v>4024</v>
      </c>
    </row>
    <row r="55" spans="4:5" x14ac:dyDescent="0.3">
      <c r="D55" t="s">
        <v>1484</v>
      </c>
      <c r="E55" t="s">
        <v>3655</v>
      </c>
    </row>
    <row r="56" spans="4:5" x14ac:dyDescent="0.3">
      <c r="D56" t="s">
        <v>3748</v>
      </c>
      <c r="E56" t="s">
        <v>1910</v>
      </c>
    </row>
    <row r="57" spans="4:5" x14ac:dyDescent="0.3">
      <c r="D57" t="s">
        <v>896</v>
      </c>
      <c r="E57" t="s">
        <v>3043</v>
      </c>
    </row>
    <row r="58" spans="4:5" x14ac:dyDescent="0.3">
      <c r="D58" t="s">
        <v>2901</v>
      </c>
      <c r="E58" t="s">
        <v>4277</v>
      </c>
    </row>
    <row r="59" spans="4:5" x14ac:dyDescent="0.3">
      <c r="D59" t="s">
        <v>2660</v>
      </c>
      <c r="E59" t="s">
        <v>127</v>
      </c>
    </row>
    <row r="60" spans="4:5" x14ac:dyDescent="0.3">
      <c r="D60" t="s">
        <v>1799</v>
      </c>
      <c r="E60" t="s">
        <v>654</v>
      </c>
    </row>
    <row r="61" spans="4:5" x14ac:dyDescent="0.3">
      <c r="D61" t="s">
        <v>2370</v>
      </c>
      <c r="E61" t="s">
        <v>4207</v>
      </c>
    </row>
    <row r="62" spans="4:5" x14ac:dyDescent="0.3">
      <c r="D62" t="s">
        <v>1969</v>
      </c>
      <c r="E62" t="s">
        <v>1578</v>
      </c>
    </row>
    <row r="63" spans="4:5" x14ac:dyDescent="0.3">
      <c r="D63" t="s">
        <v>3364</v>
      </c>
      <c r="E63" t="s">
        <v>3171</v>
      </c>
    </row>
    <row r="64" spans="4:5" x14ac:dyDescent="0.3">
      <c r="D64" t="s">
        <v>2430</v>
      </c>
      <c r="E64" t="s">
        <v>3474</v>
      </c>
    </row>
    <row r="65" spans="4:5" x14ac:dyDescent="0.3">
      <c r="D65" t="s">
        <v>3997</v>
      </c>
      <c r="E65" t="s">
        <v>661</v>
      </c>
    </row>
    <row r="66" spans="4:5" x14ac:dyDescent="0.3">
      <c r="D66" t="s">
        <v>4251</v>
      </c>
      <c r="E66" t="s">
        <v>4605</v>
      </c>
    </row>
    <row r="67" spans="4:5" x14ac:dyDescent="0.3">
      <c r="D67" t="s">
        <v>289</v>
      </c>
      <c r="E67" t="s">
        <v>3834</v>
      </c>
    </row>
    <row r="68" spans="4:5" x14ac:dyDescent="0.3">
      <c r="D68" t="s">
        <v>1624</v>
      </c>
      <c r="E68" t="s">
        <v>953</v>
      </c>
    </row>
    <row r="69" spans="4:5" x14ac:dyDescent="0.3">
      <c r="D69" t="s">
        <v>1861</v>
      </c>
      <c r="E69" t="s">
        <v>485</v>
      </c>
    </row>
    <row r="70" spans="4:5" x14ac:dyDescent="0.3">
      <c r="D70" t="s">
        <v>1432</v>
      </c>
      <c r="E70" t="s">
        <v>2626</v>
      </c>
    </row>
    <row r="71" spans="4:5" x14ac:dyDescent="0.3">
      <c r="D71" t="s">
        <v>1748</v>
      </c>
      <c r="E71" t="s">
        <v>1615</v>
      </c>
    </row>
    <row r="72" spans="4:5" x14ac:dyDescent="0.3">
      <c r="D72" t="s">
        <v>1926</v>
      </c>
      <c r="E72" t="s">
        <v>2053</v>
      </c>
    </row>
    <row r="73" spans="4:5" x14ac:dyDescent="0.3">
      <c r="D73" t="s">
        <v>1963</v>
      </c>
      <c r="E73" t="s">
        <v>637</v>
      </c>
    </row>
    <row r="74" spans="4:5" x14ac:dyDescent="0.3">
      <c r="D74" t="s">
        <v>3933</v>
      </c>
      <c r="E74" t="s">
        <v>1711</v>
      </c>
    </row>
    <row r="75" spans="4:5" x14ac:dyDescent="0.3">
      <c r="D75" t="s">
        <v>2062</v>
      </c>
      <c r="E75" t="s">
        <v>3855</v>
      </c>
    </row>
    <row r="76" spans="4:5" x14ac:dyDescent="0.3">
      <c r="D76" t="s">
        <v>3767</v>
      </c>
      <c r="E76" t="s">
        <v>4031</v>
      </c>
    </row>
    <row r="77" spans="4:5" x14ac:dyDescent="0.3">
      <c r="D77" t="s">
        <v>3305</v>
      </c>
      <c r="E77" t="s">
        <v>938</v>
      </c>
    </row>
    <row r="78" spans="4:5" x14ac:dyDescent="0.3">
      <c r="D78" t="s">
        <v>2123</v>
      </c>
      <c r="E78" t="s">
        <v>839</v>
      </c>
    </row>
    <row r="79" spans="4:5" x14ac:dyDescent="0.3">
      <c r="D79" t="s">
        <v>487</v>
      </c>
      <c r="E79" t="s">
        <v>2417</v>
      </c>
    </row>
    <row r="80" spans="4:5" x14ac:dyDescent="0.3">
      <c r="D80" t="s">
        <v>3548</v>
      </c>
      <c r="E80" t="s">
        <v>268</v>
      </c>
    </row>
    <row r="81" spans="4:5" x14ac:dyDescent="0.3">
      <c r="D81" t="s">
        <v>1180</v>
      </c>
      <c r="E81" t="s">
        <v>3039</v>
      </c>
    </row>
    <row r="82" spans="4:5" x14ac:dyDescent="0.3">
      <c r="D82" t="s">
        <v>704</v>
      </c>
      <c r="E82" t="s">
        <v>374</v>
      </c>
    </row>
    <row r="83" spans="4:5" x14ac:dyDescent="0.3">
      <c r="D83" t="s">
        <v>3963</v>
      </c>
      <c r="E83" t="s">
        <v>937</v>
      </c>
    </row>
    <row r="84" spans="4:5" x14ac:dyDescent="0.3">
      <c r="D84" t="s">
        <v>4723</v>
      </c>
      <c r="E84" t="s">
        <v>1082</v>
      </c>
    </row>
    <row r="85" spans="4:5" x14ac:dyDescent="0.3">
      <c r="D85" t="s">
        <v>482</v>
      </c>
      <c r="E85" t="s">
        <v>4294</v>
      </c>
    </row>
    <row r="86" spans="4:5" x14ac:dyDescent="0.3">
      <c r="D86" t="s">
        <v>3915</v>
      </c>
      <c r="E86" t="s">
        <v>3654</v>
      </c>
    </row>
    <row r="87" spans="4:5" x14ac:dyDescent="0.3">
      <c r="D87" t="s">
        <v>5229</v>
      </c>
      <c r="E87" t="s">
        <v>99</v>
      </c>
    </row>
    <row r="88" spans="4:5" x14ac:dyDescent="0.3">
      <c r="D88" t="s">
        <v>3194</v>
      </c>
      <c r="E88" t="s">
        <v>4449</v>
      </c>
    </row>
    <row r="89" spans="4:5" x14ac:dyDescent="0.3">
      <c r="D89" t="s">
        <v>2542</v>
      </c>
      <c r="E89" t="s">
        <v>100</v>
      </c>
    </row>
    <row r="90" spans="4:5" x14ac:dyDescent="0.3">
      <c r="D90" t="s">
        <v>2888</v>
      </c>
      <c r="E90" t="s">
        <v>100</v>
      </c>
    </row>
    <row r="91" spans="4:5" x14ac:dyDescent="0.3">
      <c r="D91" t="s">
        <v>4831</v>
      </c>
      <c r="E91" t="s">
        <v>2587</v>
      </c>
    </row>
    <row r="92" spans="4:5" x14ac:dyDescent="0.3">
      <c r="D92" t="s">
        <v>154</v>
      </c>
      <c r="E92" t="s">
        <v>1081</v>
      </c>
    </row>
    <row r="93" spans="4:5" x14ac:dyDescent="0.3">
      <c r="D93" t="s">
        <v>314</v>
      </c>
      <c r="E93" t="s">
        <v>3511</v>
      </c>
    </row>
    <row r="94" spans="4:5" x14ac:dyDescent="0.3">
      <c r="D94" t="s">
        <v>1597</v>
      </c>
      <c r="E94" t="s">
        <v>2229</v>
      </c>
    </row>
    <row r="95" spans="4:5" x14ac:dyDescent="0.3">
      <c r="D95" t="s">
        <v>2967</v>
      </c>
      <c r="E95" t="s">
        <v>5146</v>
      </c>
    </row>
    <row r="96" spans="4:5" x14ac:dyDescent="0.3">
      <c r="D96" t="s">
        <v>1173</v>
      </c>
      <c r="E96" t="s">
        <v>126</v>
      </c>
    </row>
    <row r="97" spans="4:5" x14ac:dyDescent="0.3">
      <c r="D97" t="s">
        <v>2771</v>
      </c>
      <c r="E97" t="s">
        <v>126</v>
      </c>
    </row>
    <row r="98" spans="4:5" x14ac:dyDescent="0.3">
      <c r="D98" t="s">
        <v>181</v>
      </c>
      <c r="E98" t="s">
        <v>1302</v>
      </c>
    </row>
    <row r="99" spans="4:5" x14ac:dyDescent="0.3">
      <c r="D99" t="s">
        <v>1022</v>
      </c>
      <c r="E99" t="s">
        <v>1556</v>
      </c>
    </row>
    <row r="100" spans="4:5" x14ac:dyDescent="0.3">
      <c r="D100" t="s">
        <v>4038</v>
      </c>
      <c r="E100" t="s">
        <v>3132</v>
      </c>
    </row>
    <row r="101" spans="4:5" x14ac:dyDescent="0.3">
      <c r="D101" t="s">
        <v>4577</v>
      </c>
      <c r="E101" t="s">
        <v>725</v>
      </c>
    </row>
    <row r="102" spans="4:5" x14ac:dyDescent="0.3">
      <c r="D102" t="s">
        <v>4406</v>
      </c>
      <c r="E102" t="s">
        <v>2529</v>
      </c>
    </row>
    <row r="103" spans="4:5" x14ac:dyDescent="0.3">
      <c r="D103" t="s">
        <v>2144</v>
      </c>
      <c r="E103" t="s">
        <v>844</v>
      </c>
    </row>
    <row r="104" spans="4:5" x14ac:dyDescent="0.3">
      <c r="D104" t="s">
        <v>1161</v>
      </c>
      <c r="E104" t="s">
        <v>5035</v>
      </c>
    </row>
    <row r="105" spans="4:5" x14ac:dyDescent="0.3">
      <c r="D105" t="s">
        <v>5098</v>
      </c>
      <c r="E105" t="s">
        <v>1848</v>
      </c>
    </row>
    <row r="106" spans="4:5" x14ac:dyDescent="0.3">
      <c r="D106" t="s">
        <v>2706</v>
      </c>
      <c r="E106" t="s">
        <v>3759</v>
      </c>
    </row>
    <row r="107" spans="4:5" x14ac:dyDescent="0.3">
      <c r="D107" t="s">
        <v>2713</v>
      </c>
      <c r="E107" t="s">
        <v>387</v>
      </c>
    </row>
    <row r="108" spans="4:5" x14ac:dyDescent="0.3">
      <c r="D108" t="s">
        <v>2400</v>
      </c>
      <c r="E108" t="s">
        <v>5392</v>
      </c>
    </row>
    <row r="109" spans="4:5" x14ac:dyDescent="0.3">
      <c r="D109" t="s">
        <v>2917</v>
      </c>
      <c r="E109" t="s">
        <v>1155</v>
      </c>
    </row>
    <row r="110" spans="4:5" x14ac:dyDescent="0.3">
      <c r="D110" t="s">
        <v>1918</v>
      </c>
      <c r="E110" t="s">
        <v>204</v>
      </c>
    </row>
    <row r="111" spans="4:5" x14ac:dyDescent="0.3">
      <c r="D111" t="s">
        <v>5107</v>
      </c>
      <c r="E111" t="s">
        <v>966</v>
      </c>
    </row>
    <row r="112" spans="4:5" x14ac:dyDescent="0.3">
      <c r="D112" t="s">
        <v>959</v>
      </c>
      <c r="E112" t="s">
        <v>659</v>
      </c>
    </row>
    <row r="113" spans="4:5" x14ac:dyDescent="0.3">
      <c r="D113" t="s">
        <v>4932</v>
      </c>
      <c r="E113" t="s">
        <v>4350</v>
      </c>
    </row>
    <row r="114" spans="4:5" x14ac:dyDescent="0.3">
      <c r="D114" t="s">
        <v>5316</v>
      </c>
      <c r="E114" t="s">
        <v>2635</v>
      </c>
    </row>
    <row r="115" spans="4:5" x14ac:dyDescent="0.3">
      <c r="D115" t="s">
        <v>5194</v>
      </c>
      <c r="E115" t="s">
        <v>279</v>
      </c>
    </row>
    <row r="116" spans="4:5" x14ac:dyDescent="0.3">
      <c r="D116" t="s">
        <v>4999</v>
      </c>
      <c r="E116" t="s">
        <v>3096</v>
      </c>
    </row>
    <row r="117" spans="4:5" x14ac:dyDescent="0.3">
      <c r="D117" t="s">
        <v>4352</v>
      </c>
      <c r="E117" t="s">
        <v>377</v>
      </c>
    </row>
    <row r="118" spans="4:5" x14ac:dyDescent="0.3">
      <c r="D118" t="s">
        <v>910</v>
      </c>
      <c r="E118" t="s">
        <v>1743</v>
      </c>
    </row>
    <row r="119" spans="4:5" x14ac:dyDescent="0.3">
      <c r="D119" t="s">
        <v>2763</v>
      </c>
      <c r="E119" t="s">
        <v>1812</v>
      </c>
    </row>
    <row r="120" spans="4:5" x14ac:dyDescent="0.3">
      <c r="D120" t="s">
        <v>150</v>
      </c>
      <c r="E120" t="s">
        <v>2966</v>
      </c>
    </row>
    <row r="121" spans="4:5" x14ac:dyDescent="0.3">
      <c r="D121" t="s">
        <v>4548</v>
      </c>
      <c r="E121" t="s">
        <v>2825</v>
      </c>
    </row>
    <row r="122" spans="4:5" x14ac:dyDescent="0.3">
      <c r="D122" t="s">
        <v>3341</v>
      </c>
      <c r="E122" t="s">
        <v>4316</v>
      </c>
    </row>
    <row r="123" spans="4:5" x14ac:dyDescent="0.3">
      <c r="D123" t="s">
        <v>4707</v>
      </c>
      <c r="E123" t="s">
        <v>987</v>
      </c>
    </row>
    <row r="124" spans="4:5" x14ac:dyDescent="0.3">
      <c r="D124" t="s">
        <v>3779</v>
      </c>
      <c r="E124" t="s">
        <v>2396</v>
      </c>
    </row>
    <row r="125" spans="4:5" x14ac:dyDescent="0.3">
      <c r="D125" t="s">
        <v>4839</v>
      </c>
      <c r="E125" t="s">
        <v>4797</v>
      </c>
    </row>
    <row r="126" spans="4:5" x14ac:dyDescent="0.3">
      <c r="D126" t="s">
        <v>4828</v>
      </c>
      <c r="E126" t="s">
        <v>586</v>
      </c>
    </row>
    <row r="127" spans="4:5" x14ac:dyDescent="0.3">
      <c r="D127" t="s">
        <v>2148</v>
      </c>
      <c r="E127" t="s">
        <v>2683</v>
      </c>
    </row>
    <row r="128" spans="4:5" x14ac:dyDescent="0.3">
      <c r="D128" t="s">
        <v>963</v>
      </c>
      <c r="E128" t="s">
        <v>5393</v>
      </c>
    </row>
    <row r="129" spans="4:5" x14ac:dyDescent="0.3">
      <c r="D129" t="s">
        <v>2066</v>
      </c>
      <c r="E129" t="s">
        <v>3987</v>
      </c>
    </row>
    <row r="130" spans="4:5" x14ac:dyDescent="0.3">
      <c r="D130" t="s">
        <v>5206</v>
      </c>
      <c r="E130" t="s">
        <v>5338</v>
      </c>
    </row>
    <row r="131" spans="4:5" x14ac:dyDescent="0.3">
      <c r="D131" t="s">
        <v>3835</v>
      </c>
      <c r="E131" t="s">
        <v>213</v>
      </c>
    </row>
    <row r="132" spans="4:5" x14ac:dyDescent="0.3">
      <c r="D132" t="s">
        <v>2956</v>
      </c>
      <c r="E132" t="s">
        <v>2012</v>
      </c>
    </row>
    <row r="133" spans="4:5" x14ac:dyDescent="0.3">
      <c r="D133" t="s">
        <v>4397</v>
      </c>
      <c r="E133" t="s">
        <v>229</v>
      </c>
    </row>
    <row r="134" spans="4:5" x14ac:dyDescent="0.3">
      <c r="D134" t="s">
        <v>578</v>
      </c>
      <c r="E134" t="s">
        <v>943</v>
      </c>
    </row>
    <row r="135" spans="4:5" x14ac:dyDescent="0.3">
      <c r="D135" t="s">
        <v>4686</v>
      </c>
      <c r="E135" t="s">
        <v>4010</v>
      </c>
    </row>
    <row r="136" spans="4:5" x14ac:dyDescent="0.3">
      <c r="D136" t="s">
        <v>5095</v>
      </c>
      <c r="E136" t="s">
        <v>5384</v>
      </c>
    </row>
    <row r="137" spans="4:5" x14ac:dyDescent="0.3">
      <c r="D137" t="s">
        <v>3886</v>
      </c>
      <c r="E137" t="s">
        <v>5385</v>
      </c>
    </row>
    <row r="138" spans="4:5" x14ac:dyDescent="0.3">
      <c r="D138" t="s">
        <v>4377</v>
      </c>
      <c r="E138" t="s">
        <v>5383</v>
      </c>
    </row>
    <row r="139" spans="4:5" x14ac:dyDescent="0.3">
      <c r="D139" t="s">
        <v>3691</v>
      </c>
      <c r="E139" t="s">
        <v>2263</v>
      </c>
    </row>
    <row r="140" spans="4:5" x14ac:dyDescent="0.3">
      <c r="D140" t="s">
        <v>2663</v>
      </c>
      <c r="E140" t="s">
        <v>3709</v>
      </c>
    </row>
    <row r="141" spans="4:5" x14ac:dyDescent="0.3">
      <c r="D141" t="s">
        <v>2043</v>
      </c>
      <c r="E141" t="s">
        <v>109</v>
      </c>
    </row>
    <row r="142" spans="4:5" x14ac:dyDescent="0.3">
      <c r="D142" t="s">
        <v>4915</v>
      </c>
      <c r="E142" t="s">
        <v>3631</v>
      </c>
    </row>
    <row r="143" spans="4:5" x14ac:dyDescent="0.3">
      <c r="D143" t="s">
        <v>4491</v>
      </c>
      <c r="E143" t="s">
        <v>14</v>
      </c>
    </row>
    <row r="144" spans="4:5" x14ac:dyDescent="0.3">
      <c r="D144" t="s">
        <v>4505</v>
      </c>
      <c r="E144" t="s">
        <v>905</v>
      </c>
    </row>
    <row r="145" spans="4:5" x14ac:dyDescent="0.3">
      <c r="D145" t="s">
        <v>3426</v>
      </c>
      <c r="E145" t="s">
        <v>2561</v>
      </c>
    </row>
    <row r="146" spans="4:5" x14ac:dyDescent="0.3">
      <c r="D146" t="s">
        <v>4453</v>
      </c>
      <c r="E146" t="s">
        <v>885</v>
      </c>
    </row>
    <row r="147" spans="4:5" x14ac:dyDescent="0.3">
      <c r="D147" t="s">
        <v>5128</v>
      </c>
      <c r="E147" t="s">
        <v>3481</v>
      </c>
    </row>
    <row r="148" spans="4:5" x14ac:dyDescent="0.3">
      <c r="D148" t="s">
        <v>4905</v>
      </c>
      <c r="E148" t="s">
        <v>703</v>
      </c>
    </row>
    <row r="149" spans="4:5" x14ac:dyDescent="0.3">
      <c r="D149" t="s">
        <v>3703</v>
      </c>
      <c r="E149" t="s">
        <v>567</v>
      </c>
    </row>
    <row r="150" spans="4:5" x14ac:dyDescent="0.3">
      <c r="D150" t="s">
        <v>3841</v>
      </c>
      <c r="E150" t="s">
        <v>2592</v>
      </c>
    </row>
    <row r="151" spans="4:5" x14ac:dyDescent="0.3">
      <c r="D151" t="s">
        <v>1381</v>
      </c>
      <c r="E151" t="s">
        <v>2592</v>
      </c>
    </row>
    <row r="152" spans="4:5" x14ac:dyDescent="0.3">
      <c r="D152" t="s">
        <v>1758</v>
      </c>
      <c r="E152" t="s">
        <v>970</v>
      </c>
    </row>
    <row r="153" spans="4:5" x14ac:dyDescent="0.3">
      <c r="D153" t="s">
        <v>2315</v>
      </c>
      <c r="E153" t="s">
        <v>3150</v>
      </c>
    </row>
    <row r="154" spans="4:5" x14ac:dyDescent="0.3">
      <c r="D154" t="s">
        <v>845</v>
      </c>
      <c r="E154" t="s">
        <v>2460</v>
      </c>
    </row>
    <row r="155" spans="4:5" x14ac:dyDescent="0.3">
      <c r="D155" t="s">
        <v>3215</v>
      </c>
      <c r="E155" t="s">
        <v>1616</v>
      </c>
    </row>
    <row r="156" spans="4:5" x14ac:dyDescent="0.3">
      <c r="D156" t="s">
        <v>787</v>
      </c>
      <c r="E156" t="s">
        <v>439</v>
      </c>
    </row>
    <row r="157" spans="4:5" x14ac:dyDescent="0.3">
      <c r="D157" t="s">
        <v>3485</v>
      </c>
      <c r="E157" t="s">
        <v>2933</v>
      </c>
    </row>
    <row r="158" spans="4:5" x14ac:dyDescent="0.3">
      <c r="D158" t="s">
        <v>1321</v>
      </c>
      <c r="E158" t="s">
        <v>1358</v>
      </c>
    </row>
    <row r="159" spans="4:5" x14ac:dyDescent="0.3">
      <c r="D159" t="s">
        <v>1475</v>
      </c>
      <c r="E159" t="s">
        <v>2458</v>
      </c>
    </row>
    <row r="160" spans="4:5" x14ac:dyDescent="0.3">
      <c r="D160" t="s">
        <v>3263</v>
      </c>
      <c r="E160" t="s">
        <v>34</v>
      </c>
    </row>
    <row r="161" spans="4:5" x14ac:dyDescent="0.3">
      <c r="D161" t="s">
        <v>1005</v>
      </c>
      <c r="E161" t="s">
        <v>1109</v>
      </c>
    </row>
    <row r="162" spans="4:5" x14ac:dyDescent="0.3">
      <c r="D162" t="s">
        <v>3302</v>
      </c>
      <c r="E162" t="s">
        <v>2501</v>
      </c>
    </row>
    <row r="163" spans="4:5" x14ac:dyDescent="0.3">
      <c r="D163" t="s">
        <v>2693</v>
      </c>
      <c r="E163" t="s">
        <v>2501</v>
      </c>
    </row>
    <row r="164" spans="4:5" x14ac:dyDescent="0.3">
      <c r="D164" t="s">
        <v>1171</v>
      </c>
      <c r="E164" t="s">
        <v>5115</v>
      </c>
    </row>
    <row r="165" spans="4:5" x14ac:dyDescent="0.3">
      <c r="D165" t="s">
        <v>4689</v>
      </c>
      <c r="E165" t="s">
        <v>1170</v>
      </c>
    </row>
    <row r="166" spans="4:5" x14ac:dyDescent="0.3">
      <c r="D166" t="s">
        <v>2576</v>
      </c>
      <c r="E166" t="s">
        <v>3425</v>
      </c>
    </row>
    <row r="167" spans="4:5" x14ac:dyDescent="0.3">
      <c r="D167" t="s">
        <v>2522</v>
      </c>
      <c r="E167" t="s">
        <v>4849</v>
      </c>
    </row>
    <row r="168" spans="4:5" x14ac:dyDescent="0.3">
      <c r="D168" t="s">
        <v>2393</v>
      </c>
      <c r="E168" t="s">
        <v>4223</v>
      </c>
    </row>
    <row r="169" spans="4:5" x14ac:dyDescent="0.3">
      <c r="D169" t="s">
        <v>1951</v>
      </c>
      <c r="E169" t="s">
        <v>2241</v>
      </c>
    </row>
    <row r="170" spans="4:5" x14ac:dyDescent="0.3">
      <c r="D170" t="s">
        <v>1772</v>
      </c>
      <c r="E170" t="s">
        <v>56</v>
      </c>
    </row>
    <row r="171" spans="4:5" x14ac:dyDescent="0.3">
      <c r="D171" t="s">
        <v>266</v>
      </c>
      <c r="E171" t="s">
        <v>2320</v>
      </c>
    </row>
    <row r="172" spans="4:5" x14ac:dyDescent="0.3">
      <c r="D172" t="s">
        <v>4014</v>
      </c>
      <c r="E172" t="s">
        <v>1388</v>
      </c>
    </row>
    <row r="173" spans="4:5" x14ac:dyDescent="0.3">
      <c r="D173" t="s">
        <v>5344</v>
      </c>
      <c r="E173" t="s">
        <v>1504</v>
      </c>
    </row>
    <row r="174" spans="4:5" x14ac:dyDescent="0.3">
      <c r="D174" t="s">
        <v>2510</v>
      </c>
      <c r="E174" t="s">
        <v>378</v>
      </c>
    </row>
    <row r="175" spans="4:5" x14ac:dyDescent="0.3">
      <c r="D175" t="s">
        <v>2808</v>
      </c>
      <c r="E175" t="s">
        <v>304</v>
      </c>
    </row>
    <row r="176" spans="4:5" x14ac:dyDescent="0.3">
      <c r="D176" t="s">
        <v>1802</v>
      </c>
      <c r="E176" t="s">
        <v>794</v>
      </c>
    </row>
    <row r="177" spans="4:5" x14ac:dyDescent="0.3">
      <c r="D177" t="s">
        <v>1823</v>
      </c>
      <c r="E177" t="s">
        <v>794</v>
      </c>
    </row>
    <row r="178" spans="4:5" x14ac:dyDescent="0.3">
      <c r="D178" t="s">
        <v>3361</v>
      </c>
      <c r="E178" t="s">
        <v>4898</v>
      </c>
    </row>
    <row r="179" spans="4:5" x14ac:dyDescent="0.3">
      <c r="D179" t="s">
        <v>3563</v>
      </c>
      <c r="E179" t="s">
        <v>2090</v>
      </c>
    </row>
    <row r="180" spans="4:5" x14ac:dyDescent="0.3">
      <c r="D180" t="s">
        <v>4083</v>
      </c>
      <c r="E180" t="s">
        <v>138</v>
      </c>
    </row>
    <row r="181" spans="4:5" x14ac:dyDescent="0.3">
      <c r="D181" t="s">
        <v>2821</v>
      </c>
      <c r="E181" t="s">
        <v>209</v>
      </c>
    </row>
    <row r="182" spans="4:5" x14ac:dyDescent="0.3">
      <c r="D182" t="s">
        <v>2907</v>
      </c>
      <c r="E182" t="s">
        <v>236</v>
      </c>
    </row>
    <row r="183" spans="4:5" x14ac:dyDescent="0.3">
      <c r="D183" t="s">
        <v>77</v>
      </c>
      <c r="E183" t="s">
        <v>236</v>
      </c>
    </row>
    <row r="184" spans="4:5" x14ac:dyDescent="0.3">
      <c r="D184" t="s">
        <v>2332</v>
      </c>
      <c r="E184" t="s">
        <v>3989</v>
      </c>
    </row>
    <row r="185" spans="4:5" x14ac:dyDescent="0.3">
      <c r="D185" t="s">
        <v>2993</v>
      </c>
      <c r="E185" t="s">
        <v>4659</v>
      </c>
    </row>
    <row r="186" spans="4:5" x14ac:dyDescent="0.3">
      <c r="D186" t="s">
        <v>2811</v>
      </c>
      <c r="E186" t="s">
        <v>4331</v>
      </c>
    </row>
    <row r="187" spans="4:5" x14ac:dyDescent="0.3">
      <c r="D187" t="s">
        <v>3205</v>
      </c>
      <c r="E187" t="s">
        <v>4332</v>
      </c>
    </row>
    <row r="188" spans="4:5" x14ac:dyDescent="0.3">
      <c r="D188" t="s">
        <v>1334</v>
      </c>
      <c r="E188" t="s">
        <v>3089</v>
      </c>
    </row>
    <row r="189" spans="4:5" x14ac:dyDescent="0.3">
      <c r="D189" t="s">
        <v>4218</v>
      </c>
      <c r="E189" t="s">
        <v>2242</v>
      </c>
    </row>
    <row r="190" spans="4:5" x14ac:dyDescent="0.3">
      <c r="D190" t="s">
        <v>3651</v>
      </c>
      <c r="E190" t="s">
        <v>660</v>
      </c>
    </row>
    <row r="191" spans="4:5" x14ac:dyDescent="0.3">
      <c r="D191" t="s">
        <v>2492</v>
      </c>
      <c r="E191" t="s">
        <v>1206</v>
      </c>
    </row>
    <row r="192" spans="4:5" x14ac:dyDescent="0.3">
      <c r="D192" t="s">
        <v>3313</v>
      </c>
      <c r="E192" t="s">
        <v>254</v>
      </c>
    </row>
    <row r="193" spans="4:5" x14ac:dyDescent="0.3">
      <c r="D193" t="s">
        <v>4228</v>
      </c>
      <c r="E193" t="s">
        <v>253</v>
      </c>
    </row>
    <row r="194" spans="4:5" x14ac:dyDescent="0.3">
      <c r="D194" t="s">
        <v>96</v>
      </c>
      <c r="E194" t="s">
        <v>724</v>
      </c>
    </row>
    <row r="195" spans="4:5" x14ac:dyDescent="0.3">
      <c r="D195" t="s">
        <v>1149</v>
      </c>
      <c r="E195" t="s">
        <v>1267</v>
      </c>
    </row>
    <row r="196" spans="4:5" x14ac:dyDescent="0.3">
      <c r="D196" t="s">
        <v>5255</v>
      </c>
      <c r="E196" t="s">
        <v>4309</v>
      </c>
    </row>
    <row r="197" spans="4:5" x14ac:dyDescent="0.3">
      <c r="D197" t="s">
        <v>2974</v>
      </c>
      <c r="E197" t="s">
        <v>3918</v>
      </c>
    </row>
    <row r="198" spans="4:5" x14ac:dyDescent="0.3">
      <c r="D198" t="s">
        <v>3351</v>
      </c>
      <c r="E198" t="s">
        <v>2116</v>
      </c>
    </row>
    <row r="199" spans="4:5" x14ac:dyDescent="0.3">
      <c r="D199" t="s">
        <v>2358</v>
      </c>
      <c r="E199" t="s">
        <v>2528</v>
      </c>
    </row>
    <row r="200" spans="4:5" x14ac:dyDescent="0.3">
      <c r="D200" t="s">
        <v>594</v>
      </c>
      <c r="E200" t="s">
        <v>1566</v>
      </c>
    </row>
    <row r="201" spans="4:5" x14ac:dyDescent="0.3">
      <c r="D201" t="s">
        <v>2766</v>
      </c>
      <c r="E201" t="s">
        <v>1524</v>
      </c>
    </row>
    <row r="202" spans="4:5" x14ac:dyDescent="0.3">
      <c r="D202" t="s">
        <v>4361</v>
      </c>
      <c r="E202" t="s">
        <v>4009</v>
      </c>
    </row>
    <row r="203" spans="4:5" x14ac:dyDescent="0.3">
      <c r="D203" t="s">
        <v>3375</v>
      </c>
      <c r="E203" t="s">
        <v>228</v>
      </c>
    </row>
    <row r="204" spans="4:5" x14ac:dyDescent="0.3">
      <c r="D204" t="s">
        <v>984</v>
      </c>
      <c r="E204" t="s">
        <v>3606</v>
      </c>
    </row>
    <row r="205" spans="4:5" x14ac:dyDescent="0.3">
      <c r="D205" t="s">
        <v>4537</v>
      </c>
      <c r="E205" t="s">
        <v>4827</v>
      </c>
    </row>
    <row r="206" spans="4:5" x14ac:dyDescent="0.3">
      <c r="D206" t="s">
        <v>3275</v>
      </c>
      <c r="E206" t="s">
        <v>4108</v>
      </c>
    </row>
    <row r="207" spans="4:5" x14ac:dyDescent="0.3">
      <c r="D207" t="s">
        <v>184</v>
      </c>
      <c r="E207" t="s">
        <v>2770</v>
      </c>
    </row>
    <row r="208" spans="4:5" x14ac:dyDescent="0.3">
      <c r="D208" t="s">
        <v>4214</v>
      </c>
      <c r="E208" t="s">
        <v>4088</v>
      </c>
    </row>
    <row r="209" spans="4:5" x14ac:dyDescent="0.3">
      <c r="D209" t="s">
        <v>1146</v>
      </c>
      <c r="E209" t="s">
        <v>4925</v>
      </c>
    </row>
    <row r="210" spans="4:5" x14ac:dyDescent="0.3">
      <c r="D210" t="s">
        <v>784</v>
      </c>
      <c r="E210" t="s">
        <v>1832</v>
      </c>
    </row>
    <row r="211" spans="4:5" x14ac:dyDescent="0.3">
      <c r="D211" t="s">
        <v>4540</v>
      </c>
      <c r="E211" t="s">
        <v>4756</v>
      </c>
    </row>
    <row r="212" spans="4:5" x14ac:dyDescent="0.3">
      <c r="D212" t="s">
        <v>4929</v>
      </c>
      <c r="E212" t="s">
        <v>894</v>
      </c>
    </row>
    <row r="213" spans="4:5" x14ac:dyDescent="0.3">
      <c r="D213" t="s">
        <v>1612</v>
      </c>
      <c r="E213" t="s">
        <v>1363</v>
      </c>
    </row>
    <row r="214" spans="4:5" x14ac:dyDescent="0.3">
      <c r="D214" t="s">
        <v>1242</v>
      </c>
      <c r="E214" t="s">
        <v>2951</v>
      </c>
    </row>
    <row r="215" spans="4:5" x14ac:dyDescent="0.3">
      <c r="D215" t="s">
        <v>4971</v>
      </c>
      <c r="E215" t="s">
        <v>1378</v>
      </c>
    </row>
    <row r="216" spans="4:5" x14ac:dyDescent="0.3">
      <c r="D216" t="s">
        <v>634</v>
      </c>
      <c r="E216" t="s">
        <v>3334</v>
      </c>
    </row>
    <row r="217" spans="4:5" x14ac:dyDescent="0.3">
      <c r="D217" t="s">
        <v>2632</v>
      </c>
      <c r="E217" t="s">
        <v>159</v>
      </c>
    </row>
    <row r="218" spans="4:5" x14ac:dyDescent="0.3">
      <c r="D218" t="s">
        <v>2848</v>
      </c>
      <c r="E218" t="s">
        <v>1099</v>
      </c>
    </row>
    <row r="219" spans="4:5" x14ac:dyDescent="0.3">
      <c r="D219" t="s">
        <v>4543</v>
      </c>
      <c r="E219" t="s">
        <v>2472</v>
      </c>
    </row>
    <row r="220" spans="4:5" x14ac:dyDescent="0.3">
      <c r="D220" t="s">
        <v>2797</v>
      </c>
      <c r="E220" t="s">
        <v>1365</v>
      </c>
    </row>
    <row r="221" spans="4:5" x14ac:dyDescent="0.3">
      <c r="D221" t="s">
        <v>1966</v>
      </c>
      <c r="E221" t="s">
        <v>3248</v>
      </c>
    </row>
    <row r="222" spans="4:5" x14ac:dyDescent="0.3">
      <c r="D222" t="s">
        <v>2051</v>
      </c>
      <c r="E222" t="s">
        <v>3627</v>
      </c>
    </row>
    <row r="223" spans="4:5" x14ac:dyDescent="0.3">
      <c r="D223" t="s">
        <v>4459</v>
      </c>
      <c r="E223" t="s">
        <v>3983</v>
      </c>
    </row>
    <row r="224" spans="4:5" x14ac:dyDescent="0.3">
      <c r="D224" t="s">
        <v>2720</v>
      </c>
      <c r="E224" t="s">
        <v>404</v>
      </c>
    </row>
    <row r="225" spans="4:5" x14ac:dyDescent="0.3">
      <c r="D225" t="s">
        <v>1141</v>
      </c>
      <c r="E225" t="s">
        <v>3475</v>
      </c>
    </row>
    <row r="226" spans="4:5" x14ac:dyDescent="0.3">
      <c r="D226" t="s">
        <v>4974</v>
      </c>
      <c r="E226" t="s">
        <v>4289</v>
      </c>
    </row>
    <row r="227" spans="4:5" x14ac:dyDescent="0.3">
      <c r="D227" t="s">
        <v>3470</v>
      </c>
      <c r="E227" t="s">
        <v>139</v>
      </c>
    </row>
    <row r="228" spans="4:5" x14ac:dyDescent="0.3">
      <c r="D228" t="s">
        <v>734</v>
      </c>
      <c r="E228" t="s">
        <v>139</v>
      </c>
    </row>
    <row r="229" spans="4:5" x14ac:dyDescent="0.3">
      <c r="D229" t="s">
        <v>4201</v>
      </c>
      <c r="E229" t="s">
        <v>1655</v>
      </c>
    </row>
    <row r="230" spans="4:5" x14ac:dyDescent="0.3">
      <c r="D230" t="s">
        <v>4403</v>
      </c>
      <c r="E230" t="s">
        <v>868</v>
      </c>
    </row>
    <row r="231" spans="4:5" x14ac:dyDescent="0.3">
      <c r="D231" t="s">
        <v>4639</v>
      </c>
      <c r="E231" t="s">
        <v>1847</v>
      </c>
    </row>
    <row r="232" spans="4:5" x14ac:dyDescent="0.3">
      <c r="D232" t="s">
        <v>3308</v>
      </c>
      <c r="E232" t="s">
        <v>3758</v>
      </c>
    </row>
    <row r="233" spans="4:5" x14ac:dyDescent="0.3">
      <c r="D233" t="s">
        <v>269</v>
      </c>
      <c r="E233" t="s">
        <v>3344</v>
      </c>
    </row>
    <row r="234" spans="4:5" x14ac:dyDescent="0.3">
      <c r="D234" t="s">
        <v>2573</v>
      </c>
      <c r="E234" t="s">
        <v>1691</v>
      </c>
    </row>
    <row r="235" spans="4:5" x14ac:dyDescent="0.3">
      <c r="D235" t="s">
        <v>2525</v>
      </c>
      <c r="E235" t="s">
        <v>3456</v>
      </c>
    </row>
    <row r="236" spans="4:5" x14ac:dyDescent="0.3">
      <c r="D236" t="s">
        <v>1637</v>
      </c>
      <c r="E236" t="s">
        <v>3899</v>
      </c>
    </row>
    <row r="237" spans="4:5" x14ac:dyDescent="0.3">
      <c r="D237" t="s">
        <v>4268</v>
      </c>
      <c r="E237" t="s">
        <v>909</v>
      </c>
    </row>
    <row r="238" spans="4:5" x14ac:dyDescent="0.3">
      <c r="D238" t="s">
        <v>4967</v>
      </c>
      <c r="E238" t="s">
        <v>3061</v>
      </c>
    </row>
    <row r="239" spans="4:5" x14ac:dyDescent="0.3">
      <c r="D239" t="s">
        <v>1096</v>
      </c>
      <c r="E239" t="s">
        <v>1874</v>
      </c>
    </row>
    <row r="240" spans="4:5" x14ac:dyDescent="0.3">
      <c r="D240" t="s">
        <v>4824</v>
      </c>
      <c r="E240" t="s">
        <v>1873</v>
      </c>
    </row>
    <row r="241" spans="4:5" x14ac:dyDescent="0.3">
      <c r="D241" t="s">
        <v>3402</v>
      </c>
      <c r="E241" t="s">
        <v>2841</v>
      </c>
    </row>
    <row r="242" spans="4:5" x14ac:dyDescent="0.3">
      <c r="D242" t="s">
        <v>3828</v>
      </c>
      <c r="E242" t="s">
        <v>2120</v>
      </c>
    </row>
    <row r="243" spans="4:5" x14ac:dyDescent="0.3">
      <c r="D243" t="s">
        <v>5010</v>
      </c>
      <c r="E243" t="s">
        <v>900</v>
      </c>
    </row>
    <row r="244" spans="4:5" x14ac:dyDescent="0.3">
      <c r="D244" t="s">
        <v>459</v>
      </c>
      <c r="E244" t="s">
        <v>5032</v>
      </c>
    </row>
    <row r="245" spans="4:5" x14ac:dyDescent="0.3">
      <c r="D245" t="s">
        <v>1073</v>
      </c>
      <c r="E245" t="s">
        <v>5033</v>
      </c>
    </row>
    <row r="246" spans="4:5" x14ac:dyDescent="0.3">
      <c r="D246" t="s">
        <v>4593</v>
      </c>
      <c r="E246" t="s">
        <v>1640</v>
      </c>
    </row>
    <row r="247" spans="4:5" x14ac:dyDescent="0.3">
      <c r="D247" t="s">
        <v>543</v>
      </c>
      <c r="E247" t="s">
        <v>3693</v>
      </c>
    </row>
    <row r="248" spans="4:5" x14ac:dyDescent="0.3">
      <c r="D248" t="s">
        <v>3154</v>
      </c>
      <c r="E248" t="s">
        <v>1225</v>
      </c>
    </row>
    <row r="249" spans="4:5" x14ac:dyDescent="0.3">
      <c r="D249" t="s">
        <v>3260</v>
      </c>
      <c r="E249" t="s">
        <v>49</v>
      </c>
    </row>
    <row r="250" spans="4:5" x14ac:dyDescent="0.3">
      <c r="D250" t="s">
        <v>1327</v>
      </c>
      <c r="E250" t="s">
        <v>1493</v>
      </c>
    </row>
    <row r="251" spans="4:5" x14ac:dyDescent="0.3">
      <c r="D251" t="s">
        <v>2198</v>
      </c>
      <c r="E251" t="s">
        <v>2236</v>
      </c>
    </row>
    <row r="252" spans="4:5" x14ac:dyDescent="0.3">
      <c r="D252" t="s">
        <v>5249</v>
      </c>
      <c r="E252" t="s">
        <v>1250</v>
      </c>
    </row>
    <row r="253" spans="4:5" x14ac:dyDescent="0.3">
      <c r="D253" t="s">
        <v>1101</v>
      </c>
      <c r="E253" t="s">
        <v>3479</v>
      </c>
    </row>
    <row r="254" spans="4:5" x14ac:dyDescent="0.3">
      <c r="D254" t="s">
        <v>3591</v>
      </c>
      <c r="E254" t="s">
        <v>1822</v>
      </c>
    </row>
    <row r="255" spans="4:5" x14ac:dyDescent="0.3">
      <c r="D255" t="s">
        <v>1783</v>
      </c>
      <c r="E255" t="s">
        <v>1226</v>
      </c>
    </row>
    <row r="256" spans="4:5" x14ac:dyDescent="0.3">
      <c r="D256" t="s">
        <v>4683</v>
      </c>
      <c r="E256" t="s">
        <v>368</v>
      </c>
    </row>
    <row r="257" spans="4:5" x14ac:dyDescent="0.3">
      <c r="D257" t="s">
        <v>1525</v>
      </c>
      <c r="E257" t="s">
        <v>521</v>
      </c>
    </row>
    <row r="258" spans="4:5" x14ac:dyDescent="0.3">
      <c r="D258" t="s">
        <v>1490</v>
      </c>
      <c r="E258" t="s">
        <v>3121</v>
      </c>
    </row>
    <row r="259" spans="4:5" x14ac:dyDescent="0.3">
      <c r="D259" t="s">
        <v>4889</v>
      </c>
      <c r="E259" t="s">
        <v>592</v>
      </c>
    </row>
    <row r="260" spans="4:5" x14ac:dyDescent="0.3">
      <c r="D260" t="s">
        <v>880</v>
      </c>
      <c r="E260" t="s">
        <v>534</v>
      </c>
    </row>
    <row r="261" spans="4:5" x14ac:dyDescent="0.3">
      <c r="D261" t="s">
        <v>1091</v>
      </c>
      <c r="E261" t="s">
        <v>535</v>
      </c>
    </row>
    <row r="262" spans="4:5" x14ac:dyDescent="0.3">
      <c r="D262" t="s">
        <v>4583</v>
      </c>
      <c r="E262" t="s">
        <v>1435</v>
      </c>
    </row>
    <row r="263" spans="4:5" x14ac:dyDescent="0.3">
      <c r="D263" t="s">
        <v>4895</v>
      </c>
      <c r="E263" t="s">
        <v>5394</v>
      </c>
    </row>
    <row r="264" spans="4:5" x14ac:dyDescent="0.3">
      <c r="D264" t="s">
        <v>2709</v>
      </c>
      <c r="E264" t="s">
        <v>2962</v>
      </c>
    </row>
    <row r="265" spans="4:5" x14ac:dyDescent="0.3">
      <c r="D265" t="s">
        <v>4137</v>
      </c>
      <c r="E265" t="s">
        <v>403</v>
      </c>
    </row>
    <row r="266" spans="4:5" x14ac:dyDescent="0.3">
      <c r="D266" t="s">
        <v>1601</v>
      </c>
      <c r="E266" t="s">
        <v>1000</v>
      </c>
    </row>
    <row r="267" spans="4:5" x14ac:dyDescent="0.3">
      <c r="D267" t="s">
        <v>2565</v>
      </c>
      <c r="E267" t="s">
        <v>2852</v>
      </c>
    </row>
    <row r="268" spans="4:5" x14ac:dyDescent="0.3">
      <c r="D268" t="s">
        <v>1630</v>
      </c>
      <c r="E268" t="s">
        <v>1086</v>
      </c>
    </row>
    <row r="269" spans="4:5" x14ac:dyDescent="0.3">
      <c r="D269" t="s">
        <v>1397</v>
      </c>
      <c r="E269" t="s">
        <v>481</v>
      </c>
    </row>
    <row r="270" spans="4:5" x14ac:dyDescent="0.3">
      <c r="D270" t="s">
        <v>3890</v>
      </c>
      <c r="E270" t="s">
        <v>1212</v>
      </c>
    </row>
    <row r="271" spans="4:5" x14ac:dyDescent="0.3">
      <c r="D271" t="s">
        <v>4678</v>
      </c>
      <c r="E271" t="s">
        <v>466</v>
      </c>
    </row>
    <row r="272" spans="4:5" x14ac:dyDescent="0.3">
      <c r="D272" t="s">
        <v>3066</v>
      </c>
      <c r="E272" t="s">
        <v>581</v>
      </c>
    </row>
    <row r="273" spans="4:5" x14ac:dyDescent="0.3">
      <c r="D273" t="s">
        <v>2304</v>
      </c>
      <c r="E273" t="s">
        <v>1273</v>
      </c>
    </row>
    <row r="274" spans="4:5" x14ac:dyDescent="0.3">
      <c r="D274" t="s">
        <v>2373</v>
      </c>
      <c r="E274" t="s">
        <v>546</v>
      </c>
    </row>
    <row r="275" spans="4:5" x14ac:dyDescent="0.3">
      <c r="D275" t="s">
        <v>4095</v>
      </c>
      <c r="E275" t="s">
        <v>2572</v>
      </c>
    </row>
    <row r="276" spans="4:5" x14ac:dyDescent="0.3">
      <c r="D276" t="s">
        <v>2752</v>
      </c>
      <c r="E276" t="s">
        <v>436</v>
      </c>
    </row>
    <row r="277" spans="4:5" x14ac:dyDescent="0.3">
      <c r="D277" t="s">
        <v>1816</v>
      </c>
      <c r="E277" t="s">
        <v>435</v>
      </c>
    </row>
    <row r="278" spans="4:5" x14ac:dyDescent="0.3">
      <c r="D278" t="s">
        <v>3226</v>
      </c>
      <c r="E278" t="s">
        <v>2973</v>
      </c>
    </row>
    <row r="279" spans="4:5" x14ac:dyDescent="0.3">
      <c r="D279" t="s">
        <v>5182</v>
      </c>
      <c r="E279" t="s">
        <v>756</v>
      </c>
    </row>
    <row r="280" spans="4:5" x14ac:dyDescent="0.3">
      <c r="D280" t="s">
        <v>3678</v>
      </c>
      <c r="E280" t="s">
        <v>3875</v>
      </c>
    </row>
    <row r="281" spans="4:5" x14ac:dyDescent="0.3">
      <c r="D281" t="s">
        <v>873</v>
      </c>
      <c r="E281" t="s">
        <v>3766</v>
      </c>
    </row>
    <row r="282" spans="4:5" x14ac:dyDescent="0.3">
      <c r="D282" t="s">
        <v>4224</v>
      </c>
      <c r="E282" t="s">
        <v>1961</v>
      </c>
    </row>
    <row r="283" spans="4:5" x14ac:dyDescent="0.3">
      <c r="D283" t="s">
        <v>43</v>
      </c>
      <c r="E283" t="s">
        <v>1600</v>
      </c>
    </row>
    <row r="284" spans="4:5" x14ac:dyDescent="0.3">
      <c r="D284" t="s">
        <v>926</v>
      </c>
      <c r="E284" t="s">
        <v>1343</v>
      </c>
    </row>
    <row r="285" spans="4:5" x14ac:dyDescent="0.3">
      <c r="D285" t="s">
        <v>2642</v>
      </c>
      <c r="E285" t="s">
        <v>120</v>
      </c>
    </row>
    <row r="286" spans="4:5" x14ac:dyDescent="0.3">
      <c r="D286" t="s">
        <v>452</v>
      </c>
      <c r="E286" t="s">
        <v>392</v>
      </c>
    </row>
    <row r="287" spans="4:5" x14ac:dyDescent="0.3">
      <c r="D287" t="s">
        <v>3519</v>
      </c>
      <c r="E287" t="s">
        <v>301</v>
      </c>
    </row>
    <row r="288" spans="4:5" x14ac:dyDescent="0.3">
      <c r="D288" t="s">
        <v>1717</v>
      </c>
      <c r="E288" t="s">
        <v>278</v>
      </c>
    </row>
    <row r="289" spans="4:5" x14ac:dyDescent="0.3">
      <c r="D289" t="s">
        <v>5026</v>
      </c>
      <c r="E289" t="s">
        <v>4261</v>
      </c>
    </row>
    <row r="290" spans="4:5" x14ac:dyDescent="0.3">
      <c r="D290" t="s">
        <v>2367</v>
      </c>
      <c r="E290" t="s">
        <v>2105</v>
      </c>
    </row>
    <row r="291" spans="4:5" x14ac:dyDescent="0.3">
      <c r="D291" t="s">
        <v>2013</v>
      </c>
      <c r="E291" t="s">
        <v>4189</v>
      </c>
    </row>
    <row r="292" spans="4:5" x14ac:dyDescent="0.3">
      <c r="D292" t="s">
        <v>4710</v>
      </c>
      <c r="E292" t="s">
        <v>1400</v>
      </c>
    </row>
    <row r="293" spans="4:5" x14ac:dyDescent="0.3">
      <c r="D293" t="s">
        <v>1136</v>
      </c>
      <c r="E293" t="s">
        <v>1405</v>
      </c>
    </row>
    <row r="294" spans="4:5" x14ac:dyDescent="0.3">
      <c r="D294" t="s">
        <v>2151</v>
      </c>
      <c r="E294" t="s">
        <v>2086</v>
      </c>
    </row>
    <row r="295" spans="4:5" x14ac:dyDescent="0.3">
      <c r="D295" t="s">
        <v>4278</v>
      </c>
      <c r="E295" t="s">
        <v>3642</v>
      </c>
    </row>
    <row r="296" spans="4:5" x14ac:dyDescent="0.3">
      <c r="D296" t="s">
        <v>3810</v>
      </c>
      <c r="E296" t="s">
        <v>3574</v>
      </c>
    </row>
    <row r="297" spans="4:5" x14ac:dyDescent="0.3">
      <c r="D297" t="s">
        <v>3451</v>
      </c>
      <c r="E297" t="s">
        <v>993</v>
      </c>
    </row>
    <row r="298" spans="4:5" x14ac:dyDescent="0.3">
      <c r="D298" t="s">
        <v>3358</v>
      </c>
      <c r="E298" t="s">
        <v>4118</v>
      </c>
    </row>
    <row r="299" spans="4:5" x14ac:dyDescent="0.3">
      <c r="D299" t="s">
        <v>3367</v>
      </c>
      <c r="E299" t="s">
        <v>1720</v>
      </c>
    </row>
    <row r="300" spans="4:5" x14ac:dyDescent="0.3">
      <c r="D300" t="s">
        <v>3448</v>
      </c>
      <c r="E300" t="s">
        <v>169</v>
      </c>
    </row>
    <row r="301" spans="4:5" x14ac:dyDescent="0.3">
      <c r="D301" t="s">
        <v>3668</v>
      </c>
      <c r="E301" t="s">
        <v>5395</v>
      </c>
    </row>
    <row r="302" spans="4:5" x14ac:dyDescent="0.3">
      <c r="D302" t="s">
        <v>332</v>
      </c>
      <c r="E302" t="s">
        <v>1747</v>
      </c>
    </row>
    <row r="303" spans="4:5" x14ac:dyDescent="0.3">
      <c r="D303" t="s">
        <v>4046</v>
      </c>
      <c r="E303" t="s">
        <v>1962</v>
      </c>
    </row>
    <row r="304" spans="4:5" x14ac:dyDescent="0.3">
      <c r="D304" t="s">
        <v>245</v>
      </c>
      <c r="E304" t="s">
        <v>3447</v>
      </c>
    </row>
    <row r="305" spans="4:5" x14ac:dyDescent="0.3">
      <c r="D305" t="s">
        <v>616</v>
      </c>
      <c r="E305" t="s">
        <v>61</v>
      </c>
    </row>
    <row r="306" spans="4:5" x14ac:dyDescent="0.3">
      <c r="D306" t="s">
        <v>4877</v>
      </c>
      <c r="E306" t="s">
        <v>683</v>
      </c>
    </row>
    <row r="307" spans="4:5" x14ac:dyDescent="0.3">
      <c r="D307" t="s">
        <v>2298</v>
      </c>
      <c r="E307" t="s">
        <v>4532</v>
      </c>
    </row>
    <row r="308" spans="4:5" x14ac:dyDescent="0.3">
      <c r="D308" t="s">
        <v>2654</v>
      </c>
      <c r="E308" t="s">
        <v>806</v>
      </c>
    </row>
    <row r="309" spans="4:5" x14ac:dyDescent="0.3">
      <c r="D309" t="s">
        <v>5339</v>
      </c>
      <c r="E309" t="s">
        <v>1808</v>
      </c>
    </row>
    <row r="310" spans="4:5" x14ac:dyDescent="0.3">
      <c r="D310" t="s">
        <v>531</v>
      </c>
      <c r="E310" t="s">
        <v>50</v>
      </c>
    </row>
    <row r="311" spans="4:5" x14ac:dyDescent="0.3">
      <c r="D311" t="s">
        <v>260</v>
      </c>
      <c r="E311" t="s">
        <v>1703</v>
      </c>
    </row>
    <row r="312" spans="4:5" x14ac:dyDescent="0.3">
      <c r="D312" t="s">
        <v>5185</v>
      </c>
      <c r="E312" t="s">
        <v>4351</v>
      </c>
    </row>
    <row r="313" spans="4:5" x14ac:dyDescent="0.3">
      <c r="D313" t="s">
        <v>1879</v>
      </c>
      <c r="E313" t="s">
        <v>4005</v>
      </c>
    </row>
    <row r="314" spans="4:5" x14ac:dyDescent="0.3">
      <c r="D314" t="s">
        <v>1898</v>
      </c>
      <c r="E314" t="s">
        <v>180</v>
      </c>
    </row>
    <row r="315" spans="4:5" x14ac:dyDescent="0.3">
      <c r="D315" t="s">
        <v>901</v>
      </c>
      <c r="E315" t="s">
        <v>1628</v>
      </c>
    </row>
    <row r="316" spans="4:5" x14ac:dyDescent="0.3">
      <c r="D316" t="s">
        <v>200</v>
      </c>
      <c r="E316" t="s">
        <v>2857</v>
      </c>
    </row>
    <row r="317" spans="4:5" x14ac:dyDescent="0.3">
      <c r="D317" t="s">
        <v>4089</v>
      </c>
      <c r="E317" t="s">
        <v>4227</v>
      </c>
    </row>
    <row r="318" spans="4:5" x14ac:dyDescent="0.3">
      <c r="D318" t="s">
        <v>630</v>
      </c>
      <c r="E318" t="s">
        <v>1183</v>
      </c>
    </row>
    <row r="319" spans="4:5" x14ac:dyDescent="0.3">
      <c r="D319" t="s">
        <v>160</v>
      </c>
      <c r="E319" t="s">
        <v>3077</v>
      </c>
    </row>
    <row r="320" spans="4:5" x14ac:dyDescent="0.3">
      <c r="D320" t="s">
        <v>2977</v>
      </c>
      <c r="E320" t="s">
        <v>2537</v>
      </c>
    </row>
    <row r="321" spans="4:5" x14ac:dyDescent="0.3">
      <c r="D321" t="s">
        <v>3971</v>
      </c>
      <c r="E321" t="s">
        <v>4254</v>
      </c>
    </row>
    <row r="322" spans="4:5" x14ac:dyDescent="0.3">
      <c r="D322" t="s">
        <v>4674</v>
      </c>
      <c r="E322" t="s">
        <v>3813</v>
      </c>
    </row>
    <row r="323" spans="4:5" x14ac:dyDescent="0.3">
      <c r="D323" t="s">
        <v>1864</v>
      </c>
      <c r="E323" t="s">
        <v>4240</v>
      </c>
    </row>
    <row r="324" spans="4:5" x14ac:dyDescent="0.3">
      <c r="D324" t="s">
        <v>2680</v>
      </c>
      <c r="E324" t="s">
        <v>4241</v>
      </c>
    </row>
    <row r="325" spans="4:5" x14ac:dyDescent="0.3">
      <c r="D325" t="s">
        <v>113</v>
      </c>
      <c r="E325" t="s">
        <v>4757</v>
      </c>
    </row>
    <row r="326" spans="4:5" x14ac:dyDescent="0.3">
      <c r="D326" t="s">
        <v>3974</v>
      </c>
      <c r="E326" t="s">
        <v>3292</v>
      </c>
    </row>
    <row r="327" spans="4:5" x14ac:dyDescent="0.3">
      <c r="D327" t="s">
        <v>1563</v>
      </c>
      <c r="E327" t="s">
        <v>1042</v>
      </c>
    </row>
    <row r="328" spans="4:5" x14ac:dyDescent="0.3">
      <c r="D328" t="s">
        <v>1958</v>
      </c>
      <c r="E328" t="s">
        <v>5362</v>
      </c>
    </row>
    <row r="329" spans="4:5" x14ac:dyDescent="0.3">
      <c r="D329" t="s">
        <v>1521</v>
      </c>
      <c r="E329" t="s">
        <v>5235</v>
      </c>
    </row>
    <row r="330" spans="4:5" x14ac:dyDescent="0.3">
      <c r="D330" t="s">
        <v>3595</v>
      </c>
      <c r="E330" t="s">
        <v>5236</v>
      </c>
    </row>
    <row r="331" spans="4:5" x14ac:dyDescent="0.3">
      <c r="D331" t="s">
        <v>389</v>
      </c>
      <c r="E331" t="s">
        <v>3052</v>
      </c>
    </row>
    <row r="332" spans="4:5" x14ac:dyDescent="0.3">
      <c r="D332" t="s">
        <v>4606</v>
      </c>
      <c r="E332" t="s">
        <v>3637</v>
      </c>
    </row>
    <row r="333" spans="4:5" x14ac:dyDescent="0.3">
      <c r="D333" t="s">
        <v>297</v>
      </c>
      <c r="E333" t="s">
        <v>1105</v>
      </c>
    </row>
    <row r="334" spans="4:5" x14ac:dyDescent="0.3">
      <c r="D334" t="s">
        <v>1907</v>
      </c>
      <c r="E334" t="s">
        <v>5221</v>
      </c>
    </row>
    <row r="335" spans="4:5" x14ac:dyDescent="0.3">
      <c r="D335" t="s">
        <v>528</v>
      </c>
      <c r="E335" t="s">
        <v>1104</v>
      </c>
    </row>
    <row r="336" spans="4:5" x14ac:dyDescent="0.3">
      <c r="D336" t="s">
        <v>4569</v>
      </c>
      <c r="E336" t="s">
        <v>2078</v>
      </c>
    </row>
    <row r="337" spans="4:5" x14ac:dyDescent="0.3">
      <c r="D337" t="s">
        <v>4193</v>
      </c>
      <c r="E337" t="s">
        <v>465</v>
      </c>
    </row>
    <row r="338" spans="4:5" x14ac:dyDescent="0.3">
      <c r="D338" t="s">
        <v>540</v>
      </c>
      <c r="E338" t="s">
        <v>431</v>
      </c>
    </row>
    <row r="339" spans="4:5" x14ac:dyDescent="0.3">
      <c r="D339" t="s">
        <v>3399</v>
      </c>
      <c r="E339" t="s">
        <v>2133</v>
      </c>
    </row>
    <row r="340" spans="4:5" x14ac:dyDescent="0.3">
      <c r="D340" t="s">
        <v>2948</v>
      </c>
      <c r="E340" t="s">
        <v>1766</v>
      </c>
    </row>
    <row r="341" spans="4:5" x14ac:dyDescent="0.3">
      <c r="D341" t="s">
        <v>2875</v>
      </c>
      <c r="E341" t="s">
        <v>143</v>
      </c>
    </row>
    <row r="342" spans="4:5" x14ac:dyDescent="0.3">
      <c r="D342" t="s">
        <v>4187</v>
      </c>
      <c r="E342" t="s">
        <v>1672</v>
      </c>
    </row>
    <row r="343" spans="4:5" x14ac:dyDescent="0.3">
      <c r="D343" t="s">
        <v>1191</v>
      </c>
      <c r="E343" t="s">
        <v>1196</v>
      </c>
    </row>
    <row r="344" spans="4:5" x14ac:dyDescent="0.3">
      <c r="D344" t="s">
        <v>2726</v>
      </c>
      <c r="E344" t="s">
        <v>3164</v>
      </c>
    </row>
    <row r="345" spans="4:5" x14ac:dyDescent="0.3">
      <c r="D345" t="s">
        <v>3418</v>
      </c>
      <c r="E345" t="s">
        <v>3516</v>
      </c>
    </row>
    <row r="346" spans="4:5" x14ac:dyDescent="0.3">
      <c r="D346" t="s">
        <v>1131</v>
      </c>
      <c r="E346" t="s">
        <v>259</v>
      </c>
    </row>
    <row r="347" spans="4:5" x14ac:dyDescent="0.3">
      <c r="D347" t="s">
        <v>2934</v>
      </c>
      <c r="E347" t="s">
        <v>1859</v>
      </c>
    </row>
    <row r="348" spans="4:5" x14ac:dyDescent="0.3">
      <c r="D348" t="s">
        <v>2326</v>
      </c>
      <c r="E348" t="s">
        <v>4485</v>
      </c>
    </row>
    <row r="349" spans="4:5" x14ac:dyDescent="0.3">
      <c r="D349" t="s">
        <v>2464</v>
      </c>
      <c r="E349" t="s">
        <v>5331</v>
      </c>
    </row>
    <row r="350" spans="4:5" x14ac:dyDescent="0.3">
      <c r="D350" t="s">
        <v>3504</v>
      </c>
      <c r="E350" t="s">
        <v>2287</v>
      </c>
    </row>
    <row r="351" spans="4:5" x14ac:dyDescent="0.3">
      <c r="D351" t="s">
        <v>2894</v>
      </c>
      <c r="E351" t="s">
        <v>2943</v>
      </c>
    </row>
    <row r="352" spans="4:5" x14ac:dyDescent="0.3">
      <c r="D352" t="s">
        <v>3738</v>
      </c>
      <c r="E352" t="s">
        <v>1410</v>
      </c>
    </row>
    <row r="353" spans="4:5" x14ac:dyDescent="0.3">
      <c r="D353" t="s">
        <v>4420</v>
      </c>
      <c r="E353" t="s">
        <v>3201</v>
      </c>
    </row>
    <row r="354" spans="4:5" x14ac:dyDescent="0.3">
      <c r="D354" t="s">
        <v>1275</v>
      </c>
      <c r="E354" t="s">
        <v>500</v>
      </c>
    </row>
    <row r="355" spans="4:5" x14ac:dyDescent="0.3">
      <c r="D355" t="s">
        <v>1184</v>
      </c>
      <c r="E355" t="s">
        <v>4681</v>
      </c>
    </row>
    <row r="356" spans="4:5" x14ac:dyDescent="0.3">
      <c r="D356" t="s">
        <v>1129</v>
      </c>
      <c r="E356" t="s">
        <v>1520</v>
      </c>
    </row>
    <row r="357" spans="4:5" x14ac:dyDescent="0.3">
      <c r="D357" t="s">
        <v>2174</v>
      </c>
      <c r="E357" t="s">
        <v>2065</v>
      </c>
    </row>
    <row r="358" spans="4:5" x14ac:dyDescent="0.3">
      <c r="D358" t="s">
        <v>583</v>
      </c>
      <c r="E358" t="s">
        <v>92</v>
      </c>
    </row>
    <row r="359" spans="4:5" x14ac:dyDescent="0.3">
      <c r="D359" t="s">
        <v>3795</v>
      </c>
      <c r="E359" t="s">
        <v>2069</v>
      </c>
    </row>
    <row r="360" spans="4:5" x14ac:dyDescent="0.3">
      <c r="D360" t="s">
        <v>3900</v>
      </c>
      <c r="E360" t="s">
        <v>409</v>
      </c>
    </row>
    <row r="361" spans="4:5" x14ac:dyDescent="0.3">
      <c r="D361" t="s">
        <v>2246</v>
      </c>
      <c r="E361" t="s">
        <v>1249</v>
      </c>
    </row>
    <row r="362" spans="4:5" x14ac:dyDescent="0.3">
      <c r="D362" t="s">
        <v>456</v>
      </c>
      <c r="E362" t="s">
        <v>755</v>
      </c>
    </row>
    <row r="363" spans="4:5" x14ac:dyDescent="0.3">
      <c r="D363" t="s">
        <v>2264</v>
      </c>
      <c r="E363" t="s">
        <v>755</v>
      </c>
    </row>
    <row r="364" spans="4:5" x14ac:dyDescent="0.3">
      <c r="D364" t="s">
        <v>5203</v>
      </c>
      <c r="E364" t="s">
        <v>2250</v>
      </c>
    </row>
    <row r="365" spans="4:5" x14ac:dyDescent="0.3">
      <c r="D365" t="s">
        <v>5304</v>
      </c>
      <c r="E365" t="s">
        <v>128</v>
      </c>
    </row>
    <row r="366" spans="4:5" x14ac:dyDescent="0.3">
      <c r="D366" t="s">
        <v>3903</v>
      </c>
      <c r="E366" t="s">
        <v>2588</v>
      </c>
    </row>
    <row r="367" spans="4:5" x14ac:dyDescent="0.3">
      <c r="D367" t="s">
        <v>5215</v>
      </c>
      <c r="E367" t="s">
        <v>3172</v>
      </c>
    </row>
    <row r="368" spans="4:5" x14ac:dyDescent="0.3">
      <c r="D368" t="s">
        <v>369</v>
      </c>
      <c r="E368" t="s">
        <v>3373</v>
      </c>
    </row>
    <row r="369" spans="4:5" x14ac:dyDescent="0.3">
      <c r="D369" t="s">
        <v>4716</v>
      </c>
      <c r="E369" t="s">
        <v>132</v>
      </c>
    </row>
    <row r="370" spans="4:5" x14ac:dyDescent="0.3">
      <c r="D370" t="s">
        <v>2048</v>
      </c>
      <c r="E370" t="s">
        <v>3284</v>
      </c>
    </row>
    <row r="371" spans="4:5" x14ac:dyDescent="0.3">
      <c r="D371" t="s">
        <v>1355</v>
      </c>
      <c r="E371" t="s">
        <v>3953</v>
      </c>
    </row>
    <row r="372" spans="4:5" x14ac:dyDescent="0.3">
      <c r="D372" t="s">
        <v>2609</v>
      </c>
      <c r="E372" t="s">
        <v>5375</v>
      </c>
    </row>
    <row r="373" spans="4:5" x14ac:dyDescent="0.3">
      <c r="D373" t="s">
        <v>701</v>
      </c>
      <c r="E373" t="s">
        <v>3023</v>
      </c>
    </row>
    <row r="374" spans="4:5" x14ac:dyDescent="0.3">
      <c r="D374" t="s">
        <v>4115</v>
      </c>
      <c r="E374" t="s">
        <v>5347</v>
      </c>
    </row>
    <row r="375" spans="4:5" x14ac:dyDescent="0.3">
      <c r="D375" t="s">
        <v>3697</v>
      </c>
      <c r="E375" t="s">
        <v>1014</v>
      </c>
    </row>
    <row r="376" spans="4:5" x14ac:dyDescent="0.3">
      <c r="D376" t="s">
        <v>2970</v>
      </c>
      <c r="E376" t="s">
        <v>2785</v>
      </c>
    </row>
    <row r="377" spans="4:5" x14ac:dyDescent="0.3">
      <c r="D377" t="s">
        <v>2099</v>
      </c>
      <c r="E377" t="s">
        <v>655</v>
      </c>
    </row>
    <row r="378" spans="4:5" x14ac:dyDescent="0.3">
      <c r="D378" t="s">
        <v>169</v>
      </c>
      <c r="E378" t="s">
        <v>419</v>
      </c>
    </row>
    <row r="379" spans="4:5" x14ac:dyDescent="0.3">
      <c r="D379" t="s">
        <v>3581</v>
      </c>
      <c r="E379" t="s">
        <v>2121</v>
      </c>
    </row>
    <row r="380" spans="4:5" x14ac:dyDescent="0.3">
      <c r="D380" t="s">
        <v>1876</v>
      </c>
      <c r="E380" t="s">
        <v>3455</v>
      </c>
    </row>
    <row r="381" spans="4:5" x14ac:dyDescent="0.3">
      <c r="D381" t="s">
        <v>3849</v>
      </c>
      <c r="E381" t="s">
        <v>3487</v>
      </c>
    </row>
    <row r="382" spans="4:5" x14ac:dyDescent="0.3">
      <c r="D382" t="s">
        <v>4431</v>
      </c>
      <c r="E382" t="s">
        <v>2217</v>
      </c>
    </row>
    <row r="383" spans="4:5" x14ac:dyDescent="0.3">
      <c r="D383" t="s">
        <v>4820</v>
      </c>
      <c r="E383" t="s">
        <v>19</v>
      </c>
    </row>
    <row r="384" spans="4:5" x14ac:dyDescent="0.3">
      <c r="D384" t="s">
        <v>1517</v>
      </c>
      <c r="E384" t="s">
        <v>19</v>
      </c>
    </row>
    <row r="385" spans="4:5" x14ac:dyDescent="0.3">
      <c r="D385" t="s">
        <v>1826</v>
      </c>
      <c r="E385" t="s">
        <v>1043</v>
      </c>
    </row>
    <row r="386" spans="4:5" x14ac:dyDescent="0.3">
      <c r="D386" t="s">
        <v>2408</v>
      </c>
      <c r="E386" t="s">
        <v>1043</v>
      </c>
    </row>
    <row r="387" spans="4:5" x14ac:dyDescent="0.3">
      <c r="D387" t="s">
        <v>206</v>
      </c>
      <c r="E387" t="s">
        <v>2011</v>
      </c>
    </row>
    <row r="388" spans="4:5" x14ac:dyDescent="0.3">
      <c r="D388" t="s">
        <v>713</v>
      </c>
      <c r="E388" t="s">
        <v>5396</v>
      </c>
    </row>
    <row r="389" spans="4:5" x14ac:dyDescent="0.3">
      <c r="D389" t="s">
        <v>4993</v>
      </c>
      <c r="E389" t="s">
        <v>729</v>
      </c>
    </row>
    <row r="390" spans="4:5" x14ac:dyDescent="0.3">
      <c r="D390" t="s">
        <v>3856</v>
      </c>
      <c r="E390" t="s">
        <v>37</v>
      </c>
    </row>
    <row r="391" spans="4:5" x14ac:dyDescent="0.3">
      <c r="D391" t="s">
        <v>919</v>
      </c>
      <c r="E391" t="s">
        <v>37</v>
      </c>
    </row>
    <row r="392" spans="4:5" x14ac:dyDescent="0.3">
      <c r="D392" t="s">
        <v>512</v>
      </c>
      <c r="E392" t="s">
        <v>42</v>
      </c>
    </row>
    <row r="393" spans="4:5" x14ac:dyDescent="0.3">
      <c r="D393" t="s">
        <v>2218</v>
      </c>
      <c r="E393" t="s">
        <v>2769</v>
      </c>
    </row>
    <row r="394" spans="4:5" x14ac:dyDescent="0.3">
      <c r="D394" t="s">
        <v>2307</v>
      </c>
      <c r="E394" t="s">
        <v>153</v>
      </c>
    </row>
    <row r="395" spans="4:5" x14ac:dyDescent="0.3">
      <c r="D395" t="s">
        <v>1494</v>
      </c>
      <c r="E395" t="s">
        <v>1387</v>
      </c>
    </row>
    <row r="396" spans="4:5" x14ac:dyDescent="0.3">
      <c r="D396" t="s">
        <v>5350</v>
      </c>
      <c r="E396" t="s">
        <v>458</v>
      </c>
    </row>
    <row r="397" spans="4:5" x14ac:dyDescent="0.3">
      <c r="D397" t="s">
        <v>1744</v>
      </c>
      <c r="E397" t="s">
        <v>122</v>
      </c>
    </row>
    <row r="398" spans="4:5" x14ac:dyDescent="0.3">
      <c r="D398" t="s">
        <v>4410</v>
      </c>
      <c r="E398" t="s">
        <v>1716</v>
      </c>
    </row>
    <row r="399" spans="4:5" x14ac:dyDescent="0.3">
      <c r="D399" t="s">
        <v>1849</v>
      </c>
      <c r="E399" t="s">
        <v>1511</v>
      </c>
    </row>
    <row r="400" spans="4:5" x14ac:dyDescent="0.3">
      <c r="D400" t="s">
        <v>2002</v>
      </c>
      <c r="E400" t="s">
        <v>1645</v>
      </c>
    </row>
    <row r="401" spans="4:5" x14ac:dyDescent="0.3">
      <c r="D401" t="s">
        <v>1213</v>
      </c>
      <c r="E401" t="s">
        <v>1715</v>
      </c>
    </row>
    <row r="402" spans="4:5" x14ac:dyDescent="0.3">
      <c r="D402" t="s">
        <v>762</v>
      </c>
      <c r="E402" t="s">
        <v>5009</v>
      </c>
    </row>
    <row r="403" spans="4:5" x14ac:dyDescent="0.3">
      <c r="D403" t="s">
        <v>4035</v>
      </c>
      <c r="E403" t="s">
        <v>5040</v>
      </c>
    </row>
    <row r="404" spans="4:5" x14ac:dyDescent="0.3">
      <c r="D404" t="s">
        <v>4733</v>
      </c>
      <c r="E404" t="s">
        <v>5301</v>
      </c>
    </row>
    <row r="405" spans="4:5" x14ac:dyDescent="0.3">
      <c r="D405" t="s">
        <v>1607</v>
      </c>
      <c r="E405" t="s">
        <v>5082</v>
      </c>
    </row>
    <row r="406" spans="4:5" x14ac:dyDescent="0.3">
      <c r="D406" t="s">
        <v>3876</v>
      </c>
      <c r="E406" t="s">
        <v>5053</v>
      </c>
    </row>
    <row r="407" spans="4:5" x14ac:dyDescent="0.3">
      <c r="D407" t="s">
        <v>5291</v>
      </c>
      <c r="E407" t="s">
        <v>633</v>
      </c>
    </row>
    <row r="408" spans="4:5" x14ac:dyDescent="0.3">
      <c r="D408" t="s">
        <v>4347</v>
      </c>
      <c r="E408" t="s">
        <v>5300</v>
      </c>
    </row>
    <row r="409" spans="4:5" x14ac:dyDescent="0.3">
      <c r="D409" t="s">
        <v>1204</v>
      </c>
      <c r="E409" t="s">
        <v>5039</v>
      </c>
    </row>
    <row r="410" spans="4:5" x14ac:dyDescent="0.3">
      <c r="D410" t="s">
        <v>1921</v>
      </c>
      <c r="E410" t="s">
        <v>4719</v>
      </c>
    </row>
    <row r="411" spans="4:5" x14ac:dyDescent="0.3">
      <c r="D411" t="s">
        <v>707</v>
      </c>
      <c r="E411" t="s">
        <v>2020</v>
      </c>
    </row>
    <row r="412" spans="4:5" x14ac:dyDescent="0.3">
      <c r="D412" t="s">
        <v>5285</v>
      </c>
      <c r="E412" t="s">
        <v>3381</v>
      </c>
    </row>
    <row r="413" spans="4:5" x14ac:dyDescent="0.3">
      <c r="D413" t="s">
        <v>3947</v>
      </c>
      <c r="E413" t="s">
        <v>1377</v>
      </c>
    </row>
    <row r="414" spans="4:5" x14ac:dyDescent="0.3">
      <c r="D414" t="s">
        <v>5335</v>
      </c>
      <c r="E414" t="s">
        <v>217</v>
      </c>
    </row>
    <row r="415" spans="4:5" x14ac:dyDescent="0.3">
      <c r="D415" t="s">
        <v>5212</v>
      </c>
      <c r="E415" t="s">
        <v>2814</v>
      </c>
    </row>
    <row r="416" spans="4:5" x14ac:dyDescent="0.3">
      <c r="D416" t="s">
        <v>3575</v>
      </c>
      <c r="E416" t="s">
        <v>1474</v>
      </c>
    </row>
    <row r="417" spans="4:5" x14ac:dyDescent="0.3">
      <c r="D417" t="s">
        <v>1464</v>
      </c>
      <c r="E417" t="s">
        <v>13</v>
      </c>
    </row>
    <row r="418" spans="4:5" x14ac:dyDescent="0.3">
      <c r="D418" t="s">
        <v>5376</v>
      </c>
      <c r="E418" t="s">
        <v>13</v>
      </c>
    </row>
    <row r="419" spans="4:5" x14ac:dyDescent="0.3">
      <c r="D419" t="s">
        <v>311</v>
      </c>
      <c r="E419" t="s">
        <v>5086</v>
      </c>
    </row>
    <row r="420" spans="4:5" x14ac:dyDescent="0.3">
      <c r="D420" t="s">
        <v>2914</v>
      </c>
      <c r="E420" t="s">
        <v>4416</v>
      </c>
    </row>
    <row r="421" spans="4:5" x14ac:dyDescent="0.3">
      <c r="D421" t="s">
        <v>2669</v>
      </c>
      <c r="E421" t="s">
        <v>352</v>
      </c>
    </row>
    <row r="422" spans="4:5" x14ac:dyDescent="0.3">
      <c r="D422" t="s">
        <v>1315</v>
      </c>
      <c r="E422" t="s">
        <v>4417</v>
      </c>
    </row>
    <row r="423" spans="4:5" x14ac:dyDescent="0.3">
      <c r="D423" t="s">
        <v>3994</v>
      </c>
      <c r="E423" t="s">
        <v>2343</v>
      </c>
    </row>
    <row r="424" spans="4:5" x14ac:dyDescent="0.3">
      <c r="D424" t="s">
        <v>1461</v>
      </c>
      <c r="E424" t="s">
        <v>3684</v>
      </c>
    </row>
    <row r="425" spans="4:5" x14ac:dyDescent="0.3">
      <c r="D425" t="s">
        <v>2486</v>
      </c>
      <c r="E425" t="s">
        <v>3607</v>
      </c>
    </row>
    <row r="426" spans="4:5" x14ac:dyDescent="0.3">
      <c r="D426" t="s">
        <v>2386</v>
      </c>
      <c r="E426" t="s">
        <v>2733</v>
      </c>
    </row>
    <row r="427" spans="4:5" x14ac:dyDescent="0.3">
      <c r="D427" t="s">
        <v>4765</v>
      </c>
      <c r="E427" t="s">
        <v>5034</v>
      </c>
    </row>
    <row r="428" spans="4:5" x14ac:dyDescent="0.3">
      <c r="D428" t="s">
        <v>4671</v>
      </c>
      <c r="E428" t="s">
        <v>4663</v>
      </c>
    </row>
    <row r="429" spans="4:5" x14ac:dyDescent="0.3">
      <c r="D429" t="s">
        <v>230</v>
      </c>
      <c r="E429" t="s">
        <v>5315</v>
      </c>
    </row>
    <row r="430" spans="4:5" x14ac:dyDescent="0.3">
      <c r="D430" t="s">
        <v>4265</v>
      </c>
      <c r="E430" t="s">
        <v>4099</v>
      </c>
    </row>
    <row r="431" spans="4:5" x14ac:dyDescent="0.3">
      <c r="D431" t="s">
        <v>5297</v>
      </c>
      <c r="E431" t="s">
        <v>2729</v>
      </c>
    </row>
    <row r="432" spans="4:5" x14ac:dyDescent="0.3">
      <c r="D432" t="s">
        <v>1126</v>
      </c>
      <c r="E432" t="s">
        <v>2756</v>
      </c>
    </row>
    <row r="433" spans="4:5" x14ac:dyDescent="0.3">
      <c r="D433" t="s">
        <v>5090</v>
      </c>
      <c r="E433" t="s">
        <v>3225</v>
      </c>
    </row>
    <row r="434" spans="4:5" x14ac:dyDescent="0.3">
      <c r="D434" t="s">
        <v>4599</v>
      </c>
      <c r="E434" t="s">
        <v>3473</v>
      </c>
    </row>
    <row r="435" spans="4:5" x14ac:dyDescent="0.3">
      <c r="D435" t="s">
        <v>4486</v>
      </c>
      <c r="E435" t="s">
        <v>3070</v>
      </c>
    </row>
    <row r="436" spans="4:5" x14ac:dyDescent="0.3">
      <c r="D436" t="s">
        <v>4645</v>
      </c>
      <c r="E436" t="s">
        <v>3894</v>
      </c>
    </row>
    <row r="437" spans="4:5" x14ac:dyDescent="0.3">
      <c r="D437" t="s">
        <v>4623</v>
      </c>
      <c r="E437" t="s">
        <v>1059</v>
      </c>
    </row>
    <row r="438" spans="4:5" x14ac:dyDescent="0.3">
      <c r="D438" t="s">
        <v>5125</v>
      </c>
      <c r="E438" t="s">
        <v>331</v>
      </c>
    </row>
    <row r="439" spans="4:5" x14ac:dyDescent="0.3">
      <c r="D439" t="s">
        <v>1544</v>
      </c>
      <c r="E439" t="s">
        <v>1047</v>
      </c>
    </row>
    <row r="440" spans="4:5" x14ac:dyDescent="0.3">
      <c r="D440" t="s">
        <v>3134</v>
      </c>
      <c r="E440" t="s">
        <v>3782</v>
      </c>
    </row>
    <row r="441" spans="4:5" x14ac:dyDescent="0.3">
      <c r="D441" t="s">
        <v>1393</v>
      </c>
      <c r="E441" t="s">
        <v>2996</v>
      </c>
    </row>
    <row r="442" spans="4:5" x14ac:dyDescent="0.3">
      <c r="D442" t="s">
        <v>1792</v>
      </c>
      <c r="E442" t="s">
        <v>3433</v>
      </c>
    </row>
    <row r="443" spans="4:5" x14ac:dyDescent="0.3">
      <c r="D443" t="s">
        <v>3760</v>
      </c>
      <c r="E443" t="s">
        <v>1671</v>
      </c>
    </row>
    <row r="444" spans="4:5" x14ac:dyDescent="0.3">
      <c r="D444" t="s">
        <v>1539</v>
      </c>
      <c r="E444" t="s">
        <v>700</v>
      </c>
    </row>
    <row r="445" spans="4:5" x14ac:dyDescent="0.3">
      <c r="D445" t="s">
        <v>4134</v>
      </c>
      <c r="E445" t="s">
        <v>121</v>
      </c>
    </row>
    <row r="446" spans="4:5" x14ac:dyDescent="0.3">
      <c r="D446" t="s">
        <v>2878</v>
      </c>
      <c r="E446" t="s">
        <v>121</v>
      </c>
    </row>
    <row r="447" spans="4:5" x14ac:dyDescent="0.3">
      <c r="D447" t="s">
        <v>4380</v>
      </c>
      <c r="E447" t="s">
        <v>3498</v>
      </c>
    </row>
    <row r="448" spans="4:5" x14ac:dyDescent="0.3">
      <c r="D448" t="s">
        <v>1618</v>
      </c>
      <c r="E448" t="s">
        <v>3200</v>
      </c>
    </row>
    <row r="449" spans="4:5" x14ac:dyDescent="0.3">
      <c r="D449" t="s">
        <v>1993</v>
      </c>
      <c r="E449" t="s">
        <v>1437</v>
      </c>
    </row>
    <row r="450" spans="4:5" x14ac:dyDescent="0.3">
      <c r="D450" t="s">
        <v>774</v>
      </c>
      <c r="E450" t="s">
        <v>1386</v>
      </c>
    </row>
    <row r="451" spans="4:5" x14ac:dyDescent="0.3">
      <c r="D451" t="s">
        <v>1604</v>
      </c>
      <c r="E451" t="s">
        <v>2762</v>
      </c>
    </row>
    <row r="452" spans="4:5" x14ac:dyDescent="0.3">
      <c r="D452" t="s">
        <v>101</v>
      </c>
      <c r="E452" t="s">
        <v>194</v>
      </c>
    </row>
    <row r="453" spans="4:5" x14ac:dyDescent="0.3">
      <c r="D453" t="s">
        <v>3588</v>
      </c>
      <c r="E453" t="s">
        <v>3333</v>
      </c>
    </row>
    <row r="454" spans="4:5" x14ac:dyDescent="0.3">
      <c r="D454" t="s">
        <v>3644</v>
      </c>
      <c r="E454" t="s">
        <v>4245</v>
      </c>
    </row>
    <row r="455" spans="4:5" x14ac:dyDescent="0.3">
      <c r="D455" t="s">
        <v>3525</v>
      </c>
      <c r="E455" t="s">
        <v>54</v>
      </c>
    </row>
    <row r="456" spans="4:5" x14ac:dyDescent="0.3">
      <c r="D456" t="s">
        <v>2070</v>
      </c>
      <c r="E456" t="s">
        <v>2489</v>
      </c>
    </row>
    <row r="457" spans="4:5" x14ac:dyDescent="0.3">
      <c r="D457" t="s">
        <v>1739</v>
      </c>
      <c r="E457" t="s">
        <v>3239</v>
      </c>
    </row>
    <row r="458" spans="4:5" x14ac:dyDescent="0.3">
      <c r="D458" t="s">
        <v>4344</v>
      </c>
      <c r="E458" t="s">
        <v>4126</v>
      </c>
    </row>
    <row r="459" spans="4:5" x14ac:dyDescent="0.3">
      <c r="D459" t="s">
        <v>4246</v>
      </c>
      <c r="E459" t="s">
        <v>1761</v>
      </c>
    </row>
    <row r="460" spans="4:5" x14ac:dyDescent="0.3">
      <c r="D460" t="s">
        <v>3950</v>
      </c>
      <c r="E460" t="s">
        <v>3331</v>
      </c>
    </row>
    <row r="461" spans="4:5" x14ac:dyDescent="0.3">
      <c r="D461" t="s">
        <v>2163</v>
      </c>
      <c r="E461" t="s">
        <v>3256</v>
      </c>
    </row>
    <row r="462" spans="4:5" x14ac:dyDescent="0.3">
      <c r="D462" t="s">
        <v>3392</v>
      </c>
      <c r="E462" t="s">
        <v>1629</v>
      </c>
    </row>
    <row r="463" spans="4:5" x14ac:dyDescent="0.3">
      <c r="D463" t="s">
        <v>3694</v>
      </c>
      <c r="E463" t="s">
        <v>1001</v>
      </c>
    </row>
    <row r="464" spans="4:5" x14ac:dyDescent="0.3">
      <c r="D464" t="s">
        <v>951</v>
      </c>
      <c r="E464" t="s">
        <v>4670</v>
      </c>
    </row>
    <row r="465" spans="4:5" x14ac:dyDescent="0.3">
      <c r="D465" t="s">
        <v>1646</v>
      </c>
      <c r="E465" t="s">
        <v>5175</v>
      </c>
    </row>
    <row r="466" spans="4:5" x14ac:dyDescent="0.3">
      <c r="D466" t="s">
        <v>1324</v>
      </c>
      <c r="E466" t="s">
        <v>3014</v>
      </c>
    </row>
    <row r="467" spans="4:5" x14ac:dyDescent="0.3">
      <c r="D467" t="s">
        <v>2230</v>
      </c>
      <c r="E467" t="s">
        <v>2787</v>
      </c>
    </row>
    <row r="468" spans="4:5" x14ac:dyDescent="0.3">
      <c r="D468" t="s">
        <v>4208</v>
      </c>
      <c r="E468" t="s">
        <v>875</v>
      </c>
    </row>
    <row r="469" spans="4:5" x14ac:dyDescent="0.3">
      <c r="D469" t="s">
        <v>2622</v>
      </c>
      <c r="E469" t="s">
        <v>3133</v>
      </c>
    </row>
    <row r="470" spans="4:5" x14ac:dyDescent="0.3">
      <c r="D470" t="s">
        <v>31</v>
      </c>
      <c r="E470" t="s">
        <v>3297</v>
      </c>
    </row>
    <row r="471" spans="4:5" x14ac:dyDescent="0.3">
      <c r="D471" t="s">
        <v>3662</v>
      </c>
      <c r="E471" t="s">
        <v>5379</v>
      </c>
    </row>
    <row r="472" spans="4:5" x14ac:dyDescent="0.3">
      <c r="D472" t="s">
        <v>743</v>
      </c>
      <c r="E472" t="s">
        <v>2712</v>
      </c>
    </row>
    <row r="473" spans="4:5" x14ac:dyDescent="0.3">
      <c r="D473" t="s">
        <v>357</v>
      </c>
      <c r="E473" t="s">
        <v>4071</v>
      </c>
    </row>
    <row r="474" spans="4:5" x14ac:dyDescent="0.3">
      <c r="D474" t="s">
        <v>4443</v>
      </c>
      <c r="E474" t="s">
        <v>5397</v>
      </c>
    </row>
    <row r="475" spans="4:5" x14ac:dyDescent="0.3">
      <c r="D475" t="s">
        <v>2734</v>
      </c>
      <c r="E475" t="s">
        <v>1762</v>
      </c>
    </row>
    <row r="476" spans="4:5" x14ac:dyDescent="0.3">
      <c r="D476" t="s">
        <v>1009</v>
      </c>
      <c r="E476" t="s">
        <v>5398</v>
      </c>
    </row>
    <row r="477" spans="4:5" x14ac:dyDescent="0.3">
      <c r="D477" t="s">
        <v>1123</v>
      </c>
      <c r="E477" t="s">
        <v>3374</v>
      </c>
    </row>
    <row r="478" spans="4:5" x14ac:dyDescent="0.3">
      <c r="D478" t="s">
        <v>1120</v>
      </c>
      <c r="E478" t="s">
        <v>4340</v>
      </c>
    </row>
    <row r="479" spans="4:5" x14ac:dyDescent="0.3">
      <c r="D479" t="s">
        <v>3868</v>
      </c>
      <c r="E479" t="s">
        <v>4317</v>
      </c>
    </row>
    <row r="480" spans="4:5" x14ac:dyDescent="0.3">
      <c r="D480" t="s">
        <v>4160</v>
      </c>
      <c r="E480" t="s">
        <v>2992</v>
      </c>
    </row>
    <row r="481" spans="4:5" x14ac:dyDescent="0.3">
      <c r="D481" t="s">
        <v>1331</v>
      </c>
      <c r="E481" t="s">
        <v>4098</v>
      </c>
    </row>
    <row r="482" spans="4:5" x14ac:dyDescent="0.3">
      <c r="D482" t="s">
        <v>5263</v>
      </c>
      <c r="E482" t="s">
        <v>2507</v>
      </c>
    </row>
    <row r="483" spans="4:5" x14ac:dyDescent="0.3">
      <c r="D483" t="s">
        <v>3058</v>
      </c>
      <c r="E483" t="s">
        <v>4921</v>
      </c>
    </row>
    <row r="484" spans="4:5" x14ac:dyDescent="0.3">
      <c r="D484" t="s">
        <v>5047</v>
      </c>
      <c r="E484" t="s">
        <v>2533</v>
      </c>
    </row>
    <row r="485" spans="4:5" x14ac:dyDescent="0.3">
      <c r="D485" t="s">
        <v>747</v>
      </c>
      <c r="E485" t="s">
        <v>3015</v>
      </c>
    </row>
    <row r="486" spans="4:5" x14ac:dyDescent="0.3">
      <c r="D486" t="s">
        <v>1976</v>
      </c>
      <c r="E486" t="s">
        <v>904</v>
      </c>
    </row>
    <row r="487" spans="4:5" x14ac:dyDescent="0.3">
      <c r="D487" t="s">
        <v>5137</v>
      </c>
      <c r="E487" t="s">
        <v>4761</v>
      </c>
    </row>
    <row r="488" spans="4:5" x14ac:dyDescent="0.3">
      <c r="D488" t="s">
        <v>2927</v>
      </c>
      <c r="E488" t="s">
        <v>3816</v>
      </c>
    </row>
    <row r="489" spans="4:5" x14ac:dyDescent="0.3">
      <c r="D489" t="s">
        <v>176</v>
      </c>
      <c r="E489" t="s">
        <v>539</v>
      </c>
    </row>
    <row r="490" spans="4:5" x14ac:dyDescent="0.3">
      <c r="D490" t="s">
        <v>2449</v>
      </c>
      <c r="E490" t="s">
        <v>187</v>
      </c>
    </row>
    <row r="491" spans="4:5" x14ac:dyDescent="0.3">
      <c r="D491" t="s">
        <v>989</v>
      </c>
      <c r="E491" t="s">
        <v>4282</v>
      </c>
    </row>
    <row r="492" spans="4:5" x14ac:dyDescent="0.3">
      <c r="D492" t="s">
        <v>1585</v>
      </c>
      <c r="E492" t="s">
        <v>188</v>
      </c>
    </row>
    <row r="493" spans="4:5" x14ac:dyDescent="0.3">
      <c r="D493" t="s">
        <v>68</v>
      </c>
      <c r="E493" t="s">
        <v>1549</v>
      </c>
    </row>
    <row r="494" spans="4:5" x14ac:dyDescent="0.3">
      <c r="D494" t="s">
        <v>551</v>
      </c>
      <c r="E494" t="s">
        <v>1548</v>
      </c>
    </row>
    <row r="495" spans="4:5" x14ac:dyDescent="0.3">
      <c r="D495" t="s">
        <v>292</v>
      </c>
      <c r="E495" t="s">
        <v>3440</v>
      </c>
    </row>
    <row r="496" spans="4:5" x14ac:dyDescent="0.3">
      <c r="D496" t="s">
        <v>2130</v>
      </c>
      <c r="E496" t="s">
        <v>2647</v>
      </c>
    </row>
    <row r="497" spans="4:5" x14ac:dyDescent="0.3">
      <c r="D497" t="s">
        <v>4580</v>
      </c>
      <c r="E497" t="s">
        <v>4067</v>
      </c>
    </row>
    <row r="498" spans="4:5" x14ac:dyDescent="0.3">
      <c r="D498" t="s">
        <v>4169</v>
      </c>
      <c r="E498" t="s">
        <v>3879</v>
      </c>
    </row>
    <row r="499" spans="4:5" x14ac:dyDescent="0.3">
      <c r="D499" t="s">
        <v>4873</v>
      </c>
      <c r="E499" t="s">
        <v>3745</v>
      </c>
    </row>
    <row r="500" spans="4:5" x14ac:dyDescent="0.3">
      <c r="D500" t="s">
        <v>285</v>
      </c>
      <c r="E500" t="s">
        <v>5258</v>
      </c>
    </row>
    <row r="501" spans="4:5" x14ac:dyDescent="0.3">
      <c r="D501" t="s">
        <v>5252</v>
      </c>
      <c r="E501" t="s">
        <v>2134</v>
      </c>
    </row>
    <row r="502" spans="4:5" x14ac:dyDescent="0.3">
      <c r="D502" t="s">
        <v>1512</v>
      </c>
      <c r="E502" t="s">
        <v>738</v>
      </c>
    </row>
    <row r="503" spans="4:5" x14ac:dyDescent="0.3">
      <c r="D503" t="s">
        <v>3322</v>
      </c>
      <c r="E503" t="s">
        <v>1313</v>
      </c>
    </row>
    <row r="504" spans="4:5" x14ac:dyDescent="0.3">
      <c r="D504" t="s">
        <v>3083</v>
      </c>
      <c r="E504" t="s">
        <v>4795</v>
      </c>
    </row>
    <row r="505" spans="4:5" x14ac:dyDescent="0.3">
      <c r="D505" t="s">
        <v>5269</v>
      </c>
      <c r="E505" t="s">
        <v>3845</v>
      </c>
    </row>
    <row r="506" spans="4:5" x14ac:dyDescent="0.3">
      <c r="D506" t="s">
        <v>1497</v>
      </c>
      <c r="E506" t="s">
        <v>2311</v>
      </c>
    </row>
    <row r="507" spans="4:5" x14ac:dyDescent="0.3">
      <c r="D507" t="s">
        <v>4817</v>
      </c>
      <c r="E507" t="s">
        <v>1623</v>
      </c>
    </row>
    <row r="508" spans="4:5" x14ac:dyDescent="0.3">
      <c r="D508" t="s">
        <v>4286</v>
      </c>
      <c r="E508" t="s">
        <v>5399</v>
      </c>
    </row>
    <row r="509" spans="4:5" x14ac:dyDescent="0.3">
      <c r="D509" t="s">
        <v>1429</v>
      </c>
      <c r="E509" t="s">
        <v>4941</v>
      </c>
    </row>
    <row r="510" spans="4:5" x14ac:dyDescent="0.3">
      <c r="D510" t="s">
        <v>2723</v>
      </c>
      <c r="E510" t="s">
        <v>1050</v>
      </c>
    </row>
    <row r="511" spans="4:5" x14ac:dyDescent="0.3">
      <c r="D511" t="s">
        <v>2193</v>
      </c>
      <c r="E511" t="s">
        <v>2035</v>
      </c>
    </row>
    <row r="512" spans="4:5" x14ac:dyDescent="0.3">
      <c r="D512" t="s">
        <v>4762</v>
      </c>
      <c r="E512" t="s">
        <v>1829</v>
      </c>
    </row>
    <row r="513" spans="4:5" x14ac:dyDescent="0.3">
      <c r="D513" t="s">
        <v>5054</v>
      </c>
      <c r="E513" t="s">
        <v>922</v>
      </c>
    </row>
    <row r="514" spans="4:5" x14ac:dyDescent="0.3">
      <c r="D514" t="s">
        <v>4997</v>
      </c>
      <c r="E514" t="s">
        <v>1160</v>
      </c>
    </row>
    <row r="515" spans="4:5" x14ac:dyDescent="0.3">
      <c r="D515" t="s">
        <v>3316</v>
      </c>
      <c r="E515" t="s">
        <v>4281</v>
      </c>
    </row>
    <row r="516" spans="4:5" x14ac:dyDescent="0.3">
      <c r="D516" t="s">
        <v>2644</v>
      </c>
      <c r="E516" t="s">
        <v>1232</v>
      </c>
    </row>
    <row r="517" spans="4:5" x14ac:dyDescent="0.3">
      <c r="D517" t="s">
        <v>2921</v>
      </c>
      <c r="E517" t="s">
        <v>3125</v>
      </c>
    </row>
    <row r="518" spans="4:5" x14ac:dyDescent="0.3">
      <c r="D518" t="s">
        <v>2555</v>
      </c>
      <c r="E518" t="s">
        <v>5174</v>
      </c>
    </row>
    <row r="519" spans="4:5" x14ac:dyDescent="0.3">
      <c r="D519" t="s">
        <v>4146</v>
      </c>
      <c r="E519" t="s">
        <v>193</v>
      </c>
    </row>
    <row r="520" spans="4:5" x14ac:dyDescent="0.3">
      <c r="D520" t="s">
        <v>4468</v>
      </c>
      <c r="E520" t="s">
        <v>4196</v>
      </c>
    </row>
    <row r="521" spans="4:5" x14ac:dyDescent="0.3">
      <c r="D521" t="s">
        <v>2238</v>
      </c>
      <c r="E521" t="s">
        <v>3255</v>
      </c>
    </row>
    <row r="522" spans="4:5" x14ac:dyDescent="0.3">
      <c r="D522" t="s">
        <v>4427</v>
      </c>
      <c r="E522" t="s">
        <v>2856</v>
      </c>
    </row>
    <row r="523" spans="4:5" x14ac:dyDescent="0.3">
      <c r="D523" t="s">
        <v>5328</v>
      </c>
      <c r="E523" t="s">
        <v>1503</v>
      </c>
    </row>
    <row r="524" spans="4:5" x14ac:dyDescent="0.3">
      <c r="D524" t="s">
        <v>5273</v>
      </c>
      <c r="E524" t="s">
        <v>5173</v>
      </c>
    </row>
    <row r="525" spans="4:5" x14ac:dyDescent="0.3">
      <c r="D525" t="s">
        <v>2473</v>
      </c>
      <c r="E525" t="s">
        <v>883</v>
      </c>
    </row>
    <row r="526" spans="4:5" x14ac:dyDescent="0.3">
      <c r="D526" t="s">
        <v>5116</v>
      </c>
      <c r="E526" t="s">
        <v>36</v>
      </c>
    </row>
    <row r="527" spans="4:5" x14ac:dyDescent="0.3">
      <c r="D527" t="s">
        <v>1885</v>
      </c>
      <c r="E527" t="s">
        <v>890</v>
      </c>
    </row>
    <row r="528" spans="4:5" x14ac:dyDescent="0.3">
      <c r="D528" t="s">
        <v>739</v>
      </c>
      <c r="E528" t="s">
        <v>420</v>
      </c>
    </row>
    <row r="529" spans="4:5" x14ac:dyDescent="0.3">
      <c r="D529" t="s">
        <v>651</v>
      </c>
      <c r="E529" t="s">
        <v>3140</v>
      </c>
    </row>
    <row r="530" spans="4:5" x14ac:dyDescent="0.3">
      <c r="D530" t="s">
        <v>2788</v>
      </c>
      <c r="E530" t="s">
        <v>3247</v>
      </c>
    </row>
    <row r="531" spans="4:5" x14ac:dyDescent="0.3">
      <c r="D531" t="s">
        <v>4175</v>
      </c>
      <c r="E531" t="s">
        <v>337</v>
      </c>
    </row>
    <row r="532" spans="4:5" x14ac:dyDescent="0.3">
      <c r="D532" t="s">
        <v>623</v>
      </c>
      <c r="E532" t="s">
        <v>3615</v>
      </c>
    </row>
    <row r="533" spans="4:5" x14ac:dyDescent="0.3">
      <c r="D533" t="s">
        <v>1230</v>
      </c>
      <c r="E533" t="s">
        <v>145</v>
      </c>
    </row>
    <row r="534" spans="4:5" x14ac:dyDescent="0.3">
      <c r="D534" t="s">
        <v>344</v>
      </c>
      <c r="E534" t="s">
        <v>2095</v>
      </c>
    </row>
    <row r="535" spans="4:5" x14ac:dyDescent="0.3">
      <c r="D535" t="s">
        <v>2102</v>
      </c>
      <c r="E535" t="s">
        <v>3893</v>
      </c>
    </row>
    <row r="536" spans="4:5" x14ac:dyDescent="0.3">
      <c r="D536" t="s">
        <v>325</v>
      </c>
      <c r="E536" t="s">
        <v>4618</v>
      </c>
    </row>
    <row r="537" spans="4:5" x14ac:dyDescent="0.3">
      <c r="D537" t="s">
        <v>4698</v>
      </c>
      <c r="E537" t="s">
        <v>445</v>
      </c>
    </row>
    <row r="538" spans="4:5" x14ac:dyDescent="0.3">
      <c r="D538" t="s">
        <v>3034</v>
      </c>
      <c r="E538" t="s">
        <v>716</v>
      </c>
    </row>
    <row r="539" spans="4:5" x14ac:dyDescent="0.3">
      <c r="D539" t="s">
        <v>758</v>
      </c>
      <c r="E539" t="s">
        <v>3722</v>
      </c>
    </row>
    <row r="540" spans="4:5" x14ac:dyDescent="0.3">
      <c r="D540" t="s">
        <v>3499</v>
      </c>
      <c r="E540" t="s">
        <v>4899</v>
      </c>
    </row>
    <row r="541" spans="4:5" x14ac:dyDescent="0.3">
      <c r="D541" t="s">
        <v>4525</v>
      </c>
      <c r="E541" t="s">
        <v>2412</v>
      </c>
    </row>
    <row r="542" spans="4:5" x14ac:dyDescent="0.3">
      <c r="D542" t="s">
        <v>190</v>
      </c>
      <c r="E542" t="s">
        <v>2411</v>
      </c>
    </row>
    <row r="543" spans="4:5" x14ac:dyDescent="0.3">
      <c r="D543" t="s">
        <v>2185</v>
      </c>
      <c r="E543" t="s">
        <v>859</v>
      </c>
    </row>
    <row r="544" spans="4:5" x14ac:dyDescent="0.3">
      <c r="D544" t="s">
        <v>1649</v>
      </c>
      <c r="E544" t="s">
        <v>2310</v>
      </c>
    </row>
    <row r="545" spans="4:5" x14ac:dyDescent="0.3">
      <c r="D545" t="s">
        <v>1557</v>
      </c>
      <c r="E545" t="s">
        <v>1404</v>
      </c>
    </row>
    <row r="546" spans="4:5" x14ac:dyDescent="0.3">
      <c r="D546" t="s">
        <v>3545</v>
      </c>
      <c r="E546" t="s">
        <v>2024</v>
      </c>
    </row>
    <row r="547" spans="4:5" x14ac:dyDescent="0.3">
      <c r="D547" t="s">
        <v>2569</v>
      </c>
      <c r="E547" t="s">
        <v>3139</v>
      </c>
    </row>
    <row r="548" spans="4:5" x14ac:dyDescent="0.3">
      <c r="D548" t="s">
        <v>447</v>
      </c>
      <c r="E548" t="s">
        <v>2413</v>
      </c>
    </row>
    <row r="549" spans="4:5" x14ac:dyDescent="0.3">
      <c r="D549" t="s">
        <v>416</v>
      </c>
      <c r="E549" t="s">
        <v>20</v>
      </c>
    </row>
    <row r="550" spans="4:5" x14ac:dyDescent="0.3">
      <c r="D550" t="s">
        <v>3513</v>
      </c>
      <c r="E550" t="s">
        <v>861</v>
      </c>
    </row>
    <row r="551" spans="4:5" x14ac:dyDescent="0.3">
      <c r="D551" t="s">
        <v>1982</v>
      </c>
      <c r="E551" t="s">
        <v>2452</v>
      </c>
    </row>
    <row r="552" spans="4:5" x14ac:dyDescent="0.3">
      <c r="D552" t="s">
        <v>590</v>
      </c>
      <c r="E552" t="s">
        <v>1403</v>
      </c>
    </row>
    <row r="553" spans="4:5" x14ac:dyDescent="0.3">
      <c r="D553" t="s">
        <v>1088</v>
      </c>
      <c r="E553" t="s">
        <v>2882</v>
      </c>
    </row>
    <row r="554" spans="4:5" x14ac:dyDescent="0.3">
      <c r="D554" t="s">
        <v>4534</v>
      </c>
      <c r="E554" t="s">
        <v>593</v>
      </c>
    </row>
    <row r="555" spans="4:5" x14ac:dyDescent="0.3">
      <c r="D555" t="s">
        <v>1662</v>
      </c>
      <c r="E555" t="s">
        <v>1019</v>
      </c>
    </row>
    <row r="556" spans="4:5" x14ac:dyDescent="0.3">
      <c r="D556" t="s">
        <v>2800</v>
      </c>
      <c r="E556" t="s">
        <v>134</v>
      </c>
    </row>
    <row r="557" spans="4:5" x14ac:dyDescent="0.3">
      <c r="D557" t="s">
        <v>2747</v>
      </c>
      <c r="E557" t="s">
        <v>4547</v>
      </c>
    </row>
    <row r="558" spans="4:5" x14ac:dyDescent="0.3">
      <c r="D558" t="s">
        <v>255</v>
      </c>
      <c r="E558" t="s">
        <v>992</v>
      </c>
    </row>
    <row r="559" spans="4:5" x14ac:dyDescent="0.3">
      <c r="D559" t="s">
        <v>2619</v>
      </c>
      <c r="E559" t="s">
        <v>2955</v>
      </c>
    </row>
    <row r="560" spans="4:5" x14ac:dyDescent="0.3">
      <c r="D560" t="s">
        <v>1712</v>
      </c>
      <c r="E560" t="s">
        <v>3421</v>
      </c>
    </row>
    <row r="561" spans="4:5" x14ac:dyDescent="0.3">
      <c r="D561" t="s">
        <v>4262</v>
      </c>
      <c r="E561" t="s">
        <v>95</v>
      </c>
    </row>
    <row r="562" spans="4:5" x14ac:dyDescent="0.3">
      <c r="D562" t="s">
        <v>4935</v>
      </c>
      <c r="E562" t="s">
        <v>95</v>
      </c>
    </row>
    <row r="563" spans="4:5" x14ac:dyDescent="0.3">
      <c r="D563" t="s">
        <v>4011</v>
      </c>
      <c r="E563" t="s">
        <v>5400</v>
      </c>
    </row>
    <row r="564" spans="4:5" x14ac:dyDescent="0.3">
      <c r="D564" t="s">
        <v>3328</v>
      </c>
      <c r="E564" t="s">
        <v>3454</v>
      </c>
    </row>
    <row r="565" spans="4:5" x14ac:dyDescent="0.3">
      <c r="D565" t="s">
        <v>81</v>
      </c>
      <c r="E565" t="s">
        <v>133</v>
      </c>
    </row>
    <row r="566" spans="4:5" x14ac:dyDescent="0.3">
      <c r="D566" t="s">
        <v>5143</v>
      </c>
      <c r="E566" t="s">
        <v>133</v>
      </c>
    </row>
    <row r="567" spans="4:5" x14ac:dyDescent="0.3">
      <c r="D567" t="s">
        <v>1954</v>
      </c>
      <c r="E567" t="s">
        <v>876</v>
      </c>
    </row>
    <row r="568" spans="4:5" x14ac:dyDescent="0.3">
      <c r="D568" t="s">
        <v>3222</v>
      </c>
      <c r="E568" t="s">
        <v>3288</v>
      </c>
    </row>
    <row r="569" spans="4:5" x14ac:dyDescent="0.3">
      <c r="D569" t="s">
        <v>3232</v>
      </c>
      <c r="E569" t="s">
        <v>3293</v>
      </c>
    </row>
    <row r="570" spans="4:5" x14ac:dyDescent="0.3">
      <c r="D570" t="s">
        <v>4947</v>
      </c>
      <c r="E570" t="s">
        <v>1095</v>
      </c>
    </row>
    <row r="571" spans="4:5" x14ac:dyDescent="0.3">
      <c r="D571" t="s">
        <v>2117</v>
      </c>
      <c r="E571" t="s">
        <v>2403</v>
      </c>
    </row>
    <row r="572" spans="4:5" x14ac:dyDescent="0.3">
      <c r="D572" t="s">
        <v>1929</v>
      </c>
      <c r="E572" t="s">
        <v>4682</v>
      </c>
    </row>
    <row r="573" spans="4:5" x14ac:dyDescent="0.3">
      <c r="D573" t="s">
        <v>3819</v>
      </c>
      <c r="E573" t="s">
        <v>1094</v>
      </c>
    </row>
    <row r="574" spans="4:5" x14ac:dyDescent="0.3">
      <c r="D574" t="s">
        <v>437</v>
      </c>
      <c r="E574" t="s">
        <v>2188</v>
      </c>
    </row>
    <row r="575" spans="4:5" x14ac:dyDescent="0.3">
      <c r="D575" t="s">
        <v>4892</v>
      </c>
      <c r="E575" t="s">
        <v>2237</v>
      </c>
    </row>
    <row r="576" spans="4:5" x14ac:dyDescent="0.3">
      <c r="D576" t="s">
        <v>4501</v>
      </c>
      <c r="E576" t="s">
        <v>4796</v>
      </c>
    </row>
    <row r="577" spans="4:5" x14ac:dyDescent="0.3">
      <c r="D577" t="s">
        <v>221</v>
      </c>
      <c r="E577" t="s">
        <v>1714</v>
      </c>
    </row>
    <row r="578" spans="4:5" x14ac:dyDescent="0.3">
      <c r="D578" t="s">
        <v>4313</v>
      </c>
      <c r="E578" t="s">
        <v>3006</v>
      </c>
    </row>
    <row r="579" spans="4:5" x14ac:dyDescent="0.3">
      <c r="D579" t="s">
        <v>1117</v>
      </c>
      <c r="E579" t="s">
        <v>1875</v>
      </c>
    </row>
    <row r="580" spans="4:5" x14ac:dyDescent="0.3">
      <c r="D580" t="s">
        <v>2924</v>
      </c>
      <c r="E580" t="s">
        <v>2775</v>
      </c>
    </row>
    <row r="581" spans="4:5" x14ac:dyDescent="0.3">
      <c r="D581" t="s">
        <v>4982</v>
      </c>
      <c r="E581" t="s">
        <v>2910</v>
      </c>
    </row>
    <row r="582" spans="4:5" x14ac:dyDescent="0.3">
      <c r="D582" t="s">
        <v>1871</v>
      </c>
      <c r="E582" t="s">
        <v>1306</v>
      </c>
    </row>
    <row r="583" spans="4:5" x14ac:dyDescent="0.3">
      <c r="D583" t="s">
        <v>2830</v>
      </c>
      <c r="E583" t="s">
        <v>3047</v>
      </c>
    </row>
    <row r="584" spans="4:5" x14ac:dyDescent="0.3">
      <c r="D584" t="s">
        <v>4456</v>
      </c>
      <c r="E584" t="s">
        <v>2806</v>
      </c>
    </row>
    <row r="585" spans="4:5" x14ac:dyDescent="0.3">
      <c r="D585" t="s">
        <v>1813</v>
      </c>
      <c r="E585" t="s">
        <v>2807</v>
      </c>
    </row>
    <row r="586" spans="4:5" x14ac:dyDescent="0.3">
      <c r="D586" t="s">
        <v>5192</v>
      </c>
      <c r="E586" t="s">
        <v>274</v>
      </c>
    </row>
    <row r="587" spans="4:5" x14ac:dyDescent="0.3">
      <c r="D587" t="s">
        <v>1587</v>
      </c>
      <c r="E587" t="s">
        <v>272</v>
      </c>
    </row>
    <row r="588" spans="4:5" x14ac:dyDescent="0.3">
      <c r="D588" t="s">
        <v>556</v>
      </c>
      <c r="E588" t="s">
        <v>273</v>
      </c>
    </row>
    <row r="589" spans="4:5" x14ac:dyDescent="0.3">
      <c r="D589" t="s">
        <v>2389</v>
      </c>
      <c r="E589" t="s">
        <v>988</v>
      </c>
    </row>
    <row r="590" spans="4:5" x14ac:dyDescent="0.3">
      <c r="D590" t="s">
        <v>4629</v>
      </c>
      <c r="E590" t="s">
        <v>4221</v>
      </c>
    </row>
    <row r="591" spans="4:5" x14ac:dyDescent="0.3">
      <c r="D591" t="s">
        <v>5200</v>
      </c>
      <c r="E591" t="s">
        <v>3732</v>
      </c>
    </row>
    <row r="592" spans="4:5" x14ac:dyDescent="0.3">
      <c r="D592" t="s">
        <v>3763</v>
      </c>
      <c r="E592" t="s">
        <v>2216</v>
      </c>
    </row>
    <row r="593" spans="4:5" x14ac:dyDescent="0.3">
      <c r="D593" t="s">
        <v>827</v>
      </c>
      <c r="E593" t="s">
        <v>205</v>
      </c>
    </row>
    <row r="594" spans="4:5" x14ac:dyDescent="0.3">
      <c r="D594" t="s">
        <v>4814</v>
      </c>
      <c r="E594" t="s">
        <v>1260</v>
      </c>
    </row>
    <row r="595" spans="4:5" x14ac:dyDescent="0.3">
      <c r="D595" t="s">
        <v>359</v>
      </c>
      <c r="E595" t="s">
        <v>1258</v>
      </c>
    </row>
    <row r="596" spans="4:5" x14ac:dyDescent="0.3">
      <c r="D596" t="s">
        <v>697</v>
      </c>
      <c r="E596" t="s">
        <v>343</v>
      </c>
    </row>
    <row r="597" spans="4:5" x14ac:dyDescent="0.3">
      <c r="D597" t="s">
        <v>3551</v>
      </c>
      <c r="E597" t="s">
        <v>1165</v>
      </c>
    </row>
    <row r="598" spans="4:5" x14ac:dyDescent="0.3">
      <c r="D598" t="s">
        <v>2382</v>
      </c>
      <c r="E598" t="s">
        <v>1164</v>
      </c>
    </row>
    <row r="599" spans="4:5" x14ac:dyDescent="0.3">
      <c r="D599" t="s">
        <v>123</v>
      </c>
      <c r="E599" t="s">
        <v>1211</v>
      </c>
    </row>
    <row r="600" spans="4:5" x14ac:dyDescent="0.3">
      <c r="D600" t="s">
        <v>2757</v>
      </c>
      <c r="E600" t="s">
        <v>2189</v>
      </c>
    </row>
    <row r="601" spans="4:5" x14ac:dyDescent="0.3">
      <c r="D601" t="s">
        <v>694</v>
      </c>
      <c r="E601" t="s">
        <v>1210</v>
      </c>
    </row>
    <row r="602" spans="4:5" x14ac:dyDescent="0.3">
      <c r="D602" t="s">
        <v>5320</v>
      </c>
      <c r="E602" t="s">
        <v>2258</v>
      </c>
    </row>
    <row r="603" spans="4:5" x14ac:dyDescent="0.3">
      <c r="D603" t="s">
        <v>1458</v>
      </c>
      <c r="E603" t="s">
        <v>2336</v>
      </c>
    </row>
    <row r="604" spans="4:5" x14ac:dyDescent="0.3">
      <c r="D604" t="s">
        <v>3671</v>
      </c>
      <c r="E604" t="s">
        <v>1795</v>
      </c>
    </row>
    <row r="605" spans="4:5" x14ac:dyDescent="0.3">
      <c r="D605" t="s">
        <v>479</v>
      </c>
      <c r="E605" t="s">
        <v>48</v>
      </c>
    </row>
    <row r="606" spans="4:5" x14ac:dyDescent="0.3">
      <c r="D606" t="s">
        <v>1454</v>
      </c>
      <c r="E606" t="s">
        <v>2434</v>
      </c>
    </row>
    <row r="607" spans="4:5" x14ac:dyDescent="0.3">
      <c r="D607" t="s">
        <v>1780</v>
      </c>
      <c r="E607" t="s">
        <v>1020</v>
      </c>
    </row>
    <row r="608" spans="4:5" x14ac:dyDescent="0.3">
      <c r="D608" t="s">
        <v>2861</v>
      </c>
      <c r="E608" t="s">
        <v>1156</v>
      </c>
    </row>
    <row r="609" spans="4:5" x14ac:dyDescent="0.3">
      <c r="D609" t="s">
        <v>2453</v>
      </c>
      <c r="E609" t="s">
        <v>1156</v>
      </c>
    </row>
    <row r="610" spans="4:5" x14ac:dyDescent="0.3">
      <c r="D610" t="s">
        <v>4446</v>
      </c>
      <c r="E610" t="s">
        <v>295</v>
      </c>
    </row>
    <row r="611" spans="4:5" x14ac:dyDescent="0.3">
      <c r="D611" t="s">
        <v>4758</v>
      </c>
      <c r="E611" t="s">
        <v>598</v>
      </c>
    </row>
    <row r="612" spans="4:5" x14ac:dyDescent="0.3">
      <c r="D612" t="s">
        <v>994</v>
      </c>
      <c r="E612" t="s">
        <v>3001</v>
      </c>
    </row>
    <row r="613" spans="4:5" x14ac:dyDescent="0.3">
      <c r="D613" t="s">
        <v>4866</v>
      </c>
      <c r="E613" t="s">
        <v>388</v>
      </c>
    </row>
    <row r="614" spans="4:5" x14ac:dyDescent="0.3">
      <c r="D614" t="s">
        <v>1788</v>
      </c>
      <c r="E614" t="s">
        <v>2016</v>
      </c>
    </row>
    <row r="615" spans="4:5" x14ac:dyDescent="0.3">
      <c r="D615" t="s">
        <v>3816</v>
      </c>
      <c r="E615" t="s">
        <v>3412</v>
      </c>
    </row>
    <row r="616" spans="4:5" x14ac:dyDescent="0.3">
      <c r="D616" t="s">
        <v>2666</v>
      </c>
      <c r="E616" t="s">
        <v>5319</v>
      </c>
    </row>
    <row r="617" spans="4:5" x14ac:dyDescent="0.3">
      <c r="D617" t="s">
        <v>2589</v>
      </c>
      <c r="E617" t="s">
        <v>1021</v>
      </c>
    </row>
    <row r="618" spans="4:5" x14ac:dyDescent="0.3">
      <c r="D618" t="s">
        <v>379</v>
      </c>
      <c r="E618" t="s">
        <v>954</v>
      </c>
    </row>
    <row r="619" spans="4:5" x14ac:dyDescent="0.3">
      <c r="D619" t="s">
        <v>2989</v>
      </c>
      <c r="E619" t="s">
        <v>258</v>
      </c>
    </row>
    <row r="620" spans="4:5" x14ac:dyDescent="0.3">
      <c r="D620" t="s">
        <v>1451</v>
      </c>
      <c r="E620" t="s">
        <v>934</v>
      </c>
    </row>
    <row r="621" spans="4:5" x14ac:dyDescent="0.3">
      <c r="D621" t="s">
        <v>3019</v>
      </c>
      <c r="E621" t="s">
        <v>3046</v>
      </c>
    </row>
    <row r="622" spans="4:5" x14ac:dyDescent="0.3">
      <c r="D622" t="s">
        <v>4869</v>
      </c>
      <c r="E622" t="s">
        <v>3990</v>
      </c>
    </row>
    <row r="623" spans="4:5" x14ac:dyDescent="0.3">
      <c r="D623" t="s">
        <v>5168</v>
      </c>
      <c r="E623" t="s">
        <v>771</v>
      </c>
    </row>
    <row r="624" spans="4:5" x14ac:dyDescent="0.3">
      <c r="D624" t="s">
        <v>2504</v>
      </c>
      <c r="E624" t="s">
        <v>597</v>
      </c>
    </row>
    <row r="625" spans="4:5" x14ac:dyDescent="0.3">
      <c r="D625" t="s">
        <v>4068</v>
      </c>
      <c r="E625" t="s">
        <v>2490</v>
      </c>
    </row>
    <row r="626" spans="4:5" x14ac:dyDescent="0.3">
      <c r="D626" t="s">
        <v>1844</v>
      </c>
      <c r="E626" t="s">
        <v>4249</v>
      </c>
    </row>
    <row r="627" spans="4:5" x14ac:dyDescent="0.3">
      <c r="D627" t="s">
        <v>1113</v>
      </c>
      <c r="E627" t="s">
        <v>4250</v>
      </c>
    </row>
    <row r="628" spans="4:5" x14ac:dyDescent="0.3">
      <c r="D628" t="s">
        <v>5332</v>
      </c>
      <c r="E628" t="s">
        <v>1562</v>
      </c>
    </row>
    <row r="629" spans="4:5" x14ac:dyDescent="0.3">
      <c r="D629" t="s">
        <v>4811</v>
      </c>
      <c r="E629" t="s">
        <v>3389</v>
      </c>
    </row>
    <row r="630" spans="4:5" x14ac:dyDescent="0.3">
      <c r="D630" t="s">
        <v>1805</v>
      </c>
      <c r="E630" t="s">
        <v>5061</v>
      </c>
    </row>
    <row r="631" spans="4:5" x14ac:dyDescent="0.3">
      <c r="D631" t="s">
        <v>2838</v>
      </c>
      <c r="E631" t="s">
        <v>5061</v>
      </c>
    </row>
    <row r="632" spans="4:5" x14ac:dyDescent="0.3">
      <c r="D632" t="s">
        <v>2075</v>
      </c>
      <c r="E632" t="s">
        <v>2550</v>
      </c>
    </row>
    <row r="633" spans="4:5" x14ac:dyDescent="0.3">
      <c r="D633" t="s">
        <v>3773</v>
      </c>
      <c r="E633" t="s">
        <v>5094</v>
      </c>
    </row>
    <row r="634" spans="4:5" x14ac:dyDescent="0.3">
      <c r="D634" t="s">
        <v>1025</v>
      </c>
      <c r="E634" t="s">
        <v>1768</v>
      </c>
    </row>
    <row r="635" spans="4:5" x14ac:dyDescent="0.3">
      <c r="D635" t="s">
        <v>4508</v>
      </c>
      <c r="E635" t="s">
        <v>446</v>
      </c>
    </row>
    <row r="636" spans="4:5" x14ac:dyDescent="0.3">
      <c r="D636" t="s">
        <v>104</v>
      </c>
      <c r="E636" t="s">
        <v>363</v>
      </c>
    </row>
    <row r="637" spans="4:5" x14ac:dyDescent="0.3">
      <c r="D637" t="s">
        <v>4950</v>
      </c>
      <c r="E637" t="s">
        <v>5025</v>
      </c>
    </row>
    <row r="638" spans="4:5" x14ac:dyDescent="0.3">
      <c r="D638" t="s">
        <v>2350</v>
      </c>
      <c r="E638" t="s">
        <v>3594</v>
      </c>
    </row>
    <row r="639" spans="4:5" x14ac:dyDescent="0.3">
      <c r="D639" t="s">
        <v>1796</v>
      </c>
      <c r="E639" t="s">
        <v>3988</v>
      </c>
    </row>
    <row r="640" spans="4:5" x14ac:dyDescent="0.3">
      <c r="D640" t="s">
        <v>2170</v>
      </c>
      <c r="E640" t="s">
        <v>1070</v>
      </c>
    </row>
    <row r="641" spans="4:5" x14ac:dyDescent="0.3">
      <c r="D641" t="s">
        <v>778</v>
      </c>
      <c r="E641" t="s">
        <v>2952</v>
      </c>
    </row>
    <row r="642" spans="4:5" x14ac:dyDescent="0.3">
      <c r="D642" t="s">
        <v>3659</v>
      </c>
      <c r="E642" t="s">
        <v>2222</v>
      </c>
    </row>
    <row r="643" spans="4:5" x14ac:dyDescent="0.3">
      <c r="D643" t="s">
        <v>413</v>
      </c>
      <c r="E643" t="s">
        <v>2942</v>
      </c>
    </row>
    <row r="644" spans="4:5" x14ac:dyDescent="0.3">
      <c r="D644" t="s">
        <v>4522</v>
      </c>
      <c r="E644" t="s">
        <v>3022</v>
      </c>
    </row>
    <row r="645" spans="4:5" x14ac:dyDescent="0.3">
      <c r="D645" t="s">
        <v>4055</v>
      </c>
      <c r="E645" t="s">
        <v>2262</v>
      </c>
    </row>
    <row r="646" spans="4:5" x14ac:dyDescent="0.3">
      <c r="D646" t="s">
        <v>1237</v>
      </c>
      <c r="E646" t="s">
        <v>2636</v>
      </c>
    </row>
    <row r="647" spans="4:5" x14ac:dyDescent="0.3">
      <c r="D647" t="s">
        <v>4364</v>
      </c>
      <c r="E647" t="s">
        <v>1024</v>
      </c>
    </row>
    <row r="648" spans="4:5" x14ac:dyDescent="0.3">
      <c r="D648" t="s">
        <v>3016</v>
      </c>
      <c r="E648" t="s">
        <v>158</v>
      </c>
    </row>
    <row r="649" spans="4:5" x14ac:dyDescent="0.3">
      <c r="D649" t="s">
        <v>3252</v>
      </c>
      <c r="E649" t="s">
        <v>1641</v>
      </c>
    </row>
    <row r="650" spans="4:5" x14ac:dyDescent="0.3">
      <c r="D650" t="s">
        <v>2671</v>
      </c>
      <c r="E650" t="s">
        <v>224</v>
      </c>
    </row>
    <row r="651" spans="4:5" x14ac:dyDescent="0.3">
      <c r="D651" t="s">
        <v>4450</v>
      </c>
      <c r="E651" t="s">
        <v>629</v>
      </c>
    </row>
    <row r="652" spans="4:5" x14ac:dyDescent="0.3">
      <c r="D652" t="s">
        <v>3289</v>
      </c>
      <c r="E652" t="s">
        <v>2947</v>
      </c>
    </row>
    <row r="653" spans="4:5" x14ac:dyDescent="0.3">
      <c r="D653" t="s">
        <v>5188</v>
      </c>
      <c r="E653" t="s">
        <v>895</v>
      </c>
    </row>
    <row r="654" spans="4:5" x14ac:dyDescent="0.3">
      <c r="D654" t="s">
        <v>3294</v>
      </c>
      <c r="E654" t="s">
        <v>1296</v>
      </c>
    </row>
    <row r="655" spans="4:5" x14ac:dyDescent="0.3">
      <c r="D655" t="s">
        <v>4198</v>
      </c>
      <c r="E655" t="s">
        <v>1402</v>
      </c>
    </row>
    <row r="656" spans="4:5" x14ac:dyDescent="0.3">
      <c r="D656" t="s">
        <v>4413</v>
      </c>
      <c r="E656" t="s">
        <v>1011</v>
      </c>
    </row>
    <row r="657" spans="4:5" x14ac:dyDescent="0.3">
      <c r="D657" t="s">
        <v>4784</v>
      </c>
      <c r="E657" t="s">
        <v>1371</v>
      </c>
    </row>
    <row r="658" spans="4:5" x14ac:dyDescent="0.3">
      <c r="D658" t="s">
        <v>4938</v>
      </c>
      <c r="E658" t="s">
        <v>1838</v>
      </c>
    </row>
    <row r="659" spans="4:5" x14ac:dyDescent="0.3">
      <c r="D659" t="s">
        <v>1360</v>
      </c>
      <c r="E659" t="s">
        <v>424</v>
      </c>
    </row>
    <row r="660" spans="4:5" x14ac:dyDescent="0.3">
      <c r="D660" t="s">
        <v>3770</v>
      </c>
      <c r="E660" t="s">
        <v>4835</v>
      </c>
    </row>
    <row r="661" spans="4:5" x14ac:dyDescent="0.3">
      <c r="D661" t="s">
        <v>353</v>
      </c>
      <c r="E661" t="s">
        <v>761</v>
      </c>
    </row>
    <row r="662" spans="4:5" x14ac:dyDescent="0.3">
      <c r="D662" t="s">
        <v>1882</v>
      </c>
      <c r="E662" t="s">
        <v>2042</v>
      </c>
    </row>
    <row r="663" spans="4:5" x14ac:dyDescent="0.3">
      <c r="D663" t="s">
        <v>3444</v>
      </c>
      <c r="E663" t="s">
        <v>462</v>
      </c>
    </row>
    <row r="664" spans="4:5" x14ac:dyDescent="0.3">
      <c r="D664" t="s">
        <v>2530</v>
      </c>
      <c r="E664" t="s">
        <v>1284</v>
      </c>
    </row>
    <row r="665" spans="4:5" x14ac:dyDescent="0.3">
      <c r="D665" t="s">
        <v>691</v>
      </c>
      <c r="E665" t="s">
        <v>1241</v>
      </c>
    </row>
    <row r="666" spans="4:5" x14ac:dyDescent="0.3">
      <c r="D666" t="s">
        <v>317</v>
      </c>
      <c r="E666" t="s">
        <v>1240</v>
      </c>
    </row>
    <row r="667" spans="4:5" x14ac:dyDescent="0.3">
      <c r="D667" t="s">
        <v>2944</v>
      </c>
      <c r="E667" t="s">
        <v>60</v>
      </c>
    </row>
    <row r="668" spans="4:5" x14ac:dyDescent="0.3">
      <c r="D668" t="s">
        <v>4692</v>
      </c>
      <c r="E668" t="s">
        <v>4876</v>
      </c>
    </row>
    <row r="669" spans="4:5" x14ac:dyDescent="0.3">
      <c r="D669" t="s">
        <v>3437</v>
      </c>
      <c r="E669" t="s">
        <v>66</v>
      </c>
    </row>
    <row r="670" spans="4:5" x14ac:dyDescent="0.3">
      <c r="D670" t="s">
        <v>3235</v>
      </c>
      <c r="E670" t="s">
        <v>66</v>
      </c>
    </row>
    <row r="671" spans="4:5" x14ac:dyDescent="0.3">
      <c r="D671" t="s">
        <v>4596</v>
      </c>
      <c r="E671" t="s">
        <v>3970</v>
      </c>
    </row>
    <row r="672" spans="4:5" x14ac:dyDescent="0.3">
      <c r="D672" t="s">
        <v>493</v>
      </c>
      <c r="E672" t="s">
        <v>4677</v>
      </c>
    </row>
    <row r="673" spans="4:5" x14ac:dyDescent="0.3">
      <c r="D673" t="s">
        <v>4371</v>
      </c>
      <c r="E673" t="s">
        <v>4186</v>
      </c>
    </row>
    <row r="674" spans="4:5" x14ac:dyDescent="0.3">
      <c r="D674" t="s">
        <v>1574</v>
      </c>
      <c r="E674" t="s">
        <v>2597</v>
      </c>
    </row>
    <row r="675" spans="4:5" x14ac:dyDescent="0.3">
      <c r="D675" t="s">
        <v>564</v>
      </c>
      <c r="E675" t="s">
        <v>2141</v>
      </c>
    </row>
    <row r="676" spans="4:5" x14ac:dyDescent="0.3">
      <c r="D676" t="s">
        <v>4120</v>
      </c>
      <c r="E676" t="s">
        <v>710</v>
      </c>
    </row>
    <row r="677" spans="4:5" x14ac:dyDescent="0.3">
      <c r="D677" t="s">
        <v>365</v>
      </c>
      <c r="E677" t="s">
        <v>5135</v>
      </c>
    </row>
    <row r="678" spans="4:5" x14ac:dyDescent="0.3">
      <c r="D678" t="s">
        <v>3079</v>
      </c>
      <c r="E678" t="s">
        <v>1779</v>
      </c>
    </row>
    <row r="679" spans="4:5" x14ac:dyDescent="0.3">
      <c r="D679" t="s">
        <v>1685</v>
      </c>
      <c r="E679" t="s">
        <v>450</v>
      </c>
    </row>
    <row r="680" spans="4:5" x14ac:dyDescent="0.3">
      <c r="D680" t="s">
        <v>1896</v>
      </c>
      <c r="E680" t="s">
        <v>441</v>
      </c>
    </row>
    <row r="681" spans="4:5" x14ac:dyDescent="0.3">
      <c r="D681" t="s">
        <v>1071</v>
      </c>
      <c r="E681" t="s">
        <v>3492</v>
      </c>
    </row>
    <row r="682" spans="4:5" x14ac:dyDescent="0.3">
      <c r="D682" t="s">
        <v>4255</v>
      </c>
      <c r="E682" t="s">
        <v>4823</v>
      </c>
    </row>
    <row r="683" spans="4:5" x14ac:dyDescent="0.3">
      <c r="D683" t="s">
        <v>2639</v>
      </c>
      <c r="E683" t="s">
        <v>1007</v>
      </c>
    </row>
    <row r="684" spans="4:5" x14ac:dyDescent="0.3">
      <c r="D684" t="s">
        <v>971</v>
      </c>
      <c r="E684" t="s">
        <v>199</v>
      </c>
    </row>
    <row r="685" spans="4:5" x14ac:dyDescent="0.3">
      <c r="D685" t="s">
        <v>4720</v>
      </c>
      <c r="E685" t="s">
        <v>3566</v>
      </c>
    </row>
    <row r="686" spans="4:5" x14ac:dyDescent="0.3">
      <c r="D686" t="s">
        <v>3567</v>
      </c>
      <c r="E686" t="s">
        <v>2897</v>
      </c>
    </row>
    <row r="687" spans="4:5" x14ac:dyDescent="0.3">
      <c r="D687" t="s">
        <v>2226</v>
      </c>
      <c r="E687" t="s">
        <v>284</v>
      </c>
    </row>
    <row r="688" spans="4:5" x14ac:dyDescent="0.3">
      <c r="D688" t="s">
        <v>4512</v>
      </c>
      <c r="E688" t="s">
        <v>2774</v>
      </c>
    </row>
    <row r="689" spans="4:5" x14ac:dyDescent="0.3">
      <c r="D689" t="s">
        <v>4560</v>
      </c>
      <c r="E689" t="s">
        <v>3124</v>
      </c>
    </row>
    <row r="690" spans="4:5" x14ac:dyDescent="0.3">
      <c r="D690" t="s">
        <v>1111</v>
      </c>
      <c r="E690" t="s">
        <v>3457</v>
      </c>
    </row>
    <row r="691" spans="4:5" x14ac:dyDescent="0.3">
      <c r="D691" t="s">
        <v>2347</v>
      </c>
      <c r="E691" t="s">
        <v>1911</v>
      </c>
    </row>
    <row r="692" spans="4:5" x14ac:dyDescent="0.3">
      <c r="D692" t="s">
        <v>3611</v>
      </c>
      <c r="E692" t="s">
        <v>373</v>
      </c>
    </row>
    <row r="693" spans="4:5" x14ac:dyDescent="0.3">
      <c r="D693" t="s">
        <v>4234</v>
      </c>
      <c r="E693" t="s">
        <v>1573</v>
      </c>
    </row>
    <row r="694" spans="4:5" x14ac:dyDescent="0.3">
      <c r="D694" t="s">
        <v>3706</v>
      </c>
      <c r="E694" t="s">
        <v>1473</v>
      </c>
    </row>
    <row r="695" spans="4:5" x14ac:dyDescent="0.3">
      <c r="D695" t="s">
        <v>992</v>
      </c>
      <c r="E695" t="s">
        <v>1972</v>
      </c>
    </row>
    <row r="696" spans="4:5" x14ac:dyDescent="0.3">
      <c r="D696" t="s">
        <v>4077</v>
      </c>
      <c r="E696" t="s">
        <v>1385</v>
      </c>
    </row>
    <row r="697" spans="4:5" x14ac:dyDescent="0.3">
      <c r="D697" t="s">
        <v>3345</v>
      </c>
      <c r="E697" t="s">
        <v>669</v>
      </c>
    </row>
    <row r="698" spans="4:5" x14ac:dyDescent="0.3">
      <c r="D698" t="s">
        <v>3037</v>
      </c>
      <c r="E698" t="s">
        <v>3010</v>
      </c>
    </row>
    <row r="699" spans="4:5" x14ac:dyDescent="0.3">
      <c r="D699" t="s">
        <v>2127</v>
      </c>
      <c r="E699" t="s">
        <v>499</v>
      </c>
    </row>
    <row r="700" spans="4:5" x14ac:dyDescent="0.3">
      <c r="D700" t="s">
        <v>307</v>
      </c>
      <c r="E700" t="s">
        <v>650</v>
      </c>
    </row>
    <row r="701" spans="4:5" x14ac:dyDescent="0.3">
      <c r="D701" t="s">
        <v>2738</v>
      </c>
      <c r="E701" t="s">
        <v>742</v>
      </c>
    </row>
    <row r="702" spans="4:5" x14ac:dyDescent="0.3">
      <c r="D702" t="s">
        <v>5288</v>
      </c>
      <c r="E702" t="s">
        <v>2538</v>
      </c>
    </row>
    <row r="703" spans="4:5" x14ac:dyDescent="0.3">
      <c r="D703" t="s">
        <v>2353</v>
      </c>
      <c r="E703" t="s">
        <v>2115</v>
      </c>
    </row>
    <row r="704" spans="4:5" x14ac:dyDescent="0.3">
      <c r="D704" t="s">
        <v>107</v>
      </c>
      <c r="E704" t="s">
        <v>4295</v>
      </c>
    </row>
    <row r="705" spans="4:5" x14ac:dyDescent="0.3">
      <c r="D705" t="s">
        <v>4590</v>
      </c>
      <c r="E705" t="s">
        <v>2751</v>
      </c>
    </row>
    <row r="706" spans="4:5" x14ac:dyDescent="0.3">
      <c r="D706" t="s">
        <v>2021</v>
      </c>
      <c r="E706" t="s">
        <v>1029</v>
      </c>
    </row>
    <row r="707" spans="4:5" x14ac:dyDescent="0.3">
      <c r="D707" t="s">
        <v>3003</v>
      </c>
      <c r="E707" t="s">
        <v>2829</v>
      </c>
    </row>
    <row r="708" spans="4:5" x14ac:dyDescent="0.3">
      <c r="D708" t="s">
        <v>4667</v>
      </c>
      <c r="E708" t="s">
        <v>4217</v>
      </c>
    </row>
    <row r="709" spans="4:5" x14ac:dyDescent="0.3">
      <c r="D709" t="s">
        <v>4310</v>
      </c>
      <c r="E709" t="s">
        <v>1028</v>
      </c>
    </row>
    <row r="710" spans="4:5" x14ac:dyDescent="0.3">
      <c r="D710" t="s">
        <v>4636</v>
      </c>
      <c r="E710" t="s">
        <v>1380</v>
      </c>
    </row>
    <row r="711" spans="4:5" x14ac:dyDescent="0.3">
      <c r="D711" t="s">
        <v>3090</v>
      </c>
      <c r="E711" t="s">
        <v>471</v>
      </c>
    </row>
    <row r="712" spans="4:5" x14ac:dyDescent="0.3">
      <c r="D712" t="s">
        <v>601</v>
      </c>
      <c r="E712" t="s">
        <v>1351</v>
      </c>
    </row>
    <row r="713" spans="4:5" x14ac:dyDescent="0.3">
      <c r="D713" t="s">
        <v>1705</v>
      </c>
      <c r="E713" t="s">
        <v>1359</v>
      </c>
    </row>
    <row r="714" spans="4:5" x14ac:dyDescent="0.3">
      <c r="D714" t="s">
        <v>3912</v>
      </c>
      <c r="E714" t="s">
        <v>869</v>
      </c>
    </row>
    <row r="715" spans="4:5" x14ac:dyDescent="0.3">
      <c r="D715" t="s">
        <v>5119</v>
      </c>
      <c r="E715" t="s">
        <v>1409</v>
      </c>
    </row>
    <row r="716" spans="4:5" x14ac:dyDescent="0.3">
      <c r="D716" t="s">
        <v>3325</v>
      </c>
      <c r="E716" t="s">
        <v>5072</v>
      </c>
    </row>
    <row r="717" spans="4:5" x14ac:dyDescent="0.3">
      <c r="D717" t="s">
        <v>674</v>
      </c>
      <c r="E717" t="s">
        <v>5071</v>
      </c>
    </row>
    <row r="718" spans="4:5" x14ac:dyDescent="0.3">
      <c r="D718" t="s">
        <v>1809</v>
      </c>
      <c r="E718" t="s">
        <v>1791</v>
      </c>
    </row>
    <row r="719" spans="4:5" x14ac:dyDescent="0.3">
      <c r="D719" t="s">
        <v>26</v>
      </c>
      <c r="E719" t="s">
        <v>3753</v>
      </c>
    </row>
    <row r="720" spans="4:5" x14ac:dyDescent="0.3">
      <c r="D720" t="s">
        <v>1609</v>
      </c>
      <c r="E720" t="s">
        <v>3961</v>
      </c>
    </row>
    <row r="721" spans="4:5" x14ac:dyDescent="0.3">
      <c r="D721" t="s">
        <v>432</v>
      </c>
      <c r="E721" t="s">
        <v>1100</v>
      </c>
    </row>
    <row r="722" spans="4:5" x14ac:dyDescent="0.3">
      <c r="D722" t="s">
        <v>2863</v>
      </c>
      <c r="E722" t="s">
        <v>1621</v>
      </c>
    </row>
    <row r="723" spans="4:5" x14ac:dyDescent="0.3">
      <c r="D723" t="s">
        <v>321</v>
      </c>
      <c r="E723" t="s">
        <v>364</v>
      </c>
    </row>
    <row r="724" spans="4:5" x14ac:dyDescent="0.3">
      <c r="D724" t="s">
        <v>1246</v>
      </c>
      <c r="E724" t="s">
        <v>2551</v>
      </c>
    </row>
    <row r="725" spans="4:5" x14ac:dyDescent="0.3">
      <c r="D725" t="s">
        <v>406</v>
      </c>
      <c r="E725" t="s">
        <v>1767</v>
      </c>
    </row>
    <row r="726" spans="4:5" x14ac:dyDescent="0.3">
      <c r="D726" t="s">
        <v>4852</v>
      </c>
      <c r="E726" t="s">
        <v>5401</v>
      </c>
    </row>
    <row r="727" spans="4:5" x14ac:dyDescent="0.3">
      <c r="D727" t="s">
        <v>5036</v>
      </c>
      <c r="E727" t="s">
        <v>4423</v>
      </c>
    </row>
    <row r="728" spans="4:5" x14ac:dyDescent="0.3">
      <c r="D728" t="s">
        <v>1996</v>
      </c>
      <c r="E728" t="s">
        <v>3844</v>
      </c>
    </row>
    <row r="729" spans="4:5" x14ac:dyDescent="0.3">
      <c r="D729" t="s">
        <v>5005</v>
      </c>
      <c r="E729" t="s">
        <v>1542</v>
      </c>
    </row>
    <row r="730" spans="4:5" x14ac:dyDescent="0.3">
      <c r="D730" t="s">
        <v>384</v>
      </c>
      <c r="E730" t="s">
        <v>2312</v>
      </c>
    </row>
    <row r="731" spans="4:5" x14ac:dyDescent="0.3">
      <c r="D731" t="s">
        <v>3024</v>
      </c>
      <c r="E731" t="s">
        <v>1145</v>
      </c>
    </row>
    <row r="732" spans="4:5" x14ac:dyDescent="0.3">
      <c r="D732" t="s">
        <v>1990</v>
      </c>
      <c r="E732" t="s">
        <v>4336</v>
      </c>
    </row>
    <row r="733" spans="4:5" x14ac:dyDescent="0.3">
      <c r="D733" t="s">
        <v>3578</v>
      </c>
      <c r="E733" t="s">
        <v>30</v>
      </c>
    </row>
    <row r="734" spans="4:5" x14ac:dyDescent="0.3">
      <c r="D734" t="s">
        <v>4664</v>
      </c>
      <c r="E734" t="s">
        <v>174</v>
      </c>
    </row>
    <row r="735" spans="4:5" x14ac:dyDescent="0.3">
      <c r="D735" t="s">
        <v>2468</v>
      </c>
      <c r="E735" t="s">
        <v>1401</v>
      </c>
    </row>
    <row r="736" spans="4:5" x14ac:dyDescent="0.3">
      <c r="D736" t="s">
        <v>4178</v>
      </c>
      <c r="E736" t="s">
        <v>3051</v>
      </c>
    </row>
    <row r="737" spans="4:5" x14ac:dyDescent="0.3">
      <c r="D737" t="s">
        <v>3531</v>
      </c>
      <c r="E737" t="s">
        <v>4290</v>
      </c>
    </row>
    <row r="738" spans="4:5" x14ac:dyDescent="0.3">
      <c r="D738" t="s">
        <v>1932</v>
      </c>
      <c r="E738" t="s">
        <v>751</v>
      </c>
    </row>
    <row r="739" spans="4:5" x14ac:dyDescent="0.3">
      <c r="D739" t="s">
        <v>3093</v>
      </c>
      <c r="E739" t="s">
        <v>2824</v>
      </c>
    </row>
    <row r="740" spans="4:5" x14ac:dyDescent="0.3">
      <c r="D740" t="s">
        <v>2782</v>
      </c>
      <c r="E740" t="s">
        <v>2497</v>
      </c>
    </row>
    <row r="741" spans="4:5" x14ac:dyDescent="0.3">
      <c r="D741" t="s">
        <v>1774</v>
      </c>
      <c r="E741" t="s">
        <v>372</v>
      </c>
    </row>
    <row r="742" spans="4:5" x14ac:dyDescent="0.3">
      <c r="D742" t="s">
        <v>587</v>
      </c>
      <c r="E742" t="s">
        <v>372</v>
      </c>
    </row>
    <row r="743" spans="4:5" x14ac:dyDescent="0.3">
      <c r="D743" t="s">
        <v>5050</v>
      </c>
      <c r="E743" t="s">
        <v>4296</v>
      </c>
    </row>
    <row r="744" spans="4:5" x14ac:dyDescent="0.3">
      <c r="D744" t="s">
        <v>4166</v>
      </c>
      <c r="E744" t="s">
        <v>5272</v>
      </c>
    </row>
    <row r="745" spans="4:5" x14ac:dyDescent="0.3">
      <c r="D745" t="s">
        <v>2223</v>
      </c>
      <c r="E745" t="s">
        <v>2221</v>
      </c>
    </row>
    <row r="746" spans="4:5" x14ac:dyDescent="0.3">
      <c r="D746" t="s">
        <v>1066</v>
      </c>
      <c r="E746" t="s">
        <v>2737</v>
      </c>
    </row>
    <row r="747" spans="4:5" x14ac:dyDescent="0.3">
      <c r="D747" t="s">
        <v>2211</v>
      </c>
      <c r="E747" t="s">
        <v>1516</v>
      </c>
    </row>
    <row r="748" spans="4:5" x14ac:dyDescent="0.3">
      <c r="D748" t="s">
        <v>1106</v>
      </c>
      <c r="E748" t="s">
        <v>1069</v>
      </c>
    </row>
    <row r="749" spans="4:5" x14ac:dyDescent="0.3">
      <c r="D749" t="s">
        <v>110</v>
      </c>
      <c r="E749" t="s">
        <v>55</v>
      </c>
    </row>
    <row r="750" spans="4:5" x14ac:dyDescent="0.3">
      <c r="D750" t="s">
        <v>2259</v>
      </c>
      <c r="E750" t="s">
        <v>687</v>
      </c>
    </row>
    <row r="751" spans="4:5" x14ac:dyDescent="0.3">
      <c r="D751" t="s">
        <v>831</v>
      </c>
      <c r="E751" t="s">
        <v>5259</v>
      </c>
    </row>
    <row r="752" spans="4:5" x14ac:dyDescent="0.3">
      <c r="D752" t="s">
        <v>3746</v>
      </c>
      <c r="E752" t="s">
        <v>5150</v>
      </c>
    </row>
    <row r="753" spans="4:5" x14ac:dyDescent="0.3">
      <c r="D753" t="s">
        <v>891</v>
      </c>
      <c r="E753" t="s">
        <v>2091</v>
      </c>
    </row>
    <row r="754" spans="4:5" x14ac:dyDescent="0.3">
      <c r="D754" t="s">
        <v>3584</v>
      </c>
      <c r="E754" t="s">
        <v>170</v>
      </c>
    </row>
    <row r="755" spans="4:5" x14ac:dyDescent="0.3">
      <c r="D755" t="s">
        <v>4911</v>
      </c>
      <c r="E755" t="s">
        <v>679</v>
      </c>
    </row>
    <row r="756" spans="4:5" x14ac:dyDescent="0.3">
      <c r="D756" t="s">
        <v>5218</v>
      </c>
      <c r="E756" t="s">
        <v>4424</v>
      </c>
    </row>
    <row r="757" spans="4:5" x14ac:dyDescent="0.3">
      <c r="D757" t="s">
        <v>2690</v>
      </c>
      <c r="E757" t="s">
        <v>813</v>
      </c>
    </row>
    <row r="758" spans="4:5" x14ac:dyDescent="0.3">
      <c r="D758" t="s">
        <v>5041</v>
      </c>
      <c r="E758" t="s">
        <v>1416</v>
      </c>
    </row>
    <row r="759" spans="4:5" x14ac:dyDescent="0.3">
      <c r="D759" t="s">
        <v>851</v>
      </c>
      <c r="E759" t="s">
        <v>57</v>
      </c>
    </row>
    <row r="760" spans="4:5" x14ac:dyDescent="0.3">
      <c r="D760" t="s">
        <v>3191</v>
      </c>
      <c r="E760" t="s">
        <v>2496</v>
      </c>
    </row>
    <row r="761" spans="4:5" x14ac:dyDescent="0.3">
      <c r="D761" t="s">
        <v>2364</v>
      </c>
      <c r="E761" t="s">
        <v>619</v>
      </c>
    </row>
    <row r="762" spans="4:5" x14ac:dyDescent="0.3">
      <c r="D762" t="s">
        <v>870</v>
      </c>
      <c r="E762" t="s">
        <v>5060</v>
      </c>
    </row>
    <row r="763" spans="4:5" x14ac:dyDescent="0.3">
      <c r="D763" t="s">
        <v>3656</v>
      </c>
      <c r="E763" t="s">
        <v>4528</v>
      </c>
    </row>
    <row r="764" spans="4:5" x14ac:dyDescent="0.3">
      <c r="D764" t="s">
        <v>4660</v>
      </c>
      <c r="E764" t="s">
        <v>1424</v>
      </c>
    </row>
    <row r="765" spans="4:5" x14ac:dyDescent="0.3">
      <c r="D765" t="s">
        <v>1839</v>
      </c>
      <c r="E765" t="s">
        <v>4996</v>
      </c>
    </row>
    <row r="766" spans="4:5" x14ac:dyDescent="0.3">
      <c r="D766" t="s">
        <v>5147</v>
      </c>
      <c r="E766" t="s">
        <v>3528</v>
      </c>
    </row>
    <row r="767" spans="4:5" x14ac:dyDescent="0.3">
      <c r="D767" t="s">
        <v>1688</v>
      </c>
      <c r="E767" t="s">
        <v>3529</v>
      </c>
    </row>
    <row r="768" spans="4:5" x14ac:dyDescent="0.3">
      <c r="D768" t="s">
        <v>2455</v>
      </c>
      <c r="E768" t="s">
        <v>3530</v>
      </c>
    </row>
    <row r="769" spans="4:5" x14ac:dyDescent="0.3">
      <c r="D769" t="s">
        <v>771</v>
      </c>
      <c r="E769" t="s">
        <v>730</v>
      </c>
    </row>
    <row r="770" spans="4:5" x14ac:dyDescent="0.3">
      <c r="D770" t="s">
        <v>3628</v>
      </c>
      <c r="E770" t="s">
        <v>563</v>
      </c>
    </row>
    <row r="771" spans="4:5" x14ac:dyDescent="0.3">
      <c r="D771" t="s">
        <v>1448</v>
      </c>
      <c r="E771" t="s">
        <v>2926</v>
      </c>
    </row>
    <row r="772" spans="4:5" x14ac:dyDescent="0.3">
      <c r="D772" t="s">
        <v>2952</v>
      </c>
      <c r="E772" t="s">
        <v>4652</v>
      </c>
    </row>
    <row r="773" spans="4:5" x14ac:dyDescent="0.3">
      <c r="D773" t="s">
        <v>3558</v>
      </c>
      <c r="E773" t="s">
        <v>1547</v>
      </c>
    </row>
    <row r="774" spans="4:5" x14ac:dyDescent="0.3">
      <c r="D774" t="s">
        <v>2337</v>
      </c>
      <c r="E774" t="s">
        <v>2568</v>
      </c>
    </row>
    <row r="775" spans="4:5" x14ac:dyDescent="0.3">
      <c r="D775" t="s">
        <v>955</v>
      </c>
      <c r="E775" t="s">
        <v>4521</v>
      </c>
    </row>
    <row r="776" spans="4:5" x14ac:dyDescent="0.3">
      <c r="D776" t="s">
        <v>2167</v>
      </c>
      <c r="E776" t="s">
        <v>3741</v>
      </c>
    </row>
    <row r="777" spans="4:5" x14ac:dyDescent="0.3">
      <c r="D777" t="s">
        <v>841</v>
      </c>
      <c r="E777" t="s">
        <v>4914</v>
      </c>
    </row>
    <row r="778" spans="4:5" x14ac:dyDescent="0.3">
      <c r="D778" t="s">
        <v>3883</v>
      </c>
      <c r="E778" t="s">
        <v>4058</v>
      </c>
    </row>
    <row r="779" spans="4:5" x14ac:dyDescent="0.3">
      <c r="D779" t="s">
        <v>781</v>
      </c>
      <c r="E779" t="s">
        <v>5134</v>
      </c>
    </row>
    <row r="780" spans="4:5" x14ac:dyDescent="0.3">
      <c r="D780" t="s">
        <v>1406</v>
      </c>
      <c r="E780" t="s">
        <v>117</v>
      </c>
    </row>
    <row r="781" spans="4:5" x14ac:dyDescent="0.3">
      <c r="D781" t="s">
        <v>2196</v>
      </c>
      <c r="E781" t="s">
        <v>4913</v>
      </c>
    </row>
    <row r="782" spans="4:5" x14ac:dyDescent="0.3">
      <c r="D782" t="s">
        <v>250</v>
      </c>
      <c r="E782" t="s">
        <v>4511</v>
      </c>
    </row>
    <row r="783" spans="4:5" x14ac:dyDescent="0.3">
      <c r="D783" t="s">
        <v>3919</v>
      </c>
      <c r="E783" t="s">
        <v>1008</v>
      </c>
    </row>
    <row r="784" spans="4:5" x14ac:dyDescent="0.3">
      <c r="D784" t="s">
        <v>568</v>
      </c>
      <c r="E784" t="s">
        <v>1665</v>
      </c>
    </row>
    <row r="785" spans="4:5" x14ac:dyDescent="0.3">
      <c r="D785" t="s">
        <v>3382</v>
      </c>
      <c r="E785" t="s">
        <v>1733</v>
      </c>
    </row>
    <row r="786" spans="4:5" x14ac:dyDescent="0.3">
      <c r="D786" t="s">
        <v>1736</v>
      </c>
      <c r="E786" t="s">
        <v>2938</v>
      </c>
    </row>
    <row r="787" spans="4:5" x14ac:dyDescent="0.3">
      <c r="D787" t="s">
        <v>2159</v>
      </c>
      <c r="E787" t="s">
        <v>2481</v>
      </c>
    </row>
    <row r="788" spans="4:5" x14ac:dyDescent="0.3">
      <c r="D788" t="s">
        <v>2603</v>
      </c>
      <c r="E788" t="s">
        <v>2886</v>
      </c>
    </row>
    <row r="789" spans="4:5" x14ac:dyDescent="0.3">
      <c r="D789" t="s">
        <v>3281</v>
      </c>
      <c r="E789" t="s">
        <v>3587</v>
      </c>
    </row>
    <row r="790" spans="4:5" x14ac:dyDescent="0.3">
      <c r="D790" t="s">
        <v>477</v>
      </c>
      <c r="E790" t="s">
        <v>1285</v>
      </c>
    </row>
    <row r="791" spans="4:5" x14ac:dyDescent="0.3">
      <c r="D791" t="s">
        <v>2376</v>
      </c>
      <c r="E791" t="s">
        <v>2319</v>
      </c>
    </row>
    <row r="792" spans="4:5" x14ac:dyDescent="0.3">
      <c r="D792" t="s">
        <v>2178</v>
      </c>
      <c r="E792" t="s">
        <v>3160</v>
      </c>
    </row>
    <row r="793" spans="4:5" x14ac:dyDescent="0.3">
      <c r="D793" t="s">
        <v>2677</v>
      </c>
      <c r="E793" t="s">
        <v>1087</v>
      </c>
    </row>
    <row r="794" spans="4:5" x14ac:dyDescent="0.3">
      <c r="D794" t="s">
        <v>2276</v>
      </c>
      <c r="E794" t="s">
        <v>854</v>
      </c>
    </row>
    <row r="795" spans="4:5" x14ac:dyDescent="0.3">
      <c r="D795" t="s">
        <v>4127</v>
      </c>
      <c r="E795" t="s">
        <v>642</v>
      </c>
    </row>
    <row r="796" spans="4:5" x14ac:dyDescent="0.3">
      <c r="D796" t="s">
        <v>3218</v>
      </c>
      <c r="E796" t="s">
        <v>642</v>
      </c>
    </row>
    <row r="797" spans="4:5" x14ac:dyDescent="0.3">
      <c r="D797" t="s">
        <v>2138</v>
      </c>
      <c r="E797" t="s">
        <v>382</v>
      </c>
    </row>
    <row r="798" spans="4:5" x14ac:dyDescent="0.3">
      <c r="D798" t="s">
        <v>4518</v>
      </c>
      <c r="E798" t="s">
        <v>175</v>
      </c>
    </row>
    <row r="799" spans="4:5" x14ac:dyDescent="0.3">
      <c r="D799" t="s">
        <v>4291</v>
      </c>
      <c r="E799" t="s">
        <v>175</v>
      </c>
    </row>
    <row r="800" spans="4:5" x14ac:dyDescent="0.3">
      <c r="D800" t="s">
        <v>2301</v>
      </c>
      <c r="E800" t="s">
        <v>1529</v>
      </c>
    </row>
    <row r="801" spans="4:5" x14ac:dyDescent="0.3">
      <c r="D801" t="s">
        <v>3168</v>
      </c>
      <c r="E801" t="s">
        <v>754</v>
      </c>
    </row>
    <row r="802" spans="4:5" x14ac:dyDescent="0.3">
      <c r="D802" t="s">
        <v>4059</v>
      </c>
      <c r="E802" t="s">
        <v>3045</v>
      </c>
    </row>
    <row r="803" spans="4:5" x14ac:dyDescent="0.3">
      <c r="D803" t="s">
        <v>1682</v>
      </c>
      <c r="E803" t="s">
        <v>3044</v>
      </c>
    </row>
    <row r="804" spans="4:5" x14ac:dyDescent="0.3">
      <c r="D804" t="s">
        <v>4072</v>
      </c>
      <c r="E804" t="s">
        <v>1157</v>
      </c>
    </row>
    <row r="805" spans="4:5" x14ac:dyDescent="0.3">
      <c r="D805" t="s">
        <v>4775</v>
      </c>
      <c r="E805" t="s">
        <v>2074</v>
      </c>
    </row>
    <row r="806" spans="4:5" x14ac:dyDescent="0.3">
      <c r="D806" t="s">
        <v>5131</v>
      </c>
      <c r="E806" t="s">
        <v>2073</v>
      </c>
    </row>
    <row r="807" spans="4:5" x14ac:dyDescent="0.3">
      <c r="D807" t="s">
        <v>1835</v>
      </c>
      <c r="E807" t="s">
        <v>3350</v>
      </c>
    </row>
    <row r="808" spans="4:5" x14ac:dyDescent="0.3">
      <c r="D808" t="s">
        <v>5170</v>
      </c>
      <c r="E808" t="s">
        <v>1392</v>
      </c>
    </row>
    <row r="809" spans="4:5" x14ac:dyDescent="0.3">
      <c r="D809" t="s">
        <v>5083</v>
      </c>
      <c r="E809" t="s">
        <v>3523</v>
      </c>
    </row>
    <row r="810" spans="4:5" x14ac:dyDescent="0.3">
      <c r="D810" t="s">
        <v>3129</v>
      </c>
      <c r="E810" t="s">
        <v>1151</v>
      </c>
    </row>
    <row r="811" spans="4:5" x14ac:dyDescent="0.3">
      <c r="D811" t="s">
        <v>5237</v>
      </c>
      <c r="E811" t="s">
        <v>930</v>
      </c>
    </row>
    <row r="812" spans="4:5" x14ac:dyDescent="0.3">
      <c r="D812" t="s">
        <v>2079</v>
      </c>
      <c r="E812" t="s">
        <v>2851</v>
      </c>
    </row>
    <row r="813" spans="4:5" x14ac:dyDescent="0.3">
      <c r="D813" t="s">
        <v>3492</v>
      </c>
      <c r="E813" t="s">
        <v>164</v>
      </c>
    </row>
    <row r="814" spans="4:5" x14ac:dyDescent="0.3">
      <c r="D814" t="s">
        <v>4337</v>
      </c>
      <c r="E814" t="s">
        <v>2407</v>
      </c>
    </row>
    <row r="815" spans="4:5" x14ac:dyDescent="0.3">
      <c r="D815" t="s">
        <v>1467</v>
      </c>
      <c r="E815" t="s">
        <v>4807</v>
      </c>
    </row>
    <row r="816" spans="4:5" x14ac:dyDescent="0.3">
      <c r="D816" t="s">
        <v>997</v>
      </c>
      <c r="E816" t="s">
        <v>76</v>
      </c>
    </row>
    <row r="817" spans="4:5" x14ac:dyDescent="0.3">
      <c r="D817" t="s">
        <v>2637</v>
      </c>
      <c r="E817" t="s">
        <v>75</v>
      </c>
    </row>
    <row r="818" spans="4:5" x14ac:dyDescent="0.3">
      <c r="D818" t="s">
        <v>4231</v>
      </c>
      <c r="E818" t="s">
        <v>2786</v>
      </c>
    </row>
    <row r="819" spans="4:5" x14ac:dyDescent="0.3">
      <c r="D819" t="s">
        <v>4130</v>
      </c>
      <c r="E819" t="s">
        <v>3992</v>
      </c>
    </row>
    <row r="820" spans="4:5" x14ac:dyDescent="0.3">
      <c r="D820" t="s">
        <v>1445</v>
      </c>
      <c r="E820" t="s">
        <v>879</v>
      </c>
    </row>
    <row r="821" spans="4:5" x14ac:dyDescent="0.3">
      <c r="D821" t="s">
        <v>1487</v>
      </c>
      <c r="E821" t="s">
        <v>879</v>
      </c>
    </row>
    <row r="822" spans="4:5" x14ac:dyDescent="0.3">
      <c r="D822" t="s">
        <v>3822</v>
      </c>
      <c r="E822" t="s">
        <v>1417</v>
      </c>
    </row>
    <row r="823" spans="4:5" x14ac:dyDescent="0.3">
      <c r="D823" t="s">
        <v>547</v>
      </c>
      <c r="E823" t="s">
        <v>2932</v>
      </c>
    </row>
    <row r="824" spans="4:5" x14ac:dyDescent="0.3">
      <c r="D824" t="s">
        <v>4781</v>
      </c>
      <c r="E824" t="s">
        <v>35</v>
      </c>
    </row>
    <row r="825" spans="4:5" x14ac:dyDescent="0.3">
      <c r="D825" t="s">
        <v>4609</v>
      </c>
      <c r="E825" t="s">
        <v>4546</v>
      </c>
    </row>
    <row r="826" spans="4:5" x14ac:dyDescent="0.3">
      <c r="D826" t="s">
        <v>4730</v>
      </c>
      <c r="E826" t="s">
        <v>843</v>
      </c>
    </row>
    <row r="827" spans="4:5" x14ac:dyDescent="0.3">
      <c r="D827" t="s">
        <v>1063</v>
      </c>
      <c r="E827" t="s">
        <v>1015</v>
      </c>
    </row>
    <row r="828" spans="4:5" x14ac:dyDescent="0.3">
      <c r="D828" t="s">
        <v>4953</v>
      </c>
      <c r="E828" t="s">
        <v>2485</v>
      </c>
    </row>
    <row r="829" spans="4:5" x14ac:dyDescent="0.3">
      <c r="D829" t="s">
        <v>5294</v>
      </c>
      <c r="E829" t="s">
        <v>356</v>
      </c>
    </row>
    <row r="830" spans="4:5" x14ac:dyDescent="0.3">
      <c r="D830" t="s">
        <v>1060</v>
      </c>
      <c r="E830" t="s">
        <v>1412</v>
      </c>
    </row>
    <row r="831" spans="4:5" x14ac:dyDescent="0.3">
      <c r="D831" t="s">
        <v>3161</v>
      </c>
      <c r="E831" t="s">
        <v>737</v>
      </c>
    </row>
    <row r="832" spans="4:5" x14ac:dyDescent="0.3">
      <c r="D832" t="s">
        <v>3165</v>
      </c>
      <c r="E832" t="s">
        <v>3674</v>
      </c>
    </row>
    <row r="833" spans="4:5" x14ac:dyDescent="0.3">
      <c r="D833" t="s">
        <v>856</v>
      </c>
      <c r="E833" t="s">
        <v>3895</v>
      </c>
    </row>
    <row r="834" spans="4:5" x14ac:dyDescent="0.3">
      <c r="D834" t="s">
        <v>967</v>
      </c>
      <c r="E834" t="s">
        <v>2584</v>
      </c>
    </row>
    <row r="835" spans="4:5" x14ac:dyDescent="0.3">
      <c r="D835" t="s">
        <v>4615</v>
      </c>
      <c r="E835" t="s">
        <v>4558</v>
      </c>
    </row>
    <row r="836" spans="4:5" x14ac:dyDescent="0.3">
      <c r="D836" t="s">
        <v>518</v>
      </c>
      <c r="E836" t="s">
        <v>4559</v>
      </c>
    </row>
    <row r="837" spans="4:5" x14ac:dyDescent="0.3">
      <c r="D837" t="s">
        <v>3872</v>
      </c>
      <c r="E837" t="s">
        <v>1269</v>
      </c>
    </row>
    <row r="838" spans="4:5" x14ac:dyDescent="0.3">
      <c r="D838" t="s">
        <v>4100</v>
      </c>
      <c r="E838" t="s">
        <v>4197</v>
      </c>
    </row>
    <row r="839" spans="4:5" x14ac:dyDescent="0.3">
      <c r="D839" t="s">
        <v>1904</v>
      </c>
      <c r="E839" t="s">
        <v>4855</v>
      </c>
    </row>
    <row r="840" spans="4:5" x14ac:dyDescent="0.3">
      <c r="D840" t="s">
        <v>862</v>
      </c>
      <c r="E840" t="s">
        <v>1590</v>
      </c>
    </row>
    <row r="841" spans="4:5" x14ac:dyDescent="0.3">
      <c r="D841" t="s">
        <v>3457</v>
      </c>
      <c r="E841" t="s">
        <v>3643</v>
      </c>
    </row>
    <row r="842" spans="4:5" x14ac:dyDescent="0.3">
      <c r="D842" t="s">
        <v>4462</v>
      </c>
      <c r="E842" t="s">
        <v>3082</v>
      </c>
    </row>
    <row r="843" spans="4:5" x14ac:dyDescent="0.3">
      <c r="D843" t="s">
        <v>3793</v>
      </c>
      <c r="E843" t="s">
        <v>5089</v>
      </c>
    </row>
    <row r="844" spans="4:5" x14ac:dyDescent="0.3">
      <c r="D844" t="s">
        <v>931</v>
      </c>
      <c r="E844" t="s">
        <v>646</v>
      </c>
    </row>
    <row r="845" spans="4:5" x14ac:dyDescent="0.3">
      <c r="D845" t="s">
        <v>3011</v>
      </c>
      <c r="E845" t="s">
        <v>2558</v>
      </c>
    </row>
    <row r="846" spans="4:5" x14ac:dyDescent="0.3">
      <c r="D846" t="s">
        <v>2422</v>
      </c>
      <c r="E846" t="s">
        <v>3146</v>
      </c>
    </row>
    <row r="847" spans="4:5" x14ac:dyDescent="0.3">
      <c r="D847" t="s">
        <v>3137</v>
      </c>
      <c r="E847" t="s">
        <v>423</v>
      </c>
    </row>
    <row r="848" spans="4:5" x14ac:dyDescent="0.3">
      <c r="D848" t="s">
        <v>3184</v>
      </c>
      <c r="E848" t="s">
        <v>4834</v>
      </c>
    </row>
    <row r="849" spans="4:5" x14ac:dyDescent="0.3">
      <c r="D849" t="s">
        <v>51</v>
      </c>
      <c r="E849" t="s">
        <v>5402</v>
      </c>
    </row>
    <row r="850" spans="4:5" x14ac:dyDescent="0.3">
      <c r="D850" t="s">
        <v>1673</v>
      </c>
      <c r="E850" t="s">
        <v>2495</v>
      </c>
    </row>
    <row r="851" spans="4:5" x14ac:dyDescent="0.3">
      <c r="D851" t="s">
        <v>393</v>
      </c>
      <c r="E851" t="s">
        <v>4020</v>
      </c>
    </row>
    <row r="852" spans="4:5" x14ac:dyDescent="0.3">
      <c r="D852" t="s">
        <v>1442</v>
      </c>
      <c r="E852" t="s">
        <v>753</v>
      </c>
    </row>
    <row r="853" spans="4:5" x14ac:dyDescent="0.3">
      <c r="D853" t="s">
        <v>4856</v>
      </c>
      <c r="E853" t="s">
        <v>3614</v>
      </c>
    </row>
    <row r="854" spans="4:5" x14ac:dyDescent="0.3">
      <c r="D854" t="s">
        <v>4283</v>
      </c>
      <c r="E854" t="s">
        <v>264</v>
      </c>
    </row>
    <row r="855" spans="4:5" x14ac:dyDescent="0.3">
      <c r="D855" t="s">
        <v>1056</v>
      </c>
      <c r="E855" t="s">
        <v>264</v>
      </c>
    </row>
    <row r="856" spans="4:5" x14ac:dyDescent="0.3">
      <c r="D856" t="s">
        <v>1053</v>
      </c>
      <c r="E856" t="s">
        <v>1140</v>
      </c>
    </row>
    <row r="857" spans="4:5" x14ac:dyDescent="0.3">
      <c r="D857" t="s">
        <v>4355</v>
      </c>
      <c r="E857" t="s">
        <v>4801</v>
      </c>
    </row>
    <row r="858" spans="4:5" x14ac:dyDescent="0.3">
      <c r="D858" t="s">
        <v>2056</v>
      </c>
      <c r="E858" t="s">
        <v>752</v>
      </c>
    </row>
    <row r="859" spans="4:5" x14ac:dyDescent="0.3">
      <c r="D859" t="s">
        <v>3460</v>
      </c>
      <c r="E859" t="s">
        <v>265</v>
      </c>
    </row>
    <row r="860" spans="4:5" x14ac:dyDescent="0.3">
      <c r="D860" t="s">
        <v>3086</v>
      </c>
      <c r="E860" t="s">
        <v>265</v>
      </c>
    </row>
    <row r="861" spans="4:5" x14ac:dyDescent="0.3">
      <c r="D861" t="s">
        <v>2202</v>
      </c>
      <c r="E861" t="s">
        <v>1139</v>
      </c>
    </row>
    <row r="862" spans="4:5" x14ac:dyDescent="0.3">
      <c r="D862" t="s">
        <v>688</v>
      </c>
      <c r="E862" t="s">
        <v>4802</v>
      </c>
    </row>
    <row r="863" spans="4:5" x14ac:dyDescent="0.3">
      <c r="D863" t="s">
        <v>2815</v>
      </c>
      <c r="E863" t="s">
        <v>750</v>
      </c>
    </row>
    <row r="864" spans="4:5" x14ac:dyDescent="0.3">
      <c r="D864" t="s">
        <v>5019</v>
      </c>
      <c r="E864" t="s">
        <v>3788</v>
      </c>
    </row>
    <row r="865" spans="4:5" x14ac:dyDescent="0.3">
      <c r="D865" t="s">
        <v>3141</v>
      </c>
      <c r="E865" t="s">
        <v>3785</v>
      </c>
    </row>
    <row r="866" spans="4:5" x14ac:dyDescent="0.3">
      <c r="D866" t="s">
        <v>4476</v>
      </c>
      <c r="E866" t="s">
        <v>665</v>
      </c>
    </row>
    <row r="867" spans="4:5" x14ac:dyDescent="0.3">
      <c r="D867" t="s">
        <v>4274</v>
      </c>
      <c r="E867" t="s">
        <v>3078</v>
      </c>
    </row>
    <row r="868" spans="4:5" x14ac:dyDescent="0.3">
      <c r="D868" t="s">
        <v>4900</v>
      </c>
      <c r="E868" t="s">
        <v>3792</v>
      </c>
    </row>
    <row r="869" spans="4:5" x14ac:dyDescent="0.3">
      <c r="D869" t="s">
        <v>1198</v>
      </c>
      <c r="E869" t="s">
        <v>929</v>
      </c>
    </row>
    <row r="870" spans="4:5" x14ac:dyDescent="0.3">
      <c r="D870" t="s">
        <v>620</v>
      </c>
      <c r="E870" t="s">
        <v>2874</v>
      </c>
    </row>
    <row r="871" spans="4:5" x14ac:dyDescent="0.3">
      <c r="D871" t="s">
        <v>509</v>
      </c>
      <c r="E871" t="s">
        <v>2582</v>
      </c>
    </row>
    <row r="872" spans="4:5" x14ac:dyDescent="0.3">
      <c r="D872" t="s">
        <v>515</v>
      </c>
      <c r="E872" t="s">
        <v>3993</v>
      </c>
    </row>
    <row r="873" spans="4:5" x14ac:dyDescent="0.3">
      <c r="D873" t="s">
        <v>501</v>
      </c>
      <c r="E873" t="s">
        <v>2428</v>
      </c>
    </row>
    <row r="874" spans="4:5" x14ac:dyDescent="0.3">
      <c r="D874" t="s">
        <v>506</v>
      </c>
      <c r="E874" t="s">
        <v>2750</v>
      </c>
    </row>
    <row r="875" spans="4:5" x14ac:dyDescent="0.3">
      <c r="D875" t="s">
        <v>375</v>
      </c>
      <c r="E875" t="s">
        <v>3491</v>
      </c>
    </row>
    <row r="876" spans="4:5" x14ac:dyDescent="0.3">
      <c r="D876" t="s">
        <v>5176</v>
      </c>
      <c r="E876" t="s">
        <v>801</v>
      </c>
    </row>
    <row r="877" spans="4:5" x14ac:dyDescent="0.3">
      <c r="D877" t="s">
        <v>5266</v>
      </c>
      <c r="E877" t="s">
        <v>4774</v>
      </c>
    </row>
    <row r="878" spans="4:5" x14ac:dyDescent="0.3">
      <c r="D878" t="s">
        <v>638</v>
      </c>
      <c r="E878" t="s">
        <v>1274</v>
      </c>
    </row>
    <row r="879" spans="4:5" x14ac:dyDescent="0.3">
      <c r="D879" t="s">
        <v>2651</v>
      </c>
      <c r="E879" t="s">
        <v>962</v>
      </c>
    </row>
    <row r="880" spans="4:5" x14ac:dyDescent="0.3">
      <c r="D880" t="s">
        <v>2425</v>
      </c>
      <c r="E880" t="s">
        <v>3411</v>
      </c>
    </row>
    <row r="881" spans="4:5" x14ac:dyDescent="0.3">
      <c r="D881" t="s">
        <v>3734</v>
      </c>
      <c r="E881" t="s">
        <v>2162</v>
      </c>
    </row>
    <row r="882" spans="4:5" x14ac:dyDescent="0.3">
      <c r="D882" t="s">
        <v>1352</v>
      </c>
      <c r="E882" t="s">
        <v>582</v>
      </c>
    </row>
    <row r="883" spans="4:5" x14ac:dyDescent="0.3">
      <c r="D883" t="s">
        <v>2082</v>
      </c>
      <c r="E883" t="s">
        <v>770</v>
      </c>
    </row>
    <row r="884" spans="4:5" x14ac:dyDescent="0.3">
      <c r="D884" t="s">
        <v>2092</v>
      </c>
      <c r="E884" t="s">
        <v>977</v>
      </c>
    </row>
    <row r="885" spans="4:5" x14ac:dyDescent="0.3">
      <c r="D885" t="s">
        <v>721</v>
      </c>
      <c r="E885" t="s">
        <v>149</v>
      </c>
    </row>
    <row r="886" spans="4:5" x14ac:dyDescent="0.3">
      <c r="D886" t="s">
        <v>210</v>
      </c>
      <c r="E886" t="s">
        <v>149</v>
      </c>
    </row>
    <row r="887" spans="4:5" x14ac:dyDescent="0.3">
      <c r="D887" t="s">
        <v>2730</v>
      </c>
      <c r="E887" t="s">
        <v>157</v>
      </c>
    </row>
    <row r="888" spans="4:5" x14ac:dyDescent="0.3">
      <c r="D888" t="s">
        <v>4163</v>
      </c>
      <c r="E888" t="s">
        <v>405</v>
      </c>
    </row>
    <row r="889" spans="4:5" x14ac:dyDescent="0.3">
      <c r="D889" t="s">
        <v>1693</v>
      </c>
      <c r="E889" t="s">
        <v>310</v>
      </c>
    </row>
    <row r="890" spans="4:5" x14ac:dyDescent="0.3">
      <c r="D890" t="s">
        <v>5029</v>
      </c>
      <c r="E890" t="s">
        <v>805</v>
      </c>
    </row>
    <row r="891" spans="4:5" x14ac:dyDescent="0.3">
      <c r="D891" t="s">
        <v>4386</v>
      </c>
      <c r="E891" t="s">
        <v>475</v>
      </c>
    </row>
    <row r="892" spans="4:5" x14ac:dyDescent="0.3">
      <c r="D892" t="s">
        <v>1051</v>
      </c>
      <c r="E892" t="s">
        <v>3240</v>
      </c>
    </row>
    <row r="893" spans="4:5" x14ac:dyDescent="0.3">
      <c r="D893" t="s">
        <v>2699</v>
      </c>
      <c r="E893" t="s">
        <v>3238</v>
      </c>
    </row>
    <row r="894" spans="4:5" x14ac:dyDescent="0.3">
      <c r="D894" t="s">
        <v>3209</v>
      </c>
      <c r="E894" t="s">
        <v>2254</v>
      </c>
    </row>
    <row r="895" spans="4:5" x14ac:dyDescent="0.3">
      <c r="D895" t="s">
        <v>1048</v>
      </c>
      <c r="E895" t="s">
        <v>5403</v>
      </c>
    </row>
    <row r="896" spans="4:5" x14ac:dyDescent="0.3">
      <c r="D896" t="s">
        <v>4242</v>
      </c>
      <c r="E896" t="s">
        <v>1732</v>
      </c>
    </row>
    <row r="897" spans="4:5" x14ac:dyDescent="0.3">
      <c r="D897" t="s">
        <v>2516</v>
      </c>
      <c r="E897" t="s">
        <v>3507</v>
      </c>
    </row>
    <row r="898" spans="4:5" x14ac:dyDescent="0.3">
      <c r="D898" t="s">
        <v>3202</v>
      </c>
      <c r="E898" t="s">
        <v>2085</v>
      </c>
    </row>
    <row r="899" spans="4:5" x14ac:dyDescent="0.3">
      <c r="D899" t="s">
        <v>166</v>
      </c>
      <c r="E899" t="s">
        <v>765</v>
      </c>
    </row>
    <row r="900" spans="4:5" x14ac:dyDescent="0.3">
      <c r="D900" t="s">
        <v>2112</v>
      </c>
      <c r="E900" t="s">
        <v>3118</v>
      </c>
    </row>
    <row r="901" spans="4:5" x14ac:dyDescent="0.3">
      <c r="D901" t="s">
        <v>1979</v>
      </c>
      <c r="E901" t="s">
        <v>3117</v>
      </c>
    </row>
    <row r="902" spans="4:5" x14ac:dyDescent="0.3">
      <c r="D902" t="s">
        <v>4049</v>
      </c>
      <c r="E902" t="s">
        <v>733</v>
      </c>
    </row>
    <row r="903" spans="4:5" x14ac:dyDescent="0.3">
      <c r="D903" t="s">
        <v>1652</v>
      </c>
      <c r="E903" t="s">
        <v>2583</v>
      </c>
    </row>
    <row r="904" spans="4:5" x14ac:dyDescent="0.3">
      <c r="D904" t="s">
        <v>2794</v>
      </c>
      <c r="E904" t="s">
        <v>1270</v>
      </c>
    </row>
    <row r="905" spans="4:5" x14ac:dyDescent="0.3">
      <c r="D905" t="s">
        <v>4143</v>
      </c>
      <c r="E905" t="s">
        <v>1384</v>
      </c>
    </row>
    <row r="906" spans="4:5" x14ac:dyDescent="0.3">
      <c r="D906" t="s">
        <v>425</v>
      </c>
      <c r="E906" t="s">
        <v>195</v>
      </c>
    </row>
    <row r="907" spans="4:5" x14ac:dyDescent="0.3">
      <c r="D907" t="s">
        <v>836</v>
      </c>
      <c r="E907" t="s">
        <v>1436</v>
      </c>
    </row>
    <row r="908" spans="4:5" x14ac:dyDescent="0.3">
      <c r="D908" t="s">
        <v>2087</v>
      </c>
      <c r="E908" t="s">
        <v>5404</v>
      </c>
    </row>
    <row r="909" spans="4:5" x14ac:dyDescent="0.3">
      <c r="D909" t="s">
        <v>5232</v>
      </c>
      <c r="E909" t="s">
        <v>1295</v>
      </c>
    </row>
    <row r="910" spans="4:5" x14ac:dyDescent="0.3">
      <c r="D910" t="s">
        <v>5062</v>
      </c>
      <c r="E910" t="s">
        <v>1144</v>
      </c>
    </row>
    <row r="911" spans="4:5" x14ac:dyDescent="0.3">
      <c r="D911" t="s">
        <v>5359</v>
      </c>
      <c r="E911" t="s">
        <v>1297</v>
      </c>
    </row>
    <row r="912" spans="4:5" x14ac:dyDescent="0.3">
      <c r="D912" t="s">
        <v>3838</v>
      </c>
      <c r="E912" t="s">
        <v>720</v>
      </c>
    </row>
    <row r="913" spans="4:5" x14ac:dyDescent="0.3">
      <c r="D913" t="s">
        <v>1505</v>
      </c>
      <c r="E913" t="s">
        <v>47</v>
      </c>
    </row>
    <row r="914" spans="4:5" x14ac:dyDescent="0.3">
      <c r="D914" t="s">
        <v>2959</v>
      </c>
      <c r="E914" t="s">
        <v>320</v>
      </c>
    </row>
    <row r="915" spans="4:5" x14ac:dyDescent="0.3">
      <c r="D915" t="s">
        <v>2929</v>
      </c>
      <c r="E915" t="s">
        <v>1431</v>
      </c>
    </row>
    <row r="916" spans="4:5" x14ac:dyDescent="0.3">
      <c r="D916" t="s">
        <v>3508</v>
      </c>
      <c r="E916" t="s">
        <v>860</v>
      </c>
    </row>
    <row r="917" spans="4:5" x14ac:dyDescent="0.3">
      <c r="D917" t="s">
        <v>3944</v>
      </c>
      <c r="E917" t="s">
        <v>793</v>
      </c>
    </row>
    <row r="918" spans="4:5" x14ac:dyDescent="0.3">
      <c r="D918" t="s">
        <v>2845</v>
      </c>
      <c r="E918" t="s">
        <v>1935</v>
      </c>
    </row>
    <row r="919" spans="4:5" x14ac:dyDescent="0.3">
      <c r="D919" t="s">
        <v>305</v>
      </c>
      <c r="E919" t="s">
        <v>1957</v>
      </c>
    </row>
    <row r="920" spans="4:5" x14ac:dyDescent="0.3">
      <c r="D920" t="s">
        <v>2539</v>
      </c>
      <c r="E920" t="s">
        <v>2335</v>
      </c>
    </row>
    <row r="921" spans="4:5" x14ac:dyDescent="0.3">
      <c r="D921" t="s">
        <v>5226</v>
      </c>
      <c r="E921" t="s">
        <v>1379</v>
      </c>
    </row>
    <row r="922" spans="4:5" x14ac:dyDescent="0.3">
      <c r="D922" t="s">
        <v>2891</v>
      </c>
      <c r="E922" t="s">
        <v>4133</v>
      </c>
    </row>
    <row r="923" spans="4:5" x14ac:dyDescent="0.3">
      <c r="D923" t="s">
        <v>3807</v>
      </c>
      <c r="E923" t="s">
        <v>3002</v>
      </c>
    </row>
    <row r="924" spans="4:5" x14ac:dyDescent="0.3">
      <c r="D924" t="s">
        <v>575</v>
      </c>
      <c r="E924" t="s">
        <v>5405</v>
      </c>
    </row>
    <row r="925" spans="4:5" x14ac:dyDescent="0.3">
      <c r="D925" t="s">
        <v>4572</v>
      </c>
      <c r="E925" t="s">
        <v>2937</v>
      </c>
    </row>
    <row r="926" spans="4:5" x14ac:dyDescent="0.3">
      <c r="D926" t="s">
        <v>2803</v>
      </c>
      <c r="E926" t="s">
        <v>1372</v>
      </c>
    </row>
    <row r="927" spans="4:5" x14ac:dyDescent="0.3">
      <c r="D927" t="s">
        <v>4566</v>
      </c>
      <c r="E927" t="s">
        <v>1633</v>
      </c>
    </row>
    <row r="928" spans="4:5" x14ac:dyDescent="0.3">
      <c r="D928" t="s">
        <v>2599</v>
      </c>
      <c r="E928" t="s">
        <v>2392</v>
      </c>
    </row>
    <row r="929" spans="4:5" x14ac:dyDescent="0.3">
      <c r="D929" t="s">
        <v>4258</v>
      </c>
      <c r="E929" t="s">
        <v>342</v>
      </c>
    </row>
    <row r="930" spans="4:5" x14ac:dyDescent="0.3">
      <c r="D930" t="s">
        <v>3335</v>
      </c>
      <c r="E930" t="s">
        <v>1257</v>
      </c>
    </row>
    <row r="931" spans="4:5" x14ac:dyDescent="0.3">
      <c r="D931" t="s">
        <v>1278</v>
      </c>
      <c r="E931" t="s">
        <v>1259</v>
      </c>
    </row>
    <row r="932" spans="4:5" x14ac:dyDescent="0.3">
      <c r="D932" t="s">
        <v>118</v>
      </c>
      <c r="E932" t="s">
        <v>1166</v>
      </c>
    </row>
    <row r="933" spans="4:5" x14ac:dyDescent="0.3">
      <c r="D933" t="s">
        <v>1751</v>
      </c>
      <c r="E933" t="s">
        <v>1298</v>
      </c>
    </row>
    <row r="934" spans="4:5" x14ac:dyDescent="0.3">
      <c r="D934" t="s">
        <v>1425</v>
      </c>
      <c r="E934" t="s">
        <v>1229</v>
      </c>
    </row>
    <row r="935" spans="4:5" x14ac:dyDescent="0.3">
      <c r="D935" t="s">
        <v>2273</v>
      </c>
      <c r="E935" t="s">
        <v>981</v>
      </c>
    </row>
    <row r="936" spans="4:5" x14ac:dyDescent="0.3">
      <c r="D936" t="s">
        <v>3534</v>
      </c>
      <c r="E936" t="s">
        <v>1373</v>
      </c>
    </row>
    <row r="937" spans="4:5" x14ac:dyDescent="0.3">
      <c r="D937" t="s">
        <v>3624</v>
      </c>
      <c r="E937" t="s">
        <v>203</v>
      </c>
    </row>
    <row r="938" spans="4:5" x14ac:dyDescent="0.3">
      <c r="D938" t="s">
        <v>5276</v>
      </c>
      <c r="E938" t="s">
        <v>21</v>
      </c>
    </row>
    <row r="939" spans="4:5" x14ac:dyDescent="0.3">
      <c r="D939" t="s">
        <v>5057</v>
      </c>
      <c r="E939" t="s">
        <v>21</v>
      </c>
    </row>
    <row r="940" spans="4:5" x14ac:dyDescent="0.3">
      <c r="D940" t="s">
        <v>1721</v>
      </c>
      <c r="E940" t="s">
        <v>817</v>
      </c>
    </row>
    <row r="941" spans="4:5" x14ac:dyDescent="0.3">
      <c r="D941" t="s">
        <v>5151</v>
      </c>
      <c r="E941" t="s">
        <v>1636</v>
      </c>
    </row>
    <row r="942" spans="4:5" x14ac:dyDescent="0.3">
      <c r="D942" t="s">
        <v>1389</v>
      </c>
      <c r="E942" t="s">
        <v>144</v>
      </c>
    </row>
    <row r="943" spans="4:5" x14ac:dyDescent="0.3">
      <c r="D943" t="s">
        <v>4977</v>
      </c>
      <c r="E943" t="s">
        <v>300</v>
      </c>
    </row>
    <row r="944" spans="4:5" x14ac:dyDescent="0.3">
      <c r="D944" t="s">
        <v>2267</v>
      </c>
      <c r="E944" t="s">
        <v>18</v>
      </c>
    </row>
    <row r="945" spans="4:5" x14ac:dyDescent="0.3">
      <c r="D945" t="s">
        <v>4103</v>
      </c>
      <c r="E945" t="s">
        <v>3859</v>
      </c>
    </row>
    <row r="946" spans="4:5" x14ac:dyDescent="0.3">
      <c r="D946" t="s">
        <v>2629</v>
      </c>
      <c r="E946" t="s">
        <v>3285</v>
      </c>
    </row>
    <row r="947" spans="4:5" x14ac:dyDescent="0.3">
      <c r="D947" t="s">
        <v>1679</v>
      </c>
      <c r="E947" t="s">
        <v>67</v>
      </c>
    </row>
    <row r="948" spans="4:5" x14ac:dyDescent="0.3">
      <c r="D948" t="s">
        <v>4374</v>
      </c>
      <c r="E948" t="s">
        <v>3109</v>
      </c>
    </row>
    <row r="949" spans="4:5" x14ac:dyDescent="0.3">
      <c r="D949" t="s">
        <v>2270</v>
      </c>
      <c r="E949" t="s">
        <v>3503</v>
      </c>
    </row>
    <row r="950" spans="4:5" x14ac:dyDescent="0.3">
      <c r="D950" t="s">
        <v>3099</v>
      </c>
      <c r="E950" t="s">
        <v>1856</v>
      </c>
    </row>
    <row r="951" spans="4:5" x14ac:dyDescent="0.3">
      <c r="D951" t="s">
        <v>684</v>
      </c>
      <c r="E951" t="s">
        <v>1787</v>
      </c>
    </row>
    <row r="952" spans="4:5" x14ac:dyDescent="0.3">
      <c r="D952" t="s">
        <v>4153</v>
      </c>
      <c r="E952" t="s">
        <v>2142</v>
      </c>
    </row>
    <row r="953" spans="4:5" x14ac:dyDescent="0.3">
      <c r="D953" t="s">
        <v>4769</v>
      </c>
      <c r="E953" t="s">
        <v>2249</v>
      </c>
    </row>
    <row r="954" spans="4:5" x14ac:dyDescent="0.3">
      <c r="D954" t="s">
        <v>3386</v>
      </c>
      <c r="E954" t="s">
        <v>823</v>
      </c>
    </row>
    <row r="955" spans="4:5" x14ac:dyDescent="0.3">
      <c r="D955" t="s">
        <v>2818</v>
      </c>
      <c r="E955" t="s">
        <v>3540</v>
      </c>
    </row>
    <row r="956" spans="4:5" x14ac:dyDescent="0.3">
      <c r="D956" t="s">
        <v>3537</v>
      </c>
      <c r="E956" t="s">
        <v>1786</v>
      </c>
    </row>
    <row r="957" spans="4:5" x14ac:dyDescent="0.3">
      <c r="D957" t="s">
        <v>496</v>
      </c>
      <c r="E957" t="s">
        <v>5239</v>
      </c>
    </row>
    <row r="958" spans="4:5" x14ac:dyDescent="0.3">
      <c r="D958" t="s">
        <v>328</v>
      </c>
      <c r="E958" t="s">
        <v>4489</v>
      </c>
    </row>
    <row r="959" spans="4:5" x14ac:dyDescent="0.3">
      <c r="D959" t="s">
        <v>3482</v>
      </c>
      <c r="E959" t="s">
        <v>2143</v>
      </c>
    </row>
    <row r="960" spans="4:5" x14ac:dyDescent="0.3">
      <c r="D960" t="s">
        <v>1819</v>
      </c>
      <c r="E960" t="s">
        <v>821</v>
      </c>
    </row>
    <row r="961" spans="4:5" x14ac:dyDescent="0.3">
      <c r="D961" t="s">
        <v>730</v>
      </c>
      <c r="E961" t="s">
        <v>3541</v>
      </c>
    </row>
    <row r="962" spans="4:5" x14ac:dyDescent="0.3">
      <c r="D962" t="s">
        <v>171</v>
      </c>
      <c r="E962" t="s">
        <v>2181</v>
      </c>
    </row>
    <row r="963" spans="4:5" x14ac:dyDescent="0.3">
      <c r="D963" t="s">
        <v>5302</v>
      </c>
      <c r="E963" t="s">
        <v>3502</v>
      </c>
    </row>
    <row r="964" spans="4:5" x14ac:dyDescent="0.3">
      <c r="D964" t="s">
        <v>2833</v>
      </c>
      <c r="E964" t="s">
        <v>3798</v>
      </c>
    </row>
    <row r="965" spans="4:5" x14ac:dyDescent="0.3">
      <c r="D965" t="s">
        <v>4704</v>
      </c>
      <c r="E965" t="s">
        <v>4159</v>
      </c>
    </row>
    <row r="966" spans="4:5" x14ac:dyDescent="0.3">
      <c r="D966" t="s">
        <v>3716</v>
      </c>
      <c r="E966" t="s">
        <v>4622</v>
      </c>
    </row>
    <row r="967" spans="4:5" x14ac:dyDescent="0.3">
      <c r="D967" t="s">
        <v>1044</v>
      </c>
      <c r="E967" t="s">
        <v>3715</v>
      </c>
    </row>
    <row r="968" spans="4:5" x14ac:dyDescent="0.3">
      <c r="D968" t="s">
        <v>4884</v>
      </c>
      <c r="E968" t="s">
        <v>451</v>
      </c>
    </row>
    <row r="969" spans="4:5" x14ac:dyDescent="0.3">
      <c r="D969" t="s">
        <v>1235</v>
      </c>
      <c r="E969" t="s">
        <v>451</v>
      </c>
    </row>
    <row r="970" spans="4:5" x14ac:dyDescent="0.3">
      <c r="D970" t="s">
        <v>4619</v>
      </c>
      <c r="E970" t="s">
        <v>80</v>
      </c>
    </row>
    <row r="971" spans="4:5" x14ac:dyDescent="0.3">
      <c r="D971" t="s">
        <v>3608</v>
      </c>
      <c r="E971" t="s">
        <v>3114</v>
      </c>
    </row>
    <row r="972" spans="4:5" x14ac:dyDescent="0.3">
      <c r="D972" t="s">
        <v>2498</v>
      </c>
      <c r="E972" t="s">
        <v>2173</v>
      </c>
    </row>
    <row r="973" spans="4:5" x14ac:dyDescent="0.3">
      <c r="D973" t="s">
        <v>877</v>
      </c>
      <c r="E973" t="s">
        <v>249</v>
      </c>
    </row>
    <row r="974" spans="4:5" x14ac:dyDescent="0.3">
      <c r="D974" t="s">
        <v>347</v>
      </c>
      <c r="E974" t="s">
        <v>248</v>
      </c>
    </row>
    <row r="975" spans="4:5" x14ac:dyDescent="0.3">
      <c r="D975" t="s">
        <v>421</v>
      </c>
      <c r="E975" t="s">
        <v>673</v>
      </c>
    </row>
    <row r="976" spans="4:5" x14ac:dyDescent="0.3">
      <c r="D976" t="s">
        <v>3278</v>
      </c>
      <c r="E976" t="s">
        <v>5157</v>
      </c>
    </row>
    <row r="977" spans="4:5" x14ac:dyDescent="0.3">
      <c r="D977" t="s">
        <v>3665</v>
      </c>
      <c r="E977" t="s">
        <v>3969</v>
      </c>
    </row>
    <row r="978" spans="4:5" x14ac:dyDescent="0.3">
      <c r="D978" t="s">
        <v>4886</v>
      </c>
      <c r="E978" t="s">
        <v>470</v>
      </c>
    </row>
    <row r="979" spans="4:5" x14ac:dyDescent="0.3">
      <c r="D979" t="s">
        <v>2514</v>
      </c>
      <c r="E979" t="s">
        <v>3190</v>
      </c>
    </row>
    <row r="980" spans="4:5" x14ac:dyDescent="0.3">
      <c r="D980" t="s">
        <v>396</v>
      </c>
      <c r="E980" t="s">
        <v>1347</v>
      </c>
    </row>
    <row r="981" spans="4:5" x14ac:dyDescent="0.3">
      <c r="D981" t="s">
        <v>275</v>
      </c>
      <c r="E981" t="s">
        <v>1135</v>
      </c>
    </row>
    <row r="982" spans="4:5" x14ac:dyDescent="0.3">
      <c r="D982" t="s">
        <v>1252</v>
      </c>
      <c r="E982" t="s">
        <v>1134</v>
      </c>
    </row>
    <row r="983" spans="4:5" x14ac:dyDescent="0.3">
      <c r="D983" t="s">
        <v>1777</v>
      </c>
      <c r="E983" t="s">
        <v>280</v>
      </c>
    </row>
    <row r="984" spans="4:5" x14ac:dyDescent="0.3">
      <c r="D984" t="s">
        <v>1152</v>
      </c>
      <c r="E984" t="s">
        <v>84</v>
      </c>
    </row>
    <row r="985" spans="4:5" x14ac:dyDescent="0.3">
      <c r="D985" t="s">
        <v>1763</v>
      </c>
      <c r="E985" t="s">
        <v>3864</v>
      </c>
    </row>
    <row r="986" spans="4:5" x14ac:dyDescent="0.3">
      <c r="D986" t="s">
        <v>4112</v>
      </c>
      <c r="E986" t="s">
        <v>3863</v>
      </c>
    </row>
    <row r="987" spans="4:5" x14ac:dyDescent="0.3">
      <c r="D987" t="s">
        <v>1973</v>
      </c>
      <c r="E987" t="s">
        <v>338</v>
      </c>
    </row>
    <row r="988" spans="4:5" x14ac:dyDescent="0.3">
      <c r="D988" t="s">
        <v>2441</v>
      </c>
      <c r="E988" t="s">
        <v>947</v>
      </c>
    </row>
    <row r="989" spans="4:5" x14ac:dyDescent="0.3">
      <c r="D989" t="s">
        <v>1289</v>
      </c>
      <c r="E989" t="s">
        <v>3677</v>
      </c>
    </row>
    <row r="990" spans="4:5" x14ac:dyDescent="0.3">
      <c r="D990" t="s">
        <v>1222</v>
      </c>
      <c r="E990" t="s">
        <v>346</v>
      </c>
    </row>
    <row r="991" spans="4:5" x14ac:dyDescent="0.3">
      <c r="D991" t="s">
        <v>5260</v>
      </c>
      <c r="E991" t="s">
        <v>889</v>
      </c>
    </row>
    <row r="992" spans="4:5" x14ac:dyDescent="0.3">
      <c r="D992" t="s">
        <v>2096</v>
      </c>
      <c r="E992" t="s">
        <v>399</v>
      </c>
    </row>
    <row r="993" spans="4:5" x14ac:dyDescent="0.3">
      <c r="D993" t="s">
        <v>1666</v>
      </c>
      <c r="E993" t="s">
        <v>607</v>
      </c>
    </row>
    <row r="994" spans="4:5" x14ac:dyDescent="0.3">
      <c r="D994" t="s">
        <v>2548</v>
      </c>
      <c r="E994" t="s">
        <v>884</v>
      </c>
    </row>
    <row r="995" spans="4:5" x14ac:dyDescent="0.3">
      <c r="D995" t="s">
        <v>5325</v>
      </c>
      <c r="E995" t="s">
        <v>1842</v>
      </c>
    </row>
    <row r="996" spans="4:5" x14ac:dyDescent="0.3">
      <c r="D996" t="s">
        <v>4656</v>
      </c>
      <c r="E996" t="s">
        <v>712</v>
      </c>
    </row>
    <row r="997" spans="4:5" x14ac:dyDescent="0.3">
      <c r="D997" t="s">
        <v>4383</v>
      </c>
      <c r="E997" t="s">
        <v>641</v>
      </c>
    </row>
    <row r="998" spans="4:5" x14ac:dyDescent="0.3">
      <c r="D998" t="s">
        <v>1915</v>
      </c>
      <c r="E998" t="s">
        <v>850</v>
      </c>
    </row>
    <row r="999" spans="4:5" x14ac:dyDescent="0.3">
      <c r="D999" t="s">
        <v>2404</v>
      </c>
      <c r="E999" t="s">
        <v>4965</v>
      </c>
    </row>
    <row r="1000" spans="4:5" x14ac:dyDescent="0.3">
      <c r="D1000" t="s">
        <v>1893</v>
      </c>
      <c r="E1000" t="s">
        <v>4966</v>
      </c>
    </row>
    <row r="1001" spans="4:5" x14ac:dyDescent="0.3">
      <c r="D1001" t="s">
        <v>2614</v>
      </c>
      <c r="E1001" t="s">
        <v>757</v>
      </c>
    </row>
    <row r="1002" spans="4:5" x14ac:dyDescent="0.3">
      <c r="D1002" t="s">
        <v>1039</v>
      </c>
      <c r="E1002" t="s">
        <v>3522</v>
      </c>
    </row>
    <row r="1003" spans="4:5" x14ac:dyDescent="0.3">
      <c r="D1003" t="s">
        <v>1582</v>
      </c>
      <c r="E1003" t="s">
        <v>5073</v>
      </c>
    </row>
    <row r="1004" spans="4:5" x14ac:dyDescent="0.3">
      <c r="D1004" t="s">
        <v>4389</v>
      </c>
      <c r="E1004" t="s">
        <v>5074</v>
      </c>
    </row>
    <row r="1005" spans="4:5" x14ac:dyDescent="0.3">
      <c r="D1005" t="s">
        <v>2562</v>
      </c>
      <c r="E1005" t="s">
        <v>5075</v>
      </c>
    </row>
    <row r="1006" spans="4:5" x14ac:dyDescent="0.3">
      <c r="D1006" t="s">
        <v>5101</v>
      </c>
      <c r="E1006" t="s">
        <v>1234</v>
      </c>
    </row>
    <row r="1007" spans="4:5" x14ac:dyDescent="0.3">
      <c r="D1007" t="s">
        <v>2255</v>
      </c>
      <c r="E1007" t="s">
        <v>2429</v>
      </c>
    </row>
    <row r="1008" spans="4:5" x14ac:dyDescent="0.3">
      <c r="D1008" t="s">
        <v>2674</v>
      </c>
      <c r="E1008" t="s">
        <v>4862</v>
      </c>
    </row>
    <row r="1009" spans="4:5" x14ac:dyDescent="0.3">
      <c r="D1009" t="s">
        <v>2054</v>
      </c>
      <c r="E1009" t="s">
        <v>3616</v>
      </c>
    </row>
    <row r="1010" spans="4:5" x14ac:dyDescent="0.3">
      <c r="D1010" t="s">
        <v>3370</v>
      </c>
      <c r="E1010" t="s">
        <v>1116</v>
      </c>
    </row>
    <row r="1011" spans="4:5" x14ac:dyDescent="0.3">
      <c r="D1011" t="s">
        <v>1887</v>
      </c>
      <c r="E1011" t="s">
        <v>427</v>
      </c>
    </row>
    <row r="1012" spans="4:5" x14ac:dyDescent="0.3">
      <c r="D1012" t="s">
        <v>1418</v>
      </c>
      <c r="E1012" t="s">
        <v>612</v>
      </c>
    </row>
    <row r="1013" spans="4:5" x14ac:dyDescent="0.3">
      <c r="D1013" t="s">
        <v>1016</v>
      </c>
      <c r="E1013" t="s">
        <v>1622</v>
      </c>
    </row>
    <row r="1014" spans="4:5" x14ac:dyDescent="0.3">
      <c r="D1014" t="s">
        <v>1579</v>
      </c>
      <c r="E1014" t="s">
        <v>1277</v>
      </c>
    </row>
    <row r="1015" spans="4:5" x14ac:dyDescent="0.3">
      <c r="D1015" t="s">
        <v>1374</v>
      </c>
      <c r="E1015" t="s">
        <v>3332</v>
      </c>
    </row>
    <row r="1016" spans="4:5" x14ac:dyDescent="0.3">
      <c r="D1016" t="s">
        <v>4237</v>
      </c>
      <c r="E1016" t="s">
        <v>2755</v>
      </c>
    </row>
    <row r="1017" spans="4:5" x14ac:dyDescent="0.3">
      <c r="D1017" t="s">
        <v>5386</v>
      </c>
      <c r="E1017" t="s">
        <v>1843</v>
      </c>
    </row>
    <row r="1018" spans="4:5" x14ac:dyDescent="0.3">
      <c r="D1018" t="s">
        <v>4736</v>
      </c>
      <c r="E1018" t="s">
        <v>2698</v>
      </c>
    </row>
    <row r="1019" spans="4:5" x14ac:dyDescent="0.3">
      <c r="D1019" t="s">
        <v>3029</v>
      </c>
      <c r="E1019" t="s">
        <v>1179</v>
      </c>
    </row>
    <row r="1020" spans="4:5" x14ac:dyDescent="0.3">
      <c r="D1020" t="s">
        <v>3338</v>
      </c>
      <c r="E1020" t="s">
        <v>2593</v>
      </c>
    </row>
    <row r="1021" spans="4:5" x14ac:dyDescent="0.3">
      <c r="D1021" t="s">
        <v>3040</v>
      </c>
      <c r="E1021" t="s">
        <v>4533</v>
      </c>
    </row>
    <row r="1022" spans="4:5" x14ac:dyDescent="0.3">
      <c r="D1022" t="s">
        <v>5372</v>
      </c>
      <c r="E1022" t="s">
        <v>2887</v>
      </c>
    </row>
    <row r="1023" spans="4:5" x14ac:dyDescent="0.3">
      <c r="D1023" t="s">
        <v>3906</v>
      </c>
      <c r="E1023" t="s">
        <v>5093</v>
      </c>
    </row>
    <row r="1024" spans="4:5" x14ac:dyDescent="0.3">
      <c r="D1024" t="s">
        <v>1594</v>
      </c>
      <c r="E1024" t="s">
        <v>4426</v>
      </c>
    </row>
    <row r="1025" spans="4:5" x14ac:dyDescent="0.3">
      <c r="D1025" t="s">
        <v>974</v>
      </c>
      <c r="E1025" t="s">
        <v>440</v>
      </c>
    </row>
    <row r="1026" spans="4:5" x14ac:dyDescent="0.3">
      <c r="D1026" t="s">
        <v>1157</v>
      </c>
      <c r="E1026" t="s">
        <v>4504</v>
      </c>
    </row>
    <row r="1027" spans="4:5" x14ac:dyDescent="0.3">
      <c r="D1027" t="s">
        <v>647</v>
      </c>
      <c r="E1027" t="s">
        <v>88</v>
      </c>
    </row>
    <row r="1028" spans="4:5" x14ac:dyDescent="0.3">
      <c r="D1028" t="s">
        <v>225</v>
      </c>
      <c r="E1028" t="s">
        <v>88</v>
      </c>
    </row>
    <row r="1029" spans="4:5" x14ac:dyDescent="0.3">
      <c r="D1029" t="s">
        <v>1083</v>
      </c>
      <c r="E1029" t="s">
        <v>1457</v>
      </c>
    </row>
    <row r="1030" spans="4:5" x14ac:dyDescent="0.3">
      <c r="D1030" t="s">
        <v>944</v>
      </c>
      <c r="E1030" t="s">
        <v>822</v>
      </c>
    </row>
    <row r="1031" spans="4:5" x14ac:dyDescent="0.3">
      <c r="D1031" t="s">
        <v>3048</v>
      </c>
      <c r="E1031" t="s">
        <v>711</v>
      </c>
    </row>
    <row r="1032" spans="4:5" x14ac:dyDescent="0.3">
      <c r="D1032" t="s">
        <v>5282</v>
      </c>
      <c r="E1032" t="s">
        <v>4752</v>
      </c>
    </row>
    <row r="1033" spans="4:5" x14ac:dyDescent="0.3">
      <c r="D1033" t="s">
        <v>2791</v>
      </c>
      <c r="E1033" t="s">
        <v>2182</v>
      </c>
    </row>
    <row r="1034" spans="4:5" x14ac:dyDescent="0.3">
      <c r="D1034" t="s">
        <v>4109</v>
      </c>
      <c r="E1034" t="s">
        <v>4872</v>
      </c>
    </row>
    <row r="1035" spans="4:5" x14ac:dyDescent="0.3">
      <c r="D1035" t="s">
        <v>1500</v>
      </c>
      <c r="E1035" t="s">
        <v>5368</v>
      </c>
    </row>
    <row r="1036" spans="4:5" x14ac:dyDescent="0.3">
      <c r="D1036" t="s">
        <v>1151</v>
      </c>
      <c r="E1036" t="s">
        <v>1552</v>
      </c>
    </row>
    <row r="1037" spans="4:5" x14ac:dyDescent="0.3">
      <c r="D1037" t="s">
        <v>135</v>
      </c>
      <c r="E1037" t="s">
        <v>3221</v>
      </c>
    </row>
    <row r="1038" spans="4:5" x14ac:dyDescent="0.3">
      <c r="D1038" t="s">
        <v>1708</v>
      </c>
      <c r="E1038" t="s">
        <v>3480</v>
      </c>
    </row>
    <row r="1039" spans="4:5" x14ac:dyDescent="0.3">
      <c r="D1039" t="s">
        <v>1286</v>
      </c>
      <c r="E1039" t="s">
        <v>237</v>
      </c>
    </row>
    <row r="1040" spans="4:5" x14ac:dyDescent="0.3">
      <c r="D1040" t="s">
        <v>4052</v>
      </c>
      <c r="E1040" t="s">
        <v>2126</v>
      </c>
    </row>
    <row r="1041" spans="4:5" x14ac:dyDescent="0.3">
      <c r="D1041" t="s">
        <v>3688</v>
      </c>
      <c r="E1041" t="s">
        <v>550</v>
      </c>
    </row>
    <row r="1042" spans="4:5" x14ac:dyDescent="0.3">
      <c r="D1042" t="s">
        <v>72</v>
      </c>
      <c r="E1042" t="s">
        <v>1855</v>
      </c>
    </row>
    <row r="1043" spans="4:5" x14ac:dyDescent="0.3">
      <c r="D1043" t="s">
        <v>3941</v>
      </c>
      <c r="E1043" t="s">
        <v>2598</v>
      </c>
    </row>
    <row r="1044" spans="4:5" x14ac:dyDescent="0.3">
      <c r="D1044" t="s">
        <v>1942</v>
      </c>
      <c r="E1044" t="s">
        <v>296</v>
      </c>
    </row>
    <row r="1045" spans="4:5" x14ac:dyDescent="0.3">
      <c r="D1045" t="s">
        <v>2284</v>
      </c>
      <c r="E1045" t="s">
        <v>5406</v>
      </c>
    </row>
    <row r="1046" spans="4:5" x14ac:dyDescent="0.3">
      <c r="D1046" t="s">
        <v>4753</v>
      </c>
      <c r="E1046" t="s">
        <v>4845</v>
      </c>
    </row>
    <row r="1047" spans="4:5" x14ac:dyDescent="0.3">
      <c r="D1047" t="s">
        <v>3598</v>
      </c>
      <c r="E1047" t="s">
        <v>4970</v>
      </c>
    </row>
    <row r="1048" spans="4:5" x14ac:dyDescent="0.3">
      <c r="D1048" t="s">
        <v>2008</v>
      </c>
      <c r="E1048" t="s">
        <v>3348</v>
      </c>
    </row>
    <row r="1049" spans="4:5" x14ac:dyDescent="0.3">
      <c r="D1049" t="s">
        <v>1002</v>
      </c>
      <c r="E1049" t="s">
        <v>3349</v>
      </c>
    </row>
    <row r="1050" spans="4:5" x14ac:dyDescent="0.3">
      <c r="D1050" t="s">
        <v>5076</v>
      </c>
      <c r="E1050" t="s">
        <v>3733</v>
      </c>
    </row>
    <row r="1051" spans="4:5" x14ac:dyDescent="0.3">
      <c r="D1051" t="s">
        <v>2648</v>
      </c>
      <c r="E1051" t="s">
        <v>1251</v>
      </c>
    </row>
    <row r="1052" spans="4:5" x14ac:dyDescent="0.3">
      <c r="D1052" t="s">
        <v>2397</v>
      </c>
      <c r="E1052" t="s">
        <v>2741</v>
      </c>
    </row>
    <row r="1053" spans="4:5" x14ac:dyDescent="0.3">
      <c r="D1053" t="s">
        <v>1567</v>
      </c>
      <c r="E1053" t="s">
        <v>1330</v>
      </c>
    </row>
    <row r="1054" spans="4:5" x14ac:dyDescent="0.3">
      <c r="D1054" t="s">
        <v>4080</v>
      </c>
      <c r="E1054" t="s">
        <v>1551</v>
      </c>
    </row>
    <row r="1055" spans="4:5" x14ac:dyDescent="0.3">
      <c r="D1055" t="s">
        <v>1440</v>
      </c>
      <c r="E1055" t="s">
        <v>5342</v>
      </c>
    </row>
    <row r="1056" spans="4:5" x14ac:dyDescent="0.3">
      <c r="D1056" t="s">
        <v>1036</v>
      </c>
      <c r="E1056" t="s">
        <v>5343</v>
      </c>
    </row>
    <row r="1057" spans="4:5" x14ac:dyDescent="0.3">
      <c r="D1057" t="s">
        <v>3700</v>
      </c>
      <c r="E1057" t="s">
        <v>2031</v>
      </c>
    </row>
    <row r="1058" spans="4:5" x14ac:dyDescent="0.3">
      <c r="D1058" t="s">
        <v>5104</v>
      </c>
      <c r="E1058" t="s">
        <v>3524</v>
      </c>
    </row>
    <row r="1059" spans="4:5" x14ac:dyDescent="0.3">
      <c r="D1059" t="s">
        <v>865</v>
      </c>
      <c r="E1059" t="s">
        <v>3432</v>
      </c>
    </row>
    <row r="1060" spans="4:5" x14ac:dyDescent="0.3">
      <c r="D1060" t="s">
        <v>339</v>
      </c>
      <c r="E1060" t="s">
        <v>1669</v>
      </c>
    </row>
    <row r="1061" spans="4:5" x14ac:dyDescent="0.3">
      <c r="D1061" t="s">
        <v>4728</v>
      </c>
      <c r="E1061" t="s">
        <v>4425</v>
      </c>
    </row>
    <row r="1062" spans="4:5" x14ac:dyDescent="0.3">
      <c r="D1062" t="s">
        <v>4297</v>
      </c>
      <c r="E1062" t="s">
        <v>3000</v>
      </c>
    </row>
    <row r="1063" spans="4:5" x14ac:dyDescent="0.3">
      <c r="D1063" t="s">
        <v>561</v>
      </c>
      <c r="E1063" t="s">
        <v>1428</v>
      </c>
    </row>
    <row r="1064" spans="4:5" x14ac:dyDescent="0.3">
      <c r="D1064" t="s">
        <v>115</v>
      </c>
      <c r="E1064" t="s">
        <v>1318</v>
      </c>
    </row>
    <row r="1065" spans="4:5" x14ac:dyDescent="0.3">
      <c r="D1065" t="s">
        <v>2853</v>
      </c>
      <c r="E1065" t="s">
        <v>746</v>
      </c>
    </row>
    <row r="1066" spans="4:5" x14ac:dyDescent="0.3">
      <c r="D1066" t="s">
        <v>5356</v>
      </c>
      <c r="E1066" t="s">
        <v>3620</v>
      </c>
    </row>
    <row r="1067" spans="4:5" x14ac:dyDescent="0.3">
      <c r="D1067" t="s">
        <v>5312</v>
      </c>
      <c r="E1067" t="s">
        <v>4551</v>
      </c>
    </row>
    <row r="1068" spans="4:5" x14ac:dyDescent="0.3">
      <c r="D1068" t="s">
        <v>2025</v>
      </c>
      <c r="E1068" t="s">
        <v>4806</v>
      </c>
    </row>
    <row r="1069" spans="4:5" x14ac:dyDescent="0.3">
      <c r="D1069" t="s">
        <v>5068</v>
      </c>
      <c r="E1069" t="s">
        <v>10</v>
      </c>
    </row>
    <row r="1070" spans="4:5" x14ac:dyDescent="0.3">
      <c r="D1070" t="s">
        <v>4555</v>
      </c>
      <c r="E1070" t="s">
        <v>324</v>
      </c>
    </row>
    <row r="1071" spans="4:5" x14ac:dyDescent="0.3">
      <c r="D1071" t="s">
        <v>948</v>
      </c>
      <c r="E1071" t="s">
        <v>71</v>
      </c>
    </row>
    <row r="1072" spans="4:5" x14ac:dyDescent="0.3">
      <c r="D1072" t="s">
        <v>58</v>
      </c>
      <c r="E1072" t="s">
        <v>504</v>
      </c>
    </row>
    <row r="1073" spans="4:5" x14ac:dyDescent="0.3">
      <c r="D1073" t="s">
        <v>9</v>
      </c>
      <c r="E1073" t="s">
        <v>505</v>
      </c>
    </row>
    <row r="1074" spans="4:5" x14ac:dyDescent="0.3">
      <c r="D1074" t="s">
        <v>4172</v>
      </c>
      <c r="E1074" t="s">
        <v>4787</v>
      </c>
    </row>
    <row r="1075" spans="4:5" x14ac:dyDescent="0.3">
      <c r="D1075" t="s">
        <v>2657</v>
      </c>
      <c r="E1075" t="s">
        <v>1364</v>
      </c>
    </row>
    <row r="1076" spans="4:5" x14ac:dyDescent="0.3">
      <c r="D1076" t="s">
        <v>3396</v>
      </c>
      <c r="E1076" t="s">
        <v>1362</v>
      </c>
    </row>
    <row r="1077" spans="4:5" x14ac:dyDescent="0.3">
      <c r="D1077" t="s">
        <v>3685</v>
      </c>
      <c r="E1077" t="s">
        <v>3056</v>
      </c>
    </row>
    <row r="1078" spans="4:5" x14ac:dyDescent="0.3">
      <c r="D1078" t="s">
        <v>4204</v>
      </c>
      <c r="E1078" t="s">
        <v>3957</v>
      </c>
    </row>
    <row r="1079" spans="4:5" x14ac:dyDescent="0.3">
      <c r="D1079" t="s">
        <v>1729</v>
      </c>
      <c r="E1079" t="s">
        <v>1367</v>
      </c>
    </row>
    <row r="1080" spans="4:5" x14ac:dyDescent="0.3">
      <c r="D1080" t="s">
        <v>3463</v>
      </c>
      <c r="E1080" t="s">
        <v>1366</v>
      </c>
    </row>
    <row r="1081" spans="4:5" x14ac:dyDescent="0.3">
      <c r="D1081" t="s">
        <v>3266</v>
      </c>
      <c r="E1081" t="s">
        <v>2471</v>
      </c>
    </row>
    <row r="1082" spans="4:5" x14ac:dyDescent="0.3">
      <c r="D1082" t="s">
        <v>1987</v>
      </c>
      <c r="E1082" t="s">
        <v>3057</v>
      </c>
    </row>
    <row r="1083" spans="4:5" x14ac:dyDescent="0.3">
      <c r="D1083" t="s">
        <v>4836</v>
      </c>
      <c r="E1083" t="s">
        <v>3069</v>
      </c>
    </row>
    <row r="1084" spans="4:5" x14ac:dyDescent="0.3">
      <c r="D1084" t="s">
        <v>2243</v>
      </c>
      <c r="E1084" t="s">
        <v>3871</v>
      </c>
    </row>
    <row r="1085" spans="4:5" x14ac:dyDescent="0.3">
      <c r="D1085" t="s">
        <v>2036</v>
      </c>
      <c r="E1085" t="s">
        <v>1197</v>
      </c>
    </row>
    <row r="1086" spans="4:5" x14ac:dyDescent="0.3">
      <c r="D1086" t="s">
        <v>3319</v>
      </c>
      <c r="E1086" t="s">
        <v>242</v>
      </c>
    </row>
    <row r="1087" spans="4:5" x14ac:dyDescent="0.3">
      <c r="D1087" t="s">
        <v>4880</v>
      </c>
      <c r="E1087" t="s">
        <v>3469</v>
      </c>
    </row>
    <row r="1088" spans="4:5" x14ac:dyDescent="0.3">
      <c r="D1088" t="s">
        <v>1033</v>
      </c>
      <c r="E1088" t="s">
        <v>3991</v>
      </c>
    </row>
    <row r="1089" spans="4:5" x14ac:dyDescent="0.3">
      <c r="D1089" t="s">
        <v>4156</v>
      </c>
      <c r="E1089" t="s">
        <v>1742</v>
      </c>
    </row>
    <row r="1090" spans="4:5" x14ac:dyDescent="0.3">
      <c r="D1090" t="s">
        <v>2842</v>
      </c>
      <c r="E1090" t="s">
        <v>5407</v>
      </c>
    </row>
    <row r="1091" spans="4:5" x14ac:dyDescent="0.3">
      <c r="D1091" t="s">
        <v>5065</v>
      </c>
      <c r="E1091" t="s">
        <v>4222</v>
      </c>
    </row>
    <row r="1092" spans="4:5" x14ac:dyDescent="0.3">
      <c r="D1092" t="s">
        <v>2005</v>
      </c>
      <c r="E1092" t="s">
        <v>1411</v>
      </c>
    </row>
    <row r="1093" spans="4:5" x14ac:dyDescent="0.3">
      <c r="D1093" t="s">
        <v>1901</v>
      </c>
      <c r="E1093" t="s">
        <v>3517</v>
      </c>
    </row>
    <row r="1094" spans="4:5" x14ac:dyDescent="0.3">
      <c r="D1094" t="s">
        <v>2028</v>
      </c>
      <c r="E1094" t="s">
        <v>571</v>
      </c>
    </row>
    <row r="1095" spans="4:5" x14ac:dyDescent="0.3">
      <c r="D1095" t="s">
        <v>1948</v>
      </c>
      <c r="E1095" t="s">
        <v>1396</v>
      </c>
    </row>
    <row r="1096" spans="4:5" x14ac:dyDescent="0.3">
      <c r="D1096" t="s">
        <v>717</v>
      </c>
      <c r="E1096" t="s">
        <v>233</v>
      </c>
    </row>
    <row r="1097" spans="4:5" x14ac:dyDescent="0.3">
      <c r="D1097" t="s">
        <v>2986</v>
      </c>
      <c r="E1097" t="s">
        <v>2017</v>
      </c>
    </row>
    <row r="1098" spans="4:5" x14ac:dyDescent="0.3">
      <c r="D1098" t="s">
        <v>4563</v>
      </c>
      <c r="E1098" t="s">
        <v>2705</v>
      </c>
    </row>
    <row r="1099" spans="4:5" x14ac:dyDescent="0.3">
      <c r="D1099" t="s">
        <v>4985</v>
      </c>
      <c r="E1099" t="s">
        <v>3512</v>
      </c>
    </row>
    <row r="1100" spans="4:5" x14ac:dyDescent="0.3">
      <c r="D1100" t="s">
        <v>3272</v>
      </c>
      <c r="E1100" t="s">
        <v>244</v>
      </c>
    </row>
    <row r="1101" spans="4:5" x14ac:dyDescent="0.3">
      <c r="D1101" t="s">
        <v>4141</v>
      </c>
      <c r="E1101" t="s">
        <v>2980</v>
      </c>
    </row>
    <row r="1102" spans="4:5" x14ac:dyDescent="0.3">
      <c r="D1102" t="s">
        <v>2329</v>
      </c>
      <c r="E1102" t="s">
        <v>1561</v>
      </c>
    </row>
    <row r="1103" spans="4:5" x14ac:dyDescent="0.3">
      <c r="D1103" t="s">
        <v>982</v>
      </c>
      <c r="E1103" t="s">
        <v>2147</v>
      </c>
    </row>
    <row r="1104" spans="4:5" x14ac:dyDescent="0.3">
      <c r="D1104" t="s">
        <v>608</v>
      </c>
      <c r="E1104" t="s">
        <v>709</v>
      </c>
    </row>
    <row r="1105" spans="4:5" x14ac:dyDescent="0.3">
      <c r="D1105" t="s">
        <v>4328</v>
      </c>
      <c r="E1105" t="s">
        <v>1346</v>
      </c>
    </row>
    <row r="1106" spans="4:5" x14ac:dyDescent="0.3">
      <c r="D1106" t="s">
        <v>2579</v>
      </c>
      <c r="E1106" t="s">
        <v>5408</v>
      </c>
    </row>
    <row r="1107" spans="4:5" x14ac:dyDescent="0.3">
      <c r="D1107" t="s">
        <v>4749</v>
      </c>
      <c r="E1107" t="s">
        <v>3518</v>
      </c>
    </row>
    <row r="1108" spans="4:5" x14ac:dyDescent="0.3">
      <c r="D1108" t="s">
        <v>5306</v>
      </c>
      <c r="E1108" t="s">
        <v>93</v>
      </c>
    </row>
    <row r="1109" spans="4:5" x14ac:dyDescent="0.3">
      <c r="D1109" t="s">
        <v>2911</v>
      </c>
      <c r="E1109" t="s">
        <v>4119</v>
      </c>
    </row>
    <row r="1110" spans="4:5" x14ac:dyDescent="0.3">
      <c r="D1110" t="s">
        <v>3954</v>
      </c>
      <c r="E1110" t="s">
        <v>3962</v>
      </c>
    </row>
    <row r="1111" spans="4:5" x14ac:dyDescent="0.3">
      <c r="D1111" t="s">
        <v>662</v>
      </c>
      <c r="E1111" t="s">
        <v>1870</v>
      </c>
    </row>
    <row r="1112" spans="4:5" x14ac:dyDescent="0.3">
      <c r="D1112" t="s">
        <v>935</v>
      </c>
      <c r="E1112" t="s">
        <v>958</v>
      </c>
    </row>
    <row r="1113" spans="4:5" x14ac:dyDescent="0.3">
      <c r="D1113" t="s">
        <v>4942</v>
      </c>
      <c r="E1113" t="s">
        <v>163</v>
      </c>
    </row>
    <row r="1114" spans="4:5" x14ac:dyDescent="0.3">
      <c r="D1114" t="s">
        <v>2534</v>
      </c>
      <c r="E1114" t="s">
        <v>486</v>
      </c>
    </row>
    <row r="1115" spans="4:5" x14ac:dyDescent="0.3">
      <c r="D1115" t="s">
        <v>2702</v>
      </c>
      <c r="E1115" t="s">
        <v>476</v>
      </c>
    </row>
    <row r="1116" spans="4:5" x14ac:dyDescent="0.3">
      <c r="D1116" t="s">
        <v>1348</v>
      </c>
      <c r="E1116" t="s">
        <v>3208</v>
      </c>
    </row>
    <row r="1117" spans="4:5" x14ac:dyDescent="0.3">
      <c r="D1117" t="s">
        <v>1530</v>
      </c>
      <c r="E1117" t="s">
        <v>611</v>
      </c>
    </row>
    <row r="1118" spans="4:5" x14ac:dyDescent="0.3">
      <c r="D1118" t="s">
        <v>3415</v>
      </c>
      <c r="E1118" t="s">
        <v>4602</v>
      </c>
    </row>
    <row r="1119" spans="4:5" x14ac:dyDescent="0.3">
      <c r="D1119" t="s">
        <v>3726</v>
      </c>
      <c r="E1119" t="s">
        <v>4604</v>
      </c>
    </row>
    <row r="1120" spans="4:5" x14ac:dyDescent="0.3">
      <c r="D1120" t="s">
        <v>4612</v>
      </c>
      <c r="E1120" t="s">
        <v>4603</v>
      </c>
    </row>
    <row r="1121" spans="4:5" x14ac:dyDescent="0.3">
      <c r="D1121" t="s">
        <v>2200</v>
      </c>
      <c r="E1121" t="s">
        <v>41</v>
      </c>
    </row>
    <row r="1122" spans="4:5" x14ac:dyDescent="0.3">
      <c r="D1122" t="s">
        <v>472</v>
      </c>
    </row>
    <row r="1123" spans="4:5" x14ac:dyDescent="0.3">
      <c r="D1123" t="s">
        <v>281</v>
      </c>
    </row>
    <row r="1124" spans="4:5" x14ac:dyDescent="0.3">
      <c r="D1124" t="s">
        <v>4515</v>
      </c>
    </row>
    <row r="1125" spans="4:5" x14ac:dyDescent="0.3">
      <c r="D1125" t="s">
        <v>3789</v>
      </c>
    </row>
    <row r="1126" spans="4:5" x14ac:dyDescent="0.3">
      <c r="D1126" t="s">
        <v>2871</v>
      </c>
    </row>
    <row r="1127" spans="4:5" x14ac:dyDescent="0.3">
      <c r="D1127" t="s">
        <v>1536</v>
      </c>
    </row>
    <row r="1128" spans="4:5" x14ac:dyDescent="0.3">
      <c r="D1128" t="s">
        <v>4633</v>
      </c>
    </row>
    <row r="1129" spans="4:5" x14ac:dyDescent="0.3">
      <c r="D1129" t="s">
        <v>3804</v>
      </c>
    </row>
    <row r="1130" spans="4:5" x14ac:dyDescent="0.3">
      <c r="D1130" t="s">
        <v>2355</v>
      </c>
    </row>
    <row r="1131" spans="4:5" x14ac:dyDescent="0.3">
      <c r="D1131" t="s">
        <v>2165</v>
      </c>
    </row>
    <row r="1132" spans="4:5" x14ac:dyDescent="0.3">
      <c r="D1132" t="s">
        <v>1030</v>
      </c>
    </row>
    <row r="1133" spans="4:5" x14ac:dyDescent="0.3">
      <c r="D1133" t="s">
        <v>3181</v>
      </c>
    </row>
    <row r="1134" spans="4:5" x14ac:dyDescent="0.3">
      <c r="D1134" t="s">
        <v>2190</v>
      </c>
    </row>
    <row r="1135" spans="4:5" x14ac:dyDescent="0.3">
      <c r="D1135" t="s">
        <v>5140</v>
      </c>
    </row>
    <row r="1136" spans="4:5" x14ac:dyDescent="0.3">
      <c r="D1136" t="s">
        <v>4552</v>
      </c>
    </row>
    <row r="1137" spans="4:4" x14ac:dyDescent="0.3">
      <c r="D1137" t="s">
        <v>4211</v>
      </c>
    </row>
    <row r="1138" spans="4:4" x14ac:dyDescent="0.3">
      <c r="D1138" t="s">
        <v>4586</v>
      </c>
    </row>
    <row r="1139" spans="4:4" x14ac:dyDescent="0.3">
      <c r="D1139" t="s">
        <v>5154</v>
      </c>
    </row>
    <row r="1140" spans="4:4" x14ac:dyDescent="0.3">
      <c r="D1140" t="s">
        <v>2898</v>
      </c>
    </row>
    <row r="1141" spans="4:4" x14ac:dyDescent="0.3">
      <c r="D1141" t="s">
        <v>818</v>
      </c>
    </row>
    <row r="1142" spans="4:4" x14ac:dyDescent="0.3">
      <c r="D1142" t="s">
        <v>1244</v>
      </c>
    </row>
    <row r="1143" spans="4:4" x14ac:dyDescent="0.3">
      <c r="D1143" t="s">
        <v>3681</v>
      </c>
    </row>
    <row r="1144" spans="4:4" x14ac:dyDescent="0.3">
      <c r="D1144" t="s">
        <v>3750</v>
      </c>
    </row>
    <row r="1145" spans="4:4" x14ac:dyDescent="0.3">
      <c r="D1145" t="s">
        <v>2594</v>
      </c>
    </row>
    <row r="1146" spans="4:4" x14ac:dyDescent="0.3">
      <c r="D1146" t="s">
        <v>1656</v>
      </c>
    </row>
    <row r="1147" spans="4:4" x14ac:dyDescent="0.3">
      <c r="D1147" t="s">
        <v>814</v>
      </c>
    </row>
    <row r="1148" spans="4:4" x14ac:dyDescent="0.3">
      <c r="D1148" t="s">
        <v>3601</v>
      </c>
    </row>
    <row r="1149" spans="4:4" x14ac:dyDescent="0.3">
      <c r="D1149" t="s">
        <v>3106</v>
      </c>
    </row>
    <row r="1150" spans="4:4" x14ac:dyDescent="0.3">
      <c r="D1150" t="s">
        <v>2176</v>
      </c>
    </row>
    <row r="1151" spans="4:4" x14ac:dyDescent="0.3">
      <c r="D1151" t="s">
        <v>847</v>
      </c>
    </row>
    <row r="1152" spans="4:4" x14ac:dyDescent="0.3">
      <c r="D1152" t="s">
        <v>680</v>
      </c>
    </row>
    <row r="1153" spans="4:4" x14ac:dyDescent="0.3">
      <c r="D1153" t="s">
        <v>467</v>
      </c>
    </row>
    <row r="1154" spans="4:4" x14ac:dyDescent="0.3">
      <c r="D1154" t="s">
        <v>4183</v>
      </c>
    </row>
    <row r="1155" spans="4:4" x14ac:dyDescent="0.3">
      <c r="D1155" t="s">
        <v>3147</v>
      </c>
    </row>
    <row r="1156" spans="4:4" x14ac:dyDescent="0.3">
      <c r="D1156" t="s">
        <v>4626</v>
      </c>
    </row>
    <row r="1157" spans="4:4" x14ac:dyDescent="0.3">
      <c r="D1157" t="s">
        <v>3408</v>
      </c>
    </row>
    <row r="1158" spans="4:4" x14ac:dyDescent="0.3">
      <c r="D1158" t="s">
        <v>2552</v>
      </c>
    </row>
    <row r="1159" spans="4:4" x14ac:dyDescent="0.3">
      <c r="D1159" t="s">
        <v>5209</v>
      </c>
    </row>
    <row r="1160" spans="4:4" x14ac:dyDescent="0.3">
      <c r="D1160" t="s">
        <v>2059</v>
      </c>
    </row>
    <row r="1161" spans="4:4" x14ac:dyDescent="0.3">
      <c r="D1161" t="s">
        <v>810</v>
      </c>
    </row>
    <row r="1162" spans="4:4" x14ac:dyDescent="0.3">
      <c r="D1162" t="s">
        <v>3621</v>
      </c>
    </row>
    <row r="1163" spans="4:4" x14ac:dyDescent="0.3">
      <c r="D1163" t="s">
        <v>1470</v>
      </c>
    </row>
    <row r="1164" spans="4:4" x14ac:dyDescent="0.3">
      <c r="D1164" t="s">
        <v>4324</v>
      </c>
    </row>
    <row r="1165" spans="4:4" x14ac:dyDescent="0.3">
      <c r="D1165" t="s">
        <v>613</v>
      </c>
    </row>
    <row r="1166" spans="4:4" x14ac:dyDescent="0.3">
      <c r="D1166" t="s">
        <v>1508</v>
      </c>
    </row>
    <row r="1167" spans="4:4" x14ac:dyDescent="0.3">
      <c r="D1167" t="s">
        <v>807</v>
      </c>
    </row>
    <row r="1168" spans="4:4" x14ac:dyDescent="0.3">
      <c r="D1168" t="s">
        <v>1642</v>
      </c>
    </row>
    <row r="1169" spans="4:4" x14ac:dyDescent="0.3">
      <c r="D1169" t="s">
        <v>940</v>
      </c>
    </row>
    <row r="1170" spans="4:4" x14ac:dyDescent="0.3">
      <c r="D1170" t="s">
        <v>4341</v>
      </c>
    </row>
    <row r="1171" spans="4:4" x14ac:dyDescent="0.3">
      <c r="D1171" t="s">
        <v>4318</v>
      </c>
    </row>
    <row r="1172" spans="4:4" x14ac:dyDescent="0.3">
      <c r="D1172" t="s">
        <v>4303</v>
      </c>
    </row>
    <row r="1173" spans="4:4" x14ac:dyDescent="0.3">
      <c r="D1173" t="s">
        <v>3298</v>
      </c>
    </row>
    <row r="1174" spans="4:4" x14ac:dyDescent="0.3">
      <c r="D1174" t="s">
        <v>4021</v>
      </c>
    </row>
    <row r="1175" spans="4:4" x14ac:dyDescent="0.3">
      <c r="D1175" t="s">
        <v>89</v>
      </c>
    </row>
    <row r="1176" spans="4:4" x14ac:dyDescent="0.3">
      <c r="D1176" t="s">
        <v>5246</v>
      </c>
    </row>
    <row r="1177" spans="4:4" x14ac:dyDescent="0.3">
      <c r="D1177" t="s">
        <v>4859</v>
      </c>
    </row>
    <row r="1178" spans="4:4" x14ac:dyDescent="0.3">
      <c r="D1178" t="s">
        <v>3422</v>
      </c>
    </row>
    <row r="1179" spans="4:4" x14ac:dyDescent="0.3">
      <c r="D1179" t="s">
        <v>656</v>
      </c>
    </row>
    <row r="1180" spans="4:4" x14ac:dyDescent="0.3">
      <c r="D1180" t="s">
        <v>802</v>
      </c>
    </row>
    <row r="1181" spans="4:4" x14ac:dyDescent="0.3">
      <c r="D1181" t="s">
        <v>4529</v>
      </c>
    </row>
    <row r="1182" spans="4:4" x14ac:dyDescent="0.3">
      <c r="D1182" t="s">
        <v>4418</v>
      </c>
    </row>
    <row r="1183" spans="4:4" x14ac:dyDescent="0.3">
      <c r="D1183" t="s">
        <v>1310</v>
      </c>
    </row>
    <row r="1184" spans="4:4" x14ac:dyDescent="0.3">
      <c r="D1184" t="s">
        <v>1924</v>
      </c>
    </row>
    <row r="1185" spans="4:4" x14ac:dyDescent="0.3">
      <c r="D1185" t="s">
        <v>3896</v>
      </c>
    </row>
    <row r="1186" spans="4:4" x14ac:dyDescent="0.3">
      <c r="D1186" t="s">
        <v>2519</v>
      </c>
    </row>
    <row r="1187" spans="4:4" x14ac:dyDescent="0.3">
      <c r="D1187" t="s">
        <v>2446</v>
      </c>
    </row>
    <row r="1188" spans="4:4" x14ac:dyDescent="0.3">
      <c r="D1188" t="s">
        <v>4653</v>
      </c>
    </row>
    <row r="1189" spans="4:4" x14ac:dyDescent="0.3">
      <c r="D1189" t="s">
        <v>3244</v>
      </c>
    </row>
    <row r="1190" spans="4:4" x14ac:dyDescent="0.3">
      <c r="D1190" t="s">
        <v>5016</v>
      </c>
    </row>
    <row r="1191" spans="4:4" x14ac:dyDescent="0.3">
      <c r="D1191" t="s">
        <v>3909</v>
      </c>
    </row>
    <row r="1192" spans="4:4" x14ac:dyDescent="0.3">
      <c r="D1192" t="s">
        <v>400</v>
      </c>
    </row>
    <row r="1193" spans="4:4" x14ac:dyDescent="0.3">
      <c r="D1193" t="s">
        <v>1270</v>
      </c>
    </row>
    <row r="1194" spans="4:4" x14ac:dyDescent="0.3">
      <c r="D1194" t="s">
        <v>643</v>
      </c>
    </row>
    <row r="1195" spans="4:4" x14ac:dyDescent="0.3">
      <c r="D1195" t="s">
        <v>4400</v>
      </c>
    </row>
    <row r="1196" spans="4:4" x14ac:dyDescent="0.3">
      <c r="D1196" t="s">
        <v>2983</v>
      </c>
    </row>
    <row r="1197" spans="4:4" x14ac:dyDescent="0.3">
      <c r="D1197" t="s">
        <v>3197</v>
      </c>
    </row>
    <row r="1198" spans="4:4" x14ac:dyDescent="0.3">
      <c r="D1198" t="s">
        <v>522</v>
      </c>
    </row>
    <row r="1199" spans="4:4" x14ac:dyDescent="0.3">
      <c r="D1199" t="s">
        <v>916</v>
      </c>
    </row>
    <row r="1200" spans="4:4" x14ac:dyDescent="0.3">
      <c r="D1200" t="s">
        <v>1219</v>
      </c>
    </row>
    <row r="1201" spans="4:4" x14ac:dyDescent="0.3">
      <c r="D1201" t="s">
        <v>3476</v>
      </c>
    </row>
    <row r="1202" spans="4:4" x14ac:dyDescent="0.3">
      <c r="D1202" t="s">
        <v>978</v>
      </c>
    </row>
    <row r="1203" spans="4:4" x14ac:dyDescent="0.3">
      <c r="D1203" t="s">
        <v>1207</v>
      </c>
    </row>
    <row r="1204" spans="4:4" x14ac:dyDescent="0.3">
      <c r="D1204" t="s">
        <v>1734</v>
      </c>
    </row>
    <row r="1205" spans="4:4" x14ac:dyDescent="0.3">
      <c r="D1205" t="s">
        <v>3103</v>
      </c>
    </row>
    <row r="1206" spans="4:4" x14ac:dyDescent="0.3">
      <c r="D1206" t="s">
        <v>2156</v>
      </c>
    </row>
    <row r="1207" spans="4:4" x14ac:dyDescent="0.3">
      <c r="D1207" t="s">
        <v>2321</v>
      </c>
    </row>
    <row r="1208" spans="4:4" x14ac:dyDescent="0.3">
      <c r="D1208" t="s">
        <v>1012</v>
      </c>
    </row>
    <row r="1209" spans="4:4" x14ac:dyDescent="0.3">
      <c r="D1209" t="s">
        <v>3285</v>
      </c>
    </row>
    <row r="1210" spans="4:4" x14ac:dyDescent="0.3">
      <c r="D1210" t="s">
        <v>5013</v>
      </c>
    </row>
    <row r="1211" spans="4:4" x14ac:dyDescent="0.3">
      <c r="D1211" t="s">
        <v>3173</v>
      </c>
    </row>
    <row r="1212" spans="4:4" x14ac:dyDescent="0.3">
      <c r="D1212" t="s">
        <v>525</v>
      </c>
    </row>
    <row r="1213" spans="4:4" x14ac:dyDescent="0.3">
      <c r="D1213" t="s">
        <v>2904</v>
      </c>
    </row>
    <row r="1214" spans="4:4" x14ac:dyDescent="0.3">
      <c r="D1214" t="s">
        <v>3241</v>
      </c>
    </row>
    <row r="1215" spans="4:4" x14ac:dyDescent="0.3">
      <c r="D1215" t="s">
        <v>1344</v>
      </c>
    </row>
    <row r="1216" spans="4:4" x14ac:dyDescent="0.3">
      <c r="D1216" t="s">
        <v>3632</v>
      </c>
    </row>
    <row r="1217" spans="4:4" x14ac:dyDescent="0.3">
      <c r="D1217" t="s">
        <v>1591</v>
      </c>
    </row>
    <row r="1218" spans="4:4" x14ac:dyDescent="0.3">
      <c r="D1218" t="s">
        <v>2344</v>
      </c>
    </row>
    <row r="1219" spans="4:4" x14ac:dyDescent="0.3">
      <c r="D1219" t="s">
        <v>3111</v>
      </c>
    </row>
    <row r="1220" spans="4:4" x14ac:dyDescent="0.3">
      <c r="D1220" t="s">
        <v>1553</v>
      </c>
    </row>
    <row r="1221" spans="4:4" x14ac:dyDescent="0.3">
      <c r="D1221" t="s">
        <v>4367</v>
      </c>
    </row>
    <row r="1222" spans="4:4" x14ac:dyDescent="0.3">
      <c r="D1222" t="s">
        <v>5353</v>
      </c>
    </row>
    <row r="1223" spans="4:4" x14ac:dyDescent="0.3">
      <c r="D1223" t="s">
        <v>798</v>
      </c>
    </row>
    <row r="1224" spans="4:4" x14ac:dyDescent="0.3">
      <c r="D1224" t="s">
        <v>906</v>
      </c>
    </row>
    <row r="1225" spans="4:4" x14ac:dyDescent="0.3">
      <c r="D1225" t="s">
        <v>2776</v>
      </c>
    </row>
    <row r="1226" spans="4:4" x14ac:dyDescent="0.3">
      <c r="D1226" t="s">
        <v>463</v>
      </c>
    </row>
    <row r="1227" spans="4:4" x14ac:dyDescent="0.3">
      <c r="D1227" t="s">
        <v>3860</v>
      </c>
    </row>
    <row r="1228" spans="4:4" x14ac:dyDescent="0.3">
      <c r="D1228" t="s">
        <v>84</v>
      </c>
    </row>
    <row r="1229" spans="4:4" x14ac:dyDescent="0.3">
      <c r="D1229" t="s">
        <v>4190</v>
      </c>
    </row>
    <row r="1230" spans="4:4" x14ac:dyDescent="0.3">
      <c r="D1230" t="s">
        <v>1676</v>
      </c>
    </row>
    <row r="1231" spans="4:4" x14ac:dyDescent="0.3">
      <c r="D1231" t="s">
        <v>38</v>
      </c>
    </row>
    <row r="1232" spans="4:4" x14ac:dyDescent="0.3">
      <c r="D1232" t="s">
        <v>2135</v>
      </c>
    </row>
    <row r="1233" spans="4:4" x14ac:dyDescent="0.3">
      <c r="D1233" t="s">
        <v>572</v>
      </c>
    </row>
    <row r="1234" spans="4:4" x14ac:dyDescent="0.3">
      <c r="D1234" t="s">
        <v>410</v>
      </c>
    </row>
    <row r="1235" spans="4:4" x14ac:dyDescent="0.3">
      <c r="D1235" t="s">
        <v>3801</v>
      </c>
    </row>
    <row r="1236" spans="4:4" x14ac:dyDescent="0.3">
      <c r="D1236" t="s">
        <v>62</v>
      </c>
    </row>
    <row r="1237" spans="4:4" x14ac:dyDescent="0.3">
      <c r="D1237" t="s">
        <v>3966</v>
      </c>
    </row>
    <row r="1238" spans="4:4" x14ac:dyDescent="0.3">
      <c r="D1238" t="s">
        <v>3984</v>
      </c>
    </row>
    <row r="1239" spans="4:4" x14ac:dyDescent="0.3">
      <c r="D1239" t="s">
        <v>4926</v>
      </c>
    </row>
    <row r="1240" spans="4:4" x14ac:dyDescent="0.3">
      <c r="D1240" t="s">
        <v>3571</v>
      </c>
    </row>
    <row r="1241" spans="4:4" x14ac:dyDescent="0.3">
      <c r="D1241" t="s">
        <v>1724</v>
      </c>
    </row>
    <row r="1242" spans="4:4" x14ac:dyDescent="0.3">
      <c r="D1242" t="s">
        <v>4908</v>
      </c>
    </row>
    <row r="1243" spans="4:4" x14ac:dyDescent="0.3">
      <c r="D1243" t="s">
        <v>1936</v>
      </c>
    </row>
    <row r="1244" spans="4:4" x14ac:dyDescent="0.3">
      <c r="D1244" t="s">
        <v>626</v>
      </c>
    </row>
    <row r="1245" spans="4:4" x14ac:dyDescent="0.3">
      <c r="D1245" t="s">
        <v>4788</v>
      </c>
    </row>
    <row r="1246" spans="4:4" x14ac:dyDescent="0.3">
      <c r="D1246" t="s">
        <v>3977</v>
      </c>
    </row>
    <row r="1247" spans="4:4" x14ac:dyDescent="0.3">
      <c r="D1247" t="s">
        <v>4842</v>
      </c>
    </row>
    <row r="1248" spans="4:4" x14ac:dyDescent="0.3">
      <c r="D1248" t="s">
        <v>2295</v>
      </c>
    </row>
    <row r="1249" spans="4:4" x14ac:dyDescent="0.3">
      <c r="D1249" t="s">
        <v>146</v>
      </c>
    </row>
    <row r="1250" spans="4:4" x14ac:dyDescent="0.3">
      <c r="D1250" t="s">
        <v>5113</v>
      </c>
    </row>
    <row r="1251" spans="4:4" x14ac:dyDescent="0.3">
      <c r="D1251" t="s">
        <v>1167</v>
      </c>
    </row>
    <row r="1252" spans="4:4" x14ac:dyDescent="0.3">
      <c r="D1252" t="s">
        <v>3723</v>
      </c>
    </row>
    <row r="1253" spans="4:4" x14ac:dyDescent="0.3">
      <c r="D1253" t="s">
        <v>3958</v>
      </c>
    </row>
    <row r="1254" spans="4:4" x14ac:dyDescent="0.3">
      <c r="D1254" t="s">
        <v>4808</v>
      </c>
    </row>
    <row r="1255" spans="4:4" x14ac:dyDescent="0.3">
      <c r="D1255" t="s">
        <v>2826</v>
      </c>
    </row>
    <row r="1256" spans="4:4" x14ac:dyDescent="0.3">
      <c r="D1256" t="s">
        <v>3097</v>
      </c>
    </row>
    <row r="1257" spans="4:4" x14ac:dyDescent="0.3">
      <c r="D1257" t="s">
        <v>5309</v>
      </c>
    </row>
    <row r="1258" spans="4:4" x14ac:dyDescent="0.3">
      <c r="D1258" t="s">
        <v>3865</v>
      </c>
    </row>
    <row r="1259" spans="4:4" x14ac:dyDescent="0.3">
      <c r="D1259" t="s">
        <v>4882</v>
      </c>
    </row>
    <row r="1260" spans="4:4" x14ac:dyDescent="0.3">
      <c r="D1260" t="s">
        <v>2039</v>
      </c>
    </row>
    <row r="1261" spans="4:4" x14ac:dyDescent="0.3">
      <c r="D1261" t="s">
        <v>2482</v>
      </c>
    </row>
    <row r="1262" spans="4:4" x14ac:dyDescent="0.3">
      <c r="D1262" t="s">
        <v>4062</v>
      </c>
    </row>
    <row r="1263" spans="4:4" x14ac:dyDescent="0.3">
      <c r="D1263" t="s">
        <v>3922</v>
      </c>
    </row>
    <row r="1264" spans="4:4" x14ac:dyDescent="0.3">
      <c r="D1264" t="s">
        <v>766</v>
      </c>
    </row>
    <row r="1265" spans="4:4" x14ac:dyDescent="0.3">
      <c r="D1265" t="s">
        <v>2288</v>
      </c>
    </row>
    <row r="1266" spans="4:4" x14ac:dyDescent="0.3">
      <c r="D1266" t="s">
        <v>1755</v>
      </c>
    </row>
    <row r="1267" spans="4:4" x14ac:dyDescent="0.3">
      <c r="D1267" t="s">
        <v>3466</v>
      </c>
    </row>
    <row r="1268" spans="4:4" x14ac:dyDescent="0.3">
      <c r="D1268" t="s">
        <v>3729</v>
      </c>
    </row>
    <row r="1269" spans="4:4" x14ac:dyDescent="0.3">
      <c r="D1269" t="s">
        <v>2109</v>
      </c>
    </row>
    <row r="1270" spans="4:4" x14ac:dyDescent="0.3">
      <c r="D1270" t="s">
        <v>726</v>
      </c>
    </row>
    <row r="1271" spans="4:4" x14ac:dyDescent="0.3">
      <c r="D1271" t="s">
        <v>1227</v>
      </c>
    </row>
    <row r="1272" spans="4:4" x14ac:dyDescent="0.3">
      <c r="D1272" t="s">
        <v>1292</v>
      </c>
    </row>
    <row r="1273" spans="4:4" x14ac:dyDescent="0.3">
      <c r="D1273" t="s">
        <v>2279</v>
      </c>
    </row>
    <row r="1274" spans="4:4" x14ac:dyDescent="0.3">
      <c r="D1274" t="s">
        <v>1187</v>
      </c>
    </row>
    <row r="1275" spans="4:4" x14ac:dyDescent="0.3">
      <c r="D1275" t="s">
        <v>1999</v>
      </c>
    </row>
    <row r="1276" spans="4:4" x14ac:dyDescent="0.3">
      <c r="D1276" t="s">
        <v>3007</v>
      </c>
    </row>
    <row r="1277" spans="4:4" x14ac:dyDescent="0.3">
      <c r="D1277" t="s">
        <v>3126</v>
      </c>
    </row>
    <row r="1278" spans="4:4" x14ac:dyDescent="0.3">
      <c r="D1278" t="s">
        <v>4032</v>
      </c>
    </row>
    <row r="1279" spans="4:4" x14ac:dyDescent="0.3">
      <c r="D1279" t="s">
        <v>1261</v>
      </c>
    </row>
    <row r="1280" spans="4:4" x14ac:dyDescent="0.3">
      <c r="D1280" t="s">
        <v>2340</v>
      </c>
    </row>
    <row r="1281" spans="4:4" x14ac:dyDescent="0.3">
      <c r="D1281" t="s">
        <v>2744</v>
      </c>
    </row>
    <row r="1282" spans="4:4" x14ac:dyDescent="0.3">
      <c r="D1282" t="s">
        <v>1255</v>
      </c>
    </row>
    <row r="1283" spans="4:4" x14ac:dyDescent="0.3">
      <c r="D1283" t="s">
        <v>85</v>
      </c>
    </row>
    <row r="1284" spans="4:4" x14ac:dyDescent="0.3">
      <c r="D1284" t="s">
        <v>2868</v>
      </c>
    </row>
    <row r="1285" spans="4:4" x14ac:dyDescent="0.3">
      <c r="D1285" t="s">
        <v>1368</v>
      </c>
    </row>
    <row r="1286" spans="4:4" x14ac:dyDescent="0.3">
      <c r="D1286" t="s">
        <v>677</v>
      </c>
    </row>
    <row r="1287" spans="4:4" x14ac:dyDescent="0.3">
      <c r="D1287" t="s">
        <v>2213</v>
      </c>
    </row>
    <row r="1288" spans="4:4" x14ac:dyDescent="0.3">
      <c r="D1288" t="s">
        <v>302</v>
      </c>
    </row>
    <row r="1289" spans="4:4" x14ac:dyDescent="0.3">
      <c r="D1289" t="s">
        <v>2444</v>
      </c>
    </row>
    <row r="1290" spans="4:4" x14ac:dyDescent="0.3">
      <c r="D1290" t="s">
        <v>599</v>
      </c>
    </row>
    <row r="1291" spans="4:4" x14ac:dyDescent="0.3">
      <c r="D1291" t="s">
        <v>2997</v>
      </c>
    </row>
    <row r="1292" spans="4:4" x14ac:dyDescent="0.3">
      <c r="D1292" t="s">
        <v>4000</v>
      </c>
    </row>
    <row r="1293" spans="4:4" x14ac:dyDescent="0.3">
      <c r="D1293" t="s">
        <v>218</v>
      </c>
    </row>
    <row r="1294" spans="4:4" x14ac:dyDescent="0.3">
      <c r="D1294" t="s">
        <v>5161</v>
      </c>
    </row>
    <row r="1295" spans="4:4" x14ac:dyDescent="0.3">
      <c r="D1295" t="s">
        <v>4956</v>
      </c>
    </row>
    <row r="1296" spans="4:4" x14ac:dyDescent="0.3">
      <c r="D1296" t="s">
        <v>1480</v>
      </c>
    </row>
    <row r="1297" spans="4:4" x14ac:dyDescent="0.3">
      <c r="D1297" t="s">
        <v>2939</v>
      </c>
    </row>
    <row r="1298" spans="4:4" x14ac:dyDescent="0.3">
      <c r="D1298" t="s">
        <v>4300</v>
      </c>
    </row>
    <row r="1299" spans="4:4" x14ac:dyDescent="0.3">
      <c r="D1299" t="s">
        <v>4713</v>
      </c>
    </row>
    <row r="1300" spans="4:4" x14ac:dyDescent="0.3">
      <c r="D1300" t="s">
        <v>4922</v>
      </c>
    </row>
    <row r="1301" spans="4:4" x14ac:dyDescent="0.3">
      <c r="D1301" t="s">
        <v>4006</v>
      </c>
    </row>
    <row r="1302" spans="4:4" x14ac:dyDescent="0.3">
      <c r="D1302" t="s">
        <v>1337</v>
      </c>
    </row>
    <row r="1303" spans="4:4" x14ac:dyDescent="0.3">
      <c r="D1303" t="s">
        <v>3434</v>
      </c>
    </row>
    <row r="1304" spans="4:4" x14ac:dyDescent="0.3">
      <c r="D1304" t="s">
        <v>4695</v>
      </c>
    </row>
    <row r="1305" spans="4:4" x14ac:dyDescent="0.3">
      <c r="D1305" t="s">
        <v>1421</v>
      </c>
    </row>
    <row r="1306" spans="4:4" x14ac:dyDescent="0.3">
      <c r="D1306" t="s">
        <v>4990</v>
      </c>
    </row>
    <row r="1307" spans="4:4" x14ac:dyDescent="0.3">
      <c r="D1307" t="s">
        <v>4918</v>
      </c>
    </row>
    <row r="1308" spans="4:4" x14ac:dyDescent="0.3">
      <c r="D1308" t="s">
        <v>4123</v>
      </c>
    </row>
    <row r="1309" spans="4:4" x14ac:dyDescent="0.3">
      <c r="D1309" t="s">
        <v>3617</v>
      </c>
    </row>
    <row r="1310" spans="4:4" x14ac:dyDescent="0.3">
      <c r="D1310" t="s">
        <v>4017</v>
      </c>
    </row>
    <row r="1311" spans="4:4" x14ac:dyDescent="0.3">
      <c r="D1311" t="s">
        <v>5243</v>
      </c>
    </row>
    <row r="1312" spans="4:4" x14ac:dyDescent="0.3">
      <c r="D1312" t="s">
        <v>3257</v>
      </c>
    </row>
    <row r="1313" spans="4:4" x14ac:dyDescent="0.3">
      <c r="D1313" t="s">
        <v>1890</v>
      </c>
    </row>
    <row r="1314" spans="4:4" x14ac:dyDescent="0.3">
      <c r="D1314" t="s">
        <v>4741</v>
      </c>
    </row>
    <row r="1315" spans="4:4" x14ac:dyDescent="0.3">
      <c r="D1315" t="s">
        <v>242</v>
      </c>
    </row>
    <row r="1316" spans="4:4" x14ac:dyDescent="0.3">
      <c r="D1316" t="s">
        <v>3852</v>
      </c>
    </row>
    <row r="1317" spans="4:4" x14ac:dyDescent="0.3">
      <c r="D1317" t="s">
        <v>3846</v>
      </c>
    </row>
    <row r="1318" spans="4:4" x14ac:dyDescent="0.3">
      <c r="D1318" t="s">
        <v>3980</v>
      </c>
    </row>
    <row r="1319" spans="4:4" x14ac:dyDescent="0.3">
      <c r="D1319" t="s">
        <v>4333</v>
      </c>
    </row>
    <row r="1320" spans="4:4" x14ac:dyDescent="0.3">
      <c r="D1320" t="s">
        <v>4321</v>
      </c>
    </row>
    <row r="1321" spans="4:4" x14ac:dyDescent="0.3">
      <c r="D1321" t="s">
        <v>233</v>
      </c>
    </row>
    <row r="1322" spans="4:4" x14ac:dyDescent="0.3">
      <c r="D1322" t="s">
        <v>3229</v>
      </c>
    </row>
    <row r="1323" spans="4:4" x14ac:dyDescent="0.3">
      <c r="D1323" t="s">
        <v>4465</v>
      </c>
    </row>
    <row r="1324" spans="4:4" x14ac:dyDescent="0.3">
      <c r="D1324" t="s">
        <v>5122</v>
      </c>
    </row>
    <row r="1325" spans="4:4" x14ac:dyDescent="0.3">
      <c r="D1325" t="s">
        <v>4498</v>
      </c>
    </row>
    <row r="1326" spans="4:4" x14ac:dyDescent="0.3">
      <c r="D1326" t="s">
        <v>4271</v>
      </c>
    </row>
    <row r="1327" spans="4:4" x14ac:dyDescent="0.3">
      <c r="D1327" t="s">
        <v>1413</v>
      </c>
    </row>
    <row r="1328" spans="4:4" x14ac:dyDescent="0.3">
      <c r="D1328" t="s">
        <v>2419</v>
      </c>
    </row>
    <row r="1329" spans="4:4" x14ac:dyDescent="0.3">
      <c r="D1329" t="s">
        <v>5179</v>
      </c>
    </row>
    <row r="1330" spans="4:4" x14ac:dyDescent="0.3">
      <c r="D1330" t="s">
        <v>2980</v>
      </c>
    </row>
    <row r="1331" spans="4:4" x14ac:dyDescent="0.3">
      <c r="D1331" t="s">
        <v>3719</v>
      </c>
    </row>
    <row r="1332" spans="4:4" x14ac:dyDescent="0.3">
      <c r="D1332" t="s">
        <v>428</v>
      </c>
    </row>
    <row r="1333" spans="4:4" x14ac:dyDescent="0.3">
      <c r="D1333" t="s">
        <v>3713</v>
      </c>
    </row>
    <row r="1334" spans="4:4" x14ac:dyDescent="0.3">
      <c r="D1334" t="s">
        <v>795</v>
      </c>
    </row>
    <row r="1335" spans="4:4" x14ac:dyDescent="0.3">
      <c r="D1335" t="s">
        <v>2361</v>
      </c>
    </row>
    <row r="1336" spans="4:4" x14ac:dyDescent="0.3">
      <c r="D1336" t="s">
        <v>2963</v>
      </c>
    </row>
    <row r="1337" spans="4:4" x14ac:dyDescent="0.3">
      <c r="D1337" t="s">
        <v>1833</v>
      </c>
    </row>
    <row r="1338" spans="4:4" x14ac:dyDescent="0.3">
      <c r="D1338" t="s">
        <v>1769</v>
      </c>
    </row>
    <row r="1339" spans="4:4" x14ac:dyDescent="0.3">
      <c r="D1339" t="s">
        <v>2779</v>
      </c>
    </row>
    <row r="1340" spans="4:4" x14ac:dyDescent="0.3">
      <c r="D1340" t="s">
        <v>4306</v>
      </c>
    </row>
    <row r="1341" spans="4:4" x14ac:dyDescent="0.3">
      <c r="D1341" t="s">
        <v>1193</v>
      </c>
    </row>
    <row r="1342" spans="4:4" x14ac:dyDescent="0.3">
      <c r="D1342" t="s">
        <v>4649</v>
      </c>
    </row>
    <row r="1343" spans="4:4" x14ac:dyDescent="0.3">
      <c r="D1343" t="s">
        <v>3647</v>
      </c>
    </row>
    <row r="1344" spans="4:4" x14ac:dyDescent="0.3">
      <c r="D1344" t="s">
        <v>790</v>
      </c>
    </row>
    <row r="1345" spans="4:4" x14ac:dyDescent="0.3">
      <c r="D1345" t="s">
        <v>2687</v>
      </c>
    </row>
    <row r="1346" spans="4:4" x14ac:dyDescent="0.3">
      <c r="D1346" t="s">
        <v>3880</v>
      </c>
    </row>
    <row r="1347" spans="4:4" x14ac:dyDescent="0.3">
      <c r="D1347" t="s">
        <v>5197</v>
      </c>
    </row>
    <row r="1348" spans="4:4" x14ac:dyDescent="0.3">
      <c r="D1348" t="s">
        <v>1438</v>
      </c>
    </row>
    <row r="1349" spans="4:4" x14ac:dyDescent="0.3">
      <c r="D1349" t="s">
        <v>5044</v>
      </c>
    </row>
    <row r="1350" spans="4:4" x14ac:dyDescent="0.3">
      <c r="D1350" t="s">
        <v>1201</v>
      </c>
    </row>
    <row r="1351" spans="4:4" x14ac:dyDescent="0.3">
      <c r="D1351" t="s">
        <v>559</v>
      </c>
    </row>
    <row r="1352" spans="4:4" x14ac:dyDescent="0.3">
      <c r="D1352" t="s">
        <v>2438</v>
      </c>
    </row>
    <row r="1353" spans="4:4" x14ac:dyDescent="0.3">
      <c r="D1353" t="s">
        <v>2379</v>
      </c>
    </row>
    <row r="1354" spans="4:4" x14ac:dyDescent="0.3">
      <c r="D1354" t="s">
        <v>913</v>
      </c>
    </row>
    <row r="1355" spans="4:4" x14ac:dyDescent="0.3">
      <c r="D1355" t="s">
        <v>670</v>
      </c>
    </row>
    <row r="1356" spans="4:4" x14ac:dyDescent="0.3">
      <c r="D1356" t="s">
        <v>824</v>
      </c>
    </row>
    <row r="1357" spans="4:4" x14ac:dyDescent="0.3">
      <c r="D1357" t="s">
        <v>5240</v>
      </c>
    </row>
    <row r="1358" spans="4:4" x14ac:dyDescent="0.3">
      <c r="D1358" t="s">
        <v>1307</v>
      </c>
    </row>
    <row r="1359" spans="4:4" x14ac:dyDescent="0.3">
      <c r="D1359" t="s">
        <v>1727</v>
      </c>
    </row>
    <row r="1360" spans="4:4" x14ac:dyDescent="0.3">
      <c r="D1360" t="s">
        <v>3831</v>
      </c>
    </row>
    <row r="1361" spans="4:4" x14ac:dyDescent="0.3">
      <c r="D1361" t="s">
        <v>3825</v>
      </c>
    </row>
    <row r="1362" spans="4:4" x14ac:dyDescent="0.3">
      <c r="D1362" t="s">
        <v>3405</v>
      </c>
    </row>
    <row r="1363" spans="4:4" x14ac:dyDescent="0.3">
      <c r="D1363" t="s">
        <v>1303</v>
      </c>
    </row>
    <row r="1364" spans="4:4" x14ac:dyDescent="0.3">
      <c r="D1364" t="s">
        <v>4151</v>
      </c>
    </row>
    <row r="1365" spans="4:4" x14ac:dyDescent="0.3">
      <c r="D1365" t="s">
        <v>3429</v>
      </c>
    </row>
    <row r="1366" spans="4:4" x14ac:dyDescent="0.3">
      <c r="D1366" t="s">
        <v>829</v>
      </c>
    </row>
    <row r="1367" spans="4:4" x14ac:dyDescent="0.3">
      <c r="D1367" t="s">
        <v>1281</v>
      </c>
    </row>
    <row r="1368" spans="4:4" x14ac:dyDescent="0.3">
      <c r="D1368" t="s">
        <v>1852</v>
      </c>
    </row>
    <row r="1369" spans="4:4" x14ac:dyDescent="0.3">
      <c r="D1369" t="s">
        <v>3930</v>
      </c>
    </row>
    <row r="1370" spans="4:4" x14ac:dyDescent="0.3">
      <c r="D1370" t="s">
        <v>490</v>
      </c>
    </row>
    <row r="1371" spans="4:4" x14ac:dyDescent="0.3">
      <c r="D1371" t="s">
        <v>3603</v>
      </c>
    </row>
    <row r="1372" spans="4:4" x14ac:dyDescent="0.3">
      <c r="D1372" t="s">
        <v>3053</v>
      </c>
    </row>
    <row r="1373" spans="4:4" x14ac:dyDescent="0.3">
      <c r="D1373" t="s">
        <v>604</v>
      </c>
    </row>
    <row r="1374" spans="4:4" x14ac:dyDescent="0.3">
      <c r="D1374" t="s">
        <v>3176</v>
      </c>
    </row>
    <row r="1375" spans="4:4" x14ac:dyDescent="0.3">
      <c r="D1375" t="s">
        <v>5158</v>
      </c>
    </row>
    <row r="1376" spans="4:4" x14ac:dyDescent="0.3">
      <c r="D1376" t="s">
        <v>129</v>
      </c>
    </row>
    <row r="1377" spans="4:4" x14ac:dyDescent="0.3">
      <c r="D1377" t="s">
        <v>2183</v>
      </c>
    </row>
    <row r="1378" spans="4:4" x14ac:dyDescent="0.3">
      <c r="D1378" t="s">
        <v>1939</v>
      </c>
    </row>
    <row r="1379" spans="4:4" x14ac:dyDescent="0.3">
      <c r="D1379" t="s">
        <v>666</v>
      </c>
    </row>
    <row r="1380" spans="4:4" x14ac:dyDescent="0.3">
      <c r="D1380" t="s">
        <v>2883</v>
      </c>
    </row>
    <row r="1381" spans="4:4" x14ac:dyDescent="0.3">
      <c r="D1381" t="s">
        <v>1078</v>
      </c>
    </row>
    <row r="1382" spans="4:4" x14ac:dyDescent="0.3">
      <c r="D1382" t="s">
        <v>1340</v>
      </c>
    </row>
    <row r="1383" spans="4:4" x14ac:dyDescent="0.3">
      <c r="D1383" t="s">
        <v>5380</v>
      </c>
    </row>
    <row r="1384" spans="4:4" x14ac:dyDescent="0.3">
      <c r="D1384" t="s">
        <v>3378</v>
      </c>
    </row>
    <row r="1385" spans="4:4" x14ac:dyDescent="0.3">
      <c r="D1385" t="s">
        <v>15</v>
      </c>
    </row>
    <row r="1386" spans="4:4" x14ac:dyDescent="0.3">
      <c r="D1386" t="s">
        <v>1659</v>
      </c>
    </row>
    <row r="1387" spans="4:4" x14ac:dyDescent="0.3">
      <c r="D1387" t="s">
        <v>4863</v>
      </c>
    </row>
    <row r="1388" spans="4:4" x14ac:dyDescent="0.3">
      <c r="D1388" t="s">
        <v>93</v>
      </c>
    </row>
    <row r="1389" spans="4:4" x14ac:dyDescent="0.3">
      <c r="D1389" t="s">
        <v>3554</v>
      </c>
    </row>
    <row r="1390" spans="4:4" x14ac:dyDescent="0.3">
      <c r="D1390" t="s">
        <v>3269</v>
      </c>
    </row>
    <row r="1391" spans="4:4" x14ac:dyDescent="0.3">
      <c r="D1391" t="s">
        <v>196</v>
      </c>
    </row>
    <row r="1392" spans="4:4" x14ac:dyDescent="0.3">
      <c r="D1392" t="s">
        <v>3776</v>
      </c>
    </row>
    <row r="1393" spans="4:4" x14ac:dyDescent="0.3">
      <c r="D1393" t="s">
        <v>4180</v>
      </c>
    </row>
    <row r="1394" spans="4:4" x14ac:dyDescent="0.3">
      <c r="D1394" t="s">
        <v>1478</v>
      </c>
    </row>
    <row r="1395" spans="4:4" x14ac:dyDescent="0.3">
      <c r="D1395" t="s">
        <v>1299</v>
      </c>
    </row>
    <row r="1396" spans="4:4" x14ac:dyDescent="0.3">
      <c r="D1396" t="s">
        <v>4778</v>
      </c>
    </row>
    <row r="1397" spans="4:4" x14ac:dyDescent="0.3">
      <c r="D1397" t="s">
        <v>4744</v>
      </c>
    </row>
    <row r="1398" spans="4:4" x14ac:dyDescent="0.3">
      <c r="D1398" t="s">
        <v>4473</v>
      </c>
    </row>
    <row r="1399" spans="4:4" x14ac:dyDescent="0.3">
      <c r="D1399" t="s">
        <v>4440</v>
      </c>
    </row>
    <row r="1400" spans="4:4" x14ac:dyDescent="0.3">
      <c r="D1400" t="s">
        <v>2207</v>
      </c>
    </row>
    <row r="1401" spans="4:4" x14ac:dyDescent="0.3">
      <c r="D1401" t="s">
        <v>442</v>
      </c>
    </row>
    <row r="1402" spans="4:4" x14ac:dyDescent="0.3">
      <c r="D1402" t="s">
        <v>4803</v>
      </c>
    </row>
    <row r="1403" spans="4:4" x14ac:dyDescent="0.3">
      <c r="D1403" t="s">
        <v>2716</v>
      </c>
    </row>
    <row r="1404" spans="4:4" x14ac:dyDescent="0.3">
      <c r="D1404" t="s">
        <v>3157</v>
      </c>
    </row>
    <row r="1405" spans="4:4" x14ac:dyDescent="0.3">
      <c r="D1405" t="s">
        <v>4798</v>
      </c>
    </row>
    <row r="1406" spans="4:4" x14ac:dyDescent="0.3">
      <c r="D1406" t="s">
        <v>3925</v>
      </c>
    </row>
    <row r="1407" spans="4:4" x14ac:dyDescent="0.3">
      <c r="D1407" t="s">
        <v>4962</v>
      </c>
    </row>
    <row r="1408" spans="4:4" x14ac:dyDescent="0.3">
      <c r="D1408" t="s">
        <v>1075</v>
      </c>
    </row>
    <row r="1409" spans="4:4" x14ac:dyDescent="0.3">
      <c r="D1409" t="s">
        <v>1912</v>
      </c>
    </row>
    <row r="1410" spans="4:4" x14ac:dyDescent="0.3">
      <c r="D1410" t="s">
        <v>4358</v>
      </c>
    </row>
    <row r="1411" spans="4:4" x14ac:dyDescent="0.3">
      <c r="D1411" t="s">
        <v>2032</v>
      </c>
    </row>
    <row r="1412" spans="4:4" x14ac:dyDescent="0.3">
      <c r="D1412" t="s">
        <v>5279</v>
      </c>
    </row>
    <row r="1413" spans="4:4" x14ac:dyDescent="0.3">
      <c r="D1413" t="s">
        <v>1867</v>
      </c>
    </row>
    <row r="1414" spans="4:4" x14ac:dyDescent="0.3">
      <c r="D1414" t="s">
        <v>1945</v>
      </c>
    </row>
    <row r="1415" spans="4:4" x14ac:dyDescent="0.3">
      <c r="D1415" t="s">
        <v>3071</v>
      </c>
    </row>
    <row r="1416" spans="4:4" x14ac:dyDescent="0.3">
      <c r="D1416" t="s">
        <v>4025</v>
      </c>
    </row>
    <row r="1417" spans="4:4" x14ac:dyDescent="0.3">
      <c r="D1417" t="s">
        <v>3754</v>
      </c>
    </row>
    <row r="1418" spans="4:4" x14ac:dyDescent="0.3">
      <c r="D1418" t="s">
        <v>4470</v>
      </c>
    </row>
    <row r="1419" spans="4:4" x14ac:dyDescent="0.3">
      <c r="D1419" t="s">
        <v>1216</v>
      </c>
    </row>
    <row r="1420" spans="4:4" x14ac:dyDescent="0.3">
      <c r="D1420" t="s">
        <v>2313</v>
      </c>
    </row>
    <row r="1421" spans="4:4" x14ac:dyDescent="0.3">
      <c r="D1421" t="s">
        <v>5002</v>
      </c>
    </row>
    <row r="1422" spans="4:4" x14ac:dyDescent="0.3">
      <c r="D1422" t="s">
        <v>3062</v>
      </c>
    </row>
    <row r="1423" spans="4:4" x14ac:dyDescent="0.3">
      <c r="D1423" t="s">
        <v>5110</v>
      </c>
    </row>
    <row r="1424" spans="4:4" x14ac:dyDescent="0.3">
      <c r="D1424" t="s">
        <v>2233</v>
      </c>
    </row>
    <row r="1425" spans="4:4" x14ac:dyDescent="0.3">
      <c r="D1425" t="s">
        <v>3799</v>
      </c>
    </row>
    <row r="1426" spans="4:4" x14ac:dyDescent="0.3">
      <c r="D1426" t="s">
        <v>2684</v>
      </c>
    </row>
    <row r="1427" spans="4:4" x14ac:dyDescent="0.3">
      <c r="D1427" t="s">
        <v>3031</v>
      </c>
    </row>
    <row r="1428" spans="4:4" x14ac:dyDescent="0.3">
      <c r="D1428" t="s">
        <v>238</v>
      </c>
    </row>
  </sheetData>
  <sortState ref="E2:E3553">
    <sortCondition ref="E1096"/>
  </sortState>
  <dataConsolidate/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CB6A-8819-49D9-9F39-ADA68CD31DE0}">
  <sheetPr codeName="Sheet6"/>
  <dimension ref="A2:I25"/>
  <sheetViews>
    <sheetView workbookViewId="0">
      <selection activeCell="F28" sqref="F28"/>
    </sheetView>
  </sheetViews>
  <sheetFormatPr defaultRowHeight="18.75" customHeight="1" x14ac:dyDescent="0.3"/>
  <cols>
    <col min="3" max="3" width="5.75" customWidth="1"/>
    <col min="4" max="4" width="25.875" customWidth="1"/>
    <col min="5" max="5" width="24.5" customWidth="1"/>
    <col min="6" max="6" width="28.125" customWidth="1"/>
  </cols>
  <sheetData>
    <row r="2" spans="2:6" ht="18.75" customHeight="1" x14ac:dyDescent="0.3">
      <c r="B2" s="6" t="s">
        <v>5494</v>
      </c>
      <c r="C2" s="6"/>
      <c r="D2" s="6"/>
      <c r="E2" s="6"/>
      <c r="F2" s="6"/>
    </row>
    <row r="3" spans="2:6" ht="18.75" customHeight="1" x14ac:dyDescent="0.3">
      <c r="B3" s="6" t="s">
        <v>5436</v>
      </c>
      <c r="C3" s="6"/>
      <c r="D3" s="6"/>
      <c r="E3" s="6"/>
      <c r="F3" s="6"/>
    </row>
    <row r="4" spans="2:6" ht="18.75" customHeight="1" x14ac:dyDescent="0.3">
      <c r="B4" s="6"/>
      <c r="C4" s="6"/>
      <c r="D4" s="6"/>
      <c r="E4" s="6"/>
      <c r="F4" s="8" t="s">
        <v>5437</v>
      </c>
    </row>
    <row r="5" spans="2:6" ht="18.75" customHeight="1" x14ac:dyDescent="0.3">
      <c r="B5" s="77" t="s">
        <v>5413</v>
      </c>
      <c r="C5" s="78"/>
      <c r="D5" s="79"/>
      <c r="E5" s="61" t="s">
        <v>5495</v>
      </c>
      <c r="F5" s="14" t="s">
        <v>5414</v>
      </c>
    </row>
    <row r="6" spans="2:6" ht="18.75" customHeight="1" x14ac:dyDescent="0.3">
      <c r="B6" s="62" t="s">
        <v>5419</v>
      </c>
      <c r="C6" s="22"/>
      <c r="D6" s="19"/>
      <c r="E6" s="28">
        <f>E7+E8+E9</f>
        <v>105315</v>
      </c>
      <c r="F6" s="9" t="s">
        <v>5415</v>
      </c>
    </row>
    <row r="7" spans="2:6" ht="18.75" customHeight="1" x14ac:dyDescent="0.3">
      <c r="B7" s="82"/>
      <c r="C7" s="71" t="s">
        <v>5423</v>
      </c>
      <c r="D7" s="72"/>
      <c r="E7" s="29">
        <v>100000</v>
      </c>
      <c r="F7" s="15"/>
    </row>
    <row r="8" spans="2:6" ht="18.75" customHeight="1" x14ac:dyDescent="0.3">
      <c r="B8" s="82"/>
      <c r="C8" s="71" t="s">
        <v>5424</v>
      </c>
      <c r="D8" s="72"/>
      <c r="E8" s="29">
        <v>5000</v>
      </c>
      <c r="F8" s="15"/>
    </row>
    <row r="9" spans="2:6" ht="18.75" customHeight="1" x14ac:dyDescent="0.3">
      <c r="B9" s="82"/>
      <c r="C9" s="80" t="s">
        <v>5416</v>
      </c>
      <c r="D9" s="81"/>
      <c r="E9" s="28">
        <f>E10+E11+E12</f>
        <v>315</v>
      </c>
      <c r="F9" s="9"/>
    </row>
    <row r="10" spans="2:6" ht="18.75" customHeight="1" x14ac:dyDescent="0.3">
      <c r="B10" s="64"/>
      <c r="C10" s="59"/>
      <c r="D10" s="15" t="s">
        <v>5481</v>
      </c>
      <c r="E10" s="29">
        <v>300</v>
      </c>
      <c r="F10" s="9"/>
    </row>
    <row r="11" spans="2:6" ht="18.75" customHeight="1" x14ac:dyDescent="0.3">
      <c r="B11" s="64"/>
      <c r="C11" s="59"/>
      <c r="D11" s="15" t="s">
        <v>5479</v>
      </c>
      <c r="E11" s="29">
        <v>10</v>
      </c>
      <c r="F11" s="32"/>
    </row>
    <row r="12" spans="2:6" ht="18.75" customHeight="1" x14ac:dyDescent="0.3">
      <c r="B12" s="18"/>
      <c r="C12" s="60"/>
      <c r="D12" s="15" t="s">
        <v>5480</v>
      </c>
      <c r="E12" s="51">
        <v>5</v>
      </c>
      <c r="F12" s="32" t="s">
        <v>5482</v>
      </c>
    </row>
    <row r="13" spans="2:6" ht="18.75" customHeight="1" x14ac:dyDescent="0.3">
      <c r="B13" s="62" t="s">
        <v>5420</v>
      </c>
      <c r="C13" s="22"/>
      <c r="D13" s="20"/>
      <c r="E13" s="28">
        <f>E14+E15</f>
        <v>8030.75</v>
      </c>
      <c r="F13" s="9" t="s">
        <v>5425</v>
      </c>
    </row>
    <row r="14" spans="2:6" ht="18.75" customHeight="1" x14ac:dyDescent="0.3">
      <c r="B14" s="75"/>
      <c r="C14" s="71" t="s">
        <v>5417</v>
      </c>
      <c r="D14" s="72"/>
      <c r="E14" s="28">
        <f>E6*5%</f>
        <v>5265.75</v>
      </c>
      <c r="F14" s="9" t="s">
        <v>5428</v>
      </c>
    </row>
    <row r="15" spans="2:6" ht="18.75" customHeight="1" x14ac:dyDescent="0.3">
      <c r="B15" s="76"/>
      <c r="C15" s="71" t="s">
        <v>5418</v>
      </c>
      <c r="D15" s="72"/>
      <c r="E15" s="28">
        <v>2765</v>
      </c>
      <c r="F15" s="9" t="s">
        <v>5429</v>
      </c>
    </row>
    <row r="16" spans="2:6" ht="18.75" customHeight="1" x14ac:dyDescent="0.3">
      <c r="B16" s="58" t="s">
        <v>5421</v>
      </c>
      <c r="C16" s="24"/>
      <c r="D16" s="25"/>
      <c r="E16" s="28">
        <f>E6+E13</f>
        <v>113345.75</v>
      </c>
      <c r="F16" s="9" t="s">
        <v>5426</v>
      </c>
    </row>
    <row r="17" spans="1:9" ht="18.75" customHeight="1" x14ac:dyDescent="0.3">
      <c r="B17" s="27" t="s">
        <v>5431</v>
      </c>
      <c r="C17" s="22"/>
      <c r="D17" s="63"/>
      <c r="E17" s="28">
        <f>E16-E6</f>
        <v>8030.75</v>
      </c>
      <c r="F17" s="9" t="s">
        <v>5427</v>
      </c>
    </row>
    <row r="18" spans="1:9" ht="18.75" customHeight="1" x14ac:dyDescent="0.3">
      <c r="B18" s="11"/>
      <c r="C18" s="71" t="s">
        <v>5432</v>
      </c>
      <c r="D18" s="72"/>
      <c r="E18" s="30">
        <f>IFERROR((E17/E16),0)</f>
        <v>7.0851796384072629E-2</v>
      </c>
      <c r="F18" s="9" t="s">
        <v>5430</v>
      </c>
    </row>
    <row r="20" spans="1:9" ht="18.75" customHeight="1" x14ac:dyDescent="0.3">
      <c r="A20" s="65"/>
      <c r="B20" s="65"/>
      <c r="C20" s="65"/>
      <c r="F20" s="65"/>
      <c r="G20" s="65"/>
      <c r="H20" s="65"/>
      <c r="I20" s="65"/>
    </row>
    <row r="21" spans="1:9" ht="18.75" customHeight="1" x14ac:dyDescent="0.3">
      <c r="A21" s="65"/>
      <c r="B21" s="65"/>
      <c r="C21" s="65"/>
      <c r="D21" s="65"/>
      <c r="E21" s="65"/>
      <c r="F21" s="65"/>
      <c r="G21" s="65"/>
      <c r="H21" s="65"/>
      <c r="I21" s="65"/>
    </row>
    <row r="22" spans="1:9" ht="18.75" customHeight="1" x14ac:dyDescent="0.3">
      <c r="A22" s="65"/>
      <c r="B22" s="65"/>
      <c r="C22" s="65"/>
      <c r="D22" s="65"/>
      <c r="E22" s="65"/>
      <c r="F22" s="65"/>
      <c r="G22" s="65"/>
      <c r="H22" s="65"/>
      <c r="I22" s="65"/>
    </row>
    <row r="23" spans="1:9" ht="18.75" customHeight="1" x14ac:dyDescent="0.3">
      <c r="A23" s="65"/>
      <c r="B23" s="65"/>
      <c r="C23" s="65"/>
      <c r="D23" s="65"/>
      <c r="E23" s="65"/>
      <c r="F23" s="65"/>
      <c r="G23" s="65"/>
      <c r="H23" s="65"/>
      <c r="I23" s="65"/>
    </row>
    <row r="24" spans="1:9" ht="18.75" customHeight="1" x14ac:dyDescent="0.3">
      <c r="A24" s="65"/>
      <c r="B24" s="65"/>
      <c r="C24" s="65"/>
      <c r="D24" s="65"/>
      <c r="E24" s="65"/>
      <c r="F24" s="65"/>
      <c r="G24" s="65"/>
      <c r="H24" s="65"/>
      <c r="I24" s="65"/>
    </row>
    <row r="25" spans="1:9" ht="18.75" customHeight="1" x14ac:dyDescent="0.3">
      <c r="A25" s="65"/>
      <c r="B25" s="65"/>
      <c r="C25" s="65"/>
      <c r="D25" s="65"/>
      <c r="E25" s="65"/>
      <c r="F25" s="65"/>
      <c r="G25" s="65"/>
      <c r="H25" s="65"/>
      <c r="I25" s="65"/>
    </row>
  </sheetData>
  <mergeCells count="9">
    <mergeCell ref="B14:B15"/>
    <mergeCell ref="C14:D14"/>
    <mergeCell ref="C15:D15"/>
    <mergeCell ref="B5:D5"/>
    <mergeCell ref="B7:B9"/>
    <mergeCell ref="C7:D7"/>
    <mergeCell ref="C8:D8"/>
    <mergeCell ref="C9:D9"/>
    <mergeCell ref="C18:D18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CF596-BA1D-4D99-83F8-C85000877AC3}">
  <sheetPr codeName="Sheet7"/>
  <dimension ref="B1:I24"/>
  <sheetViews>
    <sheetView showGridLines="0" workbookViewId="0">
      <selection activeCell="F12" sqref="F12:I18"/>
    </sheetView>
  </sheetViews>
  <sheetFormatPr defaultColWidth="24.625" defaultRowHeight="16.5" x14ac:dyDescent="0.3"/>
  <cols>
    <col min="1" max="1" width="5.75" customWidth="1"/>
    <col min="3" max="3" width="20.25" customWidth="1"/>
    <col min="4" max="4" width="47.125" customWidth="1"/>
    <col min="5" max="5" width="3.125" customWidth="1"/>
    <col min="6" max="6" width="10.875" customWidth="1"/>
    <col min="7" max="7" width="50.5" customWidth="1"/>
    <col min="8" max="8" width="13.125" customWidth="1"/>
    <col min="9" max="9" width="9" customWidth="1"/>
  </cols>
  <sheetData>
    <row r="1" spans="2:9" x14ac:dyDescent="0.3">
      <c r="B1" s="85" t="s">
        <v>5506</v>
      </c>
    </row>
    <row r="2" spans="2:9" x14ac:dyDescent="0.3">
      <c r="D2" s="8" t="s">
        <v>5437</v>
      </c>
    </row>
    <row r="3" spans="2:9" ht="21.75" customHeight="1" x14ac:dyDescent="0.3">
      <c r="B3" s="66" t="s">
        <v>5438</v>
      </c>
      <c r="C3" s="66" t="s">
        <v>5465</v>
      </c>
      <c r="D3" s="66" t="s">
        <v>5503</v>
      </c>
    </row>
    <row r="4" spans="2:9" ht="25.5" customHeight="1" x14ac:dyDescent="0.3">
      <c r="B4" s="67" t="s">
        <v>5496</v>
      </c>
      <c r="C4" s="68"/>
      <c r="D4" s="69" t="s">
        <v>5501</v>
      </c>
    </row>
    <row r="5" spans="2:9" ht="25.5" customHeight="1" x14ac:dyDescent="0.3">
      <c r="B5" s="67" t="s">
        <v>5497</v>
      </c>
      <c r="C5" s="68"/>
      <c r="D5" s="70" t="s">
        <v>5498</v>
      </c>
    </row>
    <row r="6" spans="2:9" ht="25.5" customHeight="1" x14ac:dyDescent="0.3">
      <c r="B6" s="67" t="s">
        <v>5502</v>
      </c>
      <c r="C6" s="68"/>
      <c r="D6" s="69" t="s">
        <v>5504</v>
      </c>
    </row>
    <row r="7" spans="2:9" ht="25.5" customHeight="1" x14ac:dyDescent="0.3">
      <c r="B7" s="67" t="s">
        <v>5499</v>
      </c>
      <c r="C7" s="68"/>
      <c r="D7" s="69" t="s">
        <v>5500</v>
      </c>
    </row>
    <row r="8" spans="2:9" x14ac:dyDescent="0.3">
      <c r="B8" s="84" t="s">
        <v>5505</v>
      </c>
    </row>
    <row r="10" spans="2:9" x14ac:dyDescent="0.3">
      <c r="F10" s="85" t="s">
        <v>5507</v>
      </c>
    </row>
    <row r="11" spans="2:9" x14ac:dyDescent="0.3">
      <c r="F11" s="6"/>
      <c r="G11" s="6"/>
      <c r="H11" s="6"/>
      <c r="I11" s="6"/>
    </row>
    <row r="12" spans="2:9" ht="21.75" customHeight="1" x14ac:dyDescent="0.3">
      <c r="F12" s="66" t="s">
        <v>5438</v>
      </c>
      <c r="G12" s="66" t="s">
        <v>5439</v>
      </c>
      <c r="H12" s="66" t="s">
        <v>5440</v>
      </c>
      <c r="I12" s="66" t="s">
        <v>5441</v>
      </c>
    </row>
    <row r="13" spans="2:9" ht="25.5" customHeight="1" x14ac:dyDescent="0.3">
      <c r="F13" s="87" t="s">
        <v>5442</v>
      </c>
      <c r="G13" s="68" t="s">
        <v>5443</v>
      </c>
      <c r="H13" s="86">
        <v>0.3</v>
      </c>
      <c r="I13" s="68"/>
    </row>
    <row r="14" spans="2:9" ht="25.5" customHeight="1" x14ac:dyDescent="0.3">
      <c r="F14" s="88"/>
      <c r="G14" s="68" t="s">
        <v>5508</v>
      </c>
      <c r="H14" s="86">
        <v>0.3</v>
      </c>
      <c r="I14" s="68"/>
    </row>
    <row r="15" spans="2:9" ht="25.5" customHeight="1" x14ac:dyDescent="0.3">
      <c r="F15" s="89"/>
      <c r="G15" s="68" t="s">
        <v>5509</v>
      </c>
      <c r="H15" s="86">
        <v>0.2</v>
      </c>
      <c r="I15" s="68"/>
    </row>
    <row r="16" spans="2:9" ht="25.5" customHeight="1" x14ac:dyDescent="0.3">
      <c r="F16" s="87" t="s">
        <v>5446</v>
      </c>
      <c r="G16" s="68" t="s">
        <v>5444</v>
      </c>
      <c r="H16" s="86">
        <v>-0.15</v>
      </c>
      <c r="I16" s="68"/>
    </row>
    <row r="17" spans="6:9" ht="25.5" customHeight="1" x14ac:dyDescent="0.3">
      <c r="F17" s="89"/>
      <c r="G17" s="68" t="s">
        <v>5445</v>
      </c>
      <c r="H17" s="86">
        <v>-0.05</v>
      </c>
      <c r="I17" s="68"/>
    </row>
    <row r="18" spans="6:9" ht="25.5" customHeight="1" x14ac:dyDescent="0.3">
      <c r="F18" s="90" t="s">
        <v>5448</v>
      </c>
      <c r="G18" s="91"/>
      <c r="H18" s="86">
        <f>SUM(H13:H17)</f>
        <v>0.6</v>
      </c>
      <c r="I18" s="68"/>
    </row>
    <row r="19" spans="6:9" ht="25.5" customHeight="1" x14ac:dyDescent="0.3"/>
    <row r="20" spans="6:9" ht="25.5" customHeight="1" x14ac:dyDescent="0.3"/>
    <row r="21" spans="6:9" ht="25.5" customHeight="1" x14ac:dyDescent="0.3"/>
    <row r="22" spans="6:9" ht="25.5" customHeight="1" x14ac:dyDescent="0.3"/>
    <row r="23" spans="6:9" ht="25.5" customHeight="1" x14ac:dyDescent="0.3"/>
    <row r="24" spans="6:9" ht="25.5" customHeight="1" x14ac:dyDescent="0.3"/>
  </sheetData>
  <mergeCells count="1">
    <mergeCell ref="F18:G18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Sheet1</vt:lpstr>
      <vt:lpstr>Sheet5</vt:lpstr>
      <vt:lpstr>Sheet3</vt:lpstr>
      <vt:lpstr>RawData</vt:lpstr>
      <vt:lpstr>ContentsList</vt:lpstr>
      <vt:lpstr>Form</vt:lpstr>
      <vt:lpstr>Form1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dcterms:created xsi:type="dcterms:W3CDTF">2024-03-02T21:23:08Z</dcterms:created>
  <dcterms:modified xsi:type="dcterms:W3CDTF">2024-03-06T08:24:47Z</dcterms:modified>
</cp:coreProperties>
</file>