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395B2D52-2CBB-4A98-9FFD-03B8CE0B46C7}" xr6:coauthVersionLast="36" xr6:coauthVersionMax="36" xr10:uidLastSave="{00000000-0000-0000-0000-000000000000}"/>
  <bookViews>
    <workbookView xWindow="0" yWindow="0" windowWidth="26565" windowHeight="11085" activeTab="3" xr2:uid="{29A12171-5FD2-47D6-B214-648FDD7E412D}"/>
  </bookViews>
  <sheets>
    <sheet name="Guide" sheetId="3" r:id="rId1"/>
    <sheet name="Input" sheetId="1" r:id="rId2"/>
    <sheet name="차입이자" sheetId="8" r:id="rId3"/>
    <sheet name="손익표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9" i="1" l="1"/>
  <c r="D13" i="5" l="1"/>
  <c r="D11" i="5"/>
  <c r="D10" i="5"/>
  <c r="D9" i="5"/>
  <c r="E9" i="5" l="1"/>
  <c r="F9" i="5"/>
  <c r="G9" i="5"/>
  <c r="H9" i="5"/>
  <c r="I9" i="5"/>
  <c r="E10" i="5"/>
  <c r="F10" i="5"/>
  <c r="G10" i="5"/>
  <c r="H10" i="5"/>
  <c r="I10" i="5"/>
  <c r="E11" i="5"/>
  <c r="F11" i="5"/>
  <c r="G11" i="5"/>
  <c r="H11" i="5"/>
  <c r="I11" i="5"/>
  <c r="F13" i="5"/>
  <c r="E13" i="5"/>
  <c r="G13" i="5"/>
  <c r="H13" i="5"/>
  <c r="I13" i="5"/>
  <c r="I21" i="5"/>
  <c r="H21" i="5"/>
  <c r="G21" i="5"/>
  <c r="F21" i="5"/>
  <c r="D8" i="5"/>
  <c r="E8" i="5" l="1"/>
  <c r="F22" i="5"/>
  <c r="G22" i="5"/>
  <c r="H22" i="5"/>
  <c r="I22" i="5"/>
  <c r="D15" i="5"/>
  <c r="D16" i="5" s="1"/>
  <c r="E15" i="5"/>
  <c r="D20" i="5"/>
  <c r="Y5" i="1"/>
  <c r="G23" i="5" l="1"/>
  <c r="G24" i="5" s="1"/>
  <c r="G6" i="5" s="1"/>
  <c r="I23" i="5"/>
  <c r="I24" i="5" s="1"/>
  <c r="I6" i="5" s="1"/>
  <c r="H23" i="5"/>
  <c r="H24" i="5" s="1"/>
  <c r="H6" i="5" s="1"/>
  <c r="F23" i="5"/>
  <c r="F24" i="5" s="1"/>
  <c r="F6" i="5" s="1"/>
  <c r="S13" i="5"/>
  <c r="H12" i="5" l="1"/>
  <c r="H8" i="5" s="1"/>
  <c r="H15" i="5" s="1"/>
  <c r="G12" i="5"/>
  <c r="G8" i="5" s="1"/>
  <c r="G15" i="5" s="1"/>
  <c r="F12" i="5"/>
  <c r="F8" i="5" s="1"/>
  <c r="F15" i="5" s="1"/>
  <c r="I12" i="5"/>
  <c r="I8" i="5" s="1"/>
  <c r="I15" i="5" s="1"/>
  <c r="D14" i="5"/>
  <c r="D5" i="5" l="1"/>
  <c r="D17" i="5" l="1"/>
  <c r="D22" i="5"/>
  <c r="T5" i="5" s="1"/>
  <c r="T11" i="5" s="1"/>
  <c r="D18" i="5"/>
  <c r="P11" i="5" l="1"/>
  <c r="O11" i="5"/>
  <c r="Q5" i="5"/>
  <c r="N6" i="5" s="1"/>
  <c r="T7" i="5"/>
  <c r="T8" i="5"/>
  <c r="T10" i="5"/>
  <c r="T9" i="5"/>
  <c r="T6" i="5"/>
  <c r="P10" i="5" l="1"/>
  <c r="O10" i="5"/>
  <c r="P7" i="5"/>
  <c r="O7" i="5"/>
  <c r="P9" i="5"/>
  <c r="O9" i="5"/>
  <c r="O8" i="5"/>
  <c r="P8" i="5"/>
  <c r="O6" i="5"/>
  <c r="P6" i="5"/>
  <c r="N7" i="5" l="1"/>
  <c r="N8" i="5" s="1"/>
  <c r="N9" i="5" s="1"/>
  <c r="N10" i="5" s="1"/>
  <c r="N11" i="5" l="1"/>
  <c r="R12" i="5" s="1"/>
  <c r="D21" i="5" s="1"/>
  <c r="E5" i="5" s="1"/>
  <c r="E17" i="5" l="1"/>
  <c r="E18" i="5" s="1"/>
  <c r="F29" i="5" s="1"/>
  <c r="F7" i="5" s="1"/>
  <c r="F5" i="5" s="1"/>
  <c r="E16" i="5"/>
  <c r="E14" i="5" s="1"/>
  <c r="K33" i="5"/>
  <c r="G29" i="5"/>
  <c r="G7" i="5" s="1"/>
  <c r="I29" i="5" l="1"/>
  <c r="I7" i="5" s="1"/>
  <c r="I5" i="5" s="1"/>
  <c r="I16" i="5" s="1"/>
  <c r="I14" i="5" s="1"/>
  <c r="H29" i="5"/>
  <c r="H7" i="5" s="1"/>
  <c r="H5" i="5" s="1"/>
  <c r="H17" i="5" s="1"/>
  <c r="H18" i="5" s="1"/>
  <c r="K37" i="5" s="1"/>
  <c r="K34" i="5"/>
  <c r="G34" i="5" s="1"/>
  <c r="H33" i="5"/>
  <c r="F33" i="5"/>
  <c r="J33" i="5"/>
  <c r="G33" i="5"/>
  <c r="G5" i="5"/>
  <c r="G17" i="5" s="1"/>
  <c r="G18" i="5" s="1"/>
  <c r="K36" i="5" s="1"/>
  <c r="H34" i="5" l="1"/>
  <c r="F34" i="5"/>
  <c r="H16" i="5"/>
  <c r="H14" i="5" s="1"/>
  <c r="H37" i="5"/>
  <c r="F37" i="5"/>
  <c r="G37" i="5"/>
  <c r="H36" i="5"/>
  <c r="F36" i="5"/>
  <c r="G36" i="5"/>
  <c r="I17" i="5"/>
  <c r="I18" i="5" s="1"/>
  <c r="K38" i="5" s="1"/>
  <c r="G16" i="5"/>
  <c r="G14" i="5" s="1"/>
  <c r="I34" i="5" l="1"/>
  <c r="J34" i="5" s="1"/>
  <c r="H38" i="5"/>
  <c r="F38" i="5"/>
  <c r="G38" i="5"/>
  <c r="I37" i="5"/>
  <c r="J37" i="5" s="1"/>
  <c r="I36" i="5"/>
  <c r="J36" i="5" s="1"/>
  <c r="F16" i="5"/>
  <c r="F14" i="5" s="1"/>
  <c r="F17" i="5"/>
  <c r="F18" i="5" s="1"/>
  <c r="K35" i="5" s="1"/>
  <c r="I38" i="5" l="1"/>
  <c r="J38" i="5" s="1"/>
  <c r="H35" i="5"/>
  <c r="F35" i="5"/>
  <c r="G35" i="5"/>
  <c r="I35" i="5" l="1"/>
  <c r="J35" i="5" s="1"/>
</calcChain>
</file>

<file path=xl/sharedStrings.xml><?xml version="1.0" encoding="utf-8"?>
<sst xmlns="http://schemas.openxmlformats.org/spreadsheetml/2006/main" count="986" uniqueCount="570">
  <si>
    <t>-</t>
  </si>
  <si>
    <t>구분</t>
  </si>
  <si>
    <t>비고</t>
  </si>
  <si>
    <t xml:space="preserve"> = (⑨ ÷ ⑧) × 100</t>
    <phoneticPr fontId="2" type="noConversion"/>
  </si>
  <si>
    <t>매출총이익1 이익률(%)</t>
    <phoneticPr fontId="2" type="noConversion"/>
  </si>
  <si>
    <t>Max 추천가격</t>
    <phoneticPr fontId="2" type="noConversion"/>
  </si>
  <si>
    <t>Min  추천가격</t>
    <phoneticPr fontId="2" type="noConversion"/>
  </si>
  <si>
    <t>구분</t>
    <phoneticPr fontId="2" type="noConversion"/>
  </si>
  <si>
    <t>내용</t>
    <phoneticPr fontId="2" type="noConversion"/>
  </si>
  <si>
    <t>요율</t>
    <phoneticPr fontId="2" type="noConversion"/>
  </si>
  <si>
    <t>선택</t>
    <phoneticPr fontId="2" type="noConversion"/>
  </si>
  <si>
    <t>할증</t>
    <phoneticPr fontId="2" type="noConversion"/>
  </si>
  <si>
    <t>특허 등 배타적 판매 보호를 받는 경우</t>
    <phoneticPr fontId="2" type="noConversion"/>
  </si>
  <si>
    <t>대량 판매를 통해 이익 확보가 가능한 경우</t>
    <phoneticPr fontId="2" type="noConversion"/>
  </si>
  <si>
    <t>단기 매출 신장 또는 시장점유율 확대가 필요한 경우</t>
    <phoneticPr fontId="2" type="noConversion"/>
  </si>
  <si>
    <t>할인</t>
    <phoneticPr fontId="2" type="noConversion"/>
  </si>
  <si>
    <t>금액</t>
    <phoneticPr fontId="2" type="noConversion"/>
  </si>
  <si>
    <t>24개월납</t>
    <phoneticPr fontId="2" type="noConversion"/>
  </si>
  <si>
    <t>36개월납</t>
    <phoneticPr fontId="2" type="noConversion"/>
  </si>
  <si>
    <t>48개월납</t>
    <phoneticPr fontId="2" type="noConversion"/>
  </si>
  <si>
    <t>60개월납</t>
    <phoneticPr fontId="2" type="noConversion"/>
  </si>
  <si>
    <t>Asset</t>
    <phoneticPr fontId="2" type="noConversion"/>
  </si>
  <si>
    <t>Interior</t>
    <phoneticPr fontId="2" type="noConversion"/>
  </si>
  <si>
    <t>Clean</t>
    <phoneticPr fontId="2" type="noConversion"/>
  </si>
  <si>
    <t>Safe</t>
    <phoneticPr fontId="2" type="noConversion"/>
  </si>
  <si>
    <t>Life</t>
    <phoneticPr fontId="2" type="noConversion"/>
  </si>
  <si>
    <t>Parking</t>
    <phoneticPr fontId="2" type="noConversion"/>
  </si>
  <si>
    <t>Untitled</t>
    <phoneticPr fontId="2" type="noConversion"/>
  </si>
  <si>
    <t>직접 인건비</t>
    <phoneticPr fontId="2" type="noConversion"/>
  </si>
  <si>
    <t>직접 경비</t>
    <phoneticPr fontId="2" type="noConversion"/>
  </si>
  <si>
    <t>안전관리비, 이행보증보험료 등 당사 판매부대비</t>
    <phoneticPr fontId="2" type="noConversion"/>
  </si>
  <si>
    <t>외주 조달비(투자자산 제외)</t>
    <phoneticPr fontId="2" type="noConversion"/>
  </si>
  <si>
    <t>CM, PO, 공사관리 등 당사 인건비</t>
    <phoneticPr fontId="2" type="noConversion"/>
  </si>
  <si>
    <t>적요</t>
    <phoneticPr fontId="2" type="noConversion"/>
  </si>
  <si>
    <t>※ 다수의 상품을 담당하는 CM, PO 인건비 또는 IT 투자비 등은 판매 1set 귀속 분을 산출 후 입력해 주세요</t>
    <phoneticPr fontId="2" type="noConversion"/>
  </si>
  <si>
    <t>신규 상품 또는 서비스의 편익이 현저히 우수한 경우</t>
    <phoneticPr fontId="2" type="noConversion"/>
  </si>
  <si>
    <t>투자비의 조기 회수가 필요한 경우</t>
    <phoneticPr fontId="2" type="noConversion"/>
  </si>
  <si>
    <t xml:space="preserve">1. 샌디 카테고리를 선택하세요 </t>
  </si>
  <si>
    <t>2. 샌디 서비스 명칭을 입력하세요 (최대 13글자)</t>
  </si>
  <si>
    <t>3. 판매 기본 단위(set)에 귀속되는 원가를 입력해 주세요</t>
  </si>
  <si>
    <t>4. 할증할인 요율표</t>
  </si>
  <si>
    <t>MIN</t>
    <phoneticPr fontId="2" type="noConversion"/>
  </si>
  <si>
    <t>MAX</t>
    <phoneticPr fontId="2" type="noConversion"/>
  </si>
  <si>
    <t>추천</t>
    <phoneticPr fontId="2" type="noConversion"/>
  </si>
  <si>
    <t>Float</t>
    <phoneticPr fontId="2" type="noConversion"/>
  </si>
  <si>
    <t>Positive</t>
    <phoneticPr fontId="2" type="noConversion"/>
  </si>
  <si>
    <t>Negative</t>
    <phoneticPr fontId="2" type="noConversion"/>
  </si>
  <si>
    <t>추천가</t>
    <phoneticPr fontId="2" type="noConversion"/>
  </si>
  <si>
    <t>판매보호</t>
    <phoneticPr fontId="2" type="noConversion"/>
  </si>
  <si>
    <t>편익우수</t>
    <phoneticPr fontId="2" type="noConversion"/>
  </si>
  <si>
    <t>투자회수</t>
    <phoneticPr fontId="2" type="noConversion"/>
  </si>
  <si>
    <t>박리다매</t>
    <phoneticPr fontId="2" type="noConversion"/>
  </si>
  <si>
    <t>시장확대</t>
    <phoneticPr fontId="2" type="noConversion"/>
  </si>
  <si>
    <t>종류</t>
  </si>
  <si>
    <t>종류명</t>
  </si>
  <si>
    <t>신용등급</t>
  </si>
  <si>
    <t>고시기관</t>
  </si>
  <si>
    <t>3월</t>
  </si>
  <si>
    <t>6월</t>
  </si>
  <si>
    <t>9월</t>
  </si>
  <si>
    <t>1년</t>
  </si>
  <si>
    <t>1년6월</t>
  </si>
  <si>
    <t>2년</t>
  </si>
  <si>
    <t>2년6월</t>
  </si>
  <si>
    <t>3년</t>
  </si>
  <si>
    <t>4년</t>
  </si>
  <si>
    <t>5년</t>
  </si>
  <si>
    <t>7년</t>
  </si>
  <si>
    <t>10년</t>
  </si>
  <si>
    <t>15년</t>
  </si>
  <si>
    <t>20년</t>
  </si>
  <si>
    <t>30년</t>
  </si>
  <si>
    <t>50년</t>
  </si>
  <si>
    <t>국채</t>
  </si>
  <si>
    <t>국고채권</t>
  </si>
  <si>
    <t>양곡,외평,재정</t>
  </si>
  <si>
    <t>나이스피앤아이</t>
  </si>
  <si>
    <t>3.455</t>
  </si>
  <si>
    <t>3.505</t>
  </si>
  <si>
    <t>3.475</t>
  </si>
  <si>
    <t>3.477</t>
  </si>
  <si>
    <t>3.465</t>
  </si>
  <si>
    <t>3.397</t>
  </si>
  <si>
    <t>3.382</t>
  </si>
  <si>
    <t>3.447</t>
  </si>
  <si>
    <t>3.430</t>
  </si>
  <si>
    <t>3.510</t>
  </si>
  <si>
    <t>3.480</t>
  </si>
  <si>
    <t>3.485</t>
  </si>
  <si>
    <t>3.460</t>
  </si>
  <si>
    <t>3.390</t>
  </si>
  <si>
    <t>3.355</t>
  </si>
  <si>
    <t>제2종국민주택채권</t>
  </si>
  <si>
    <t>3.252</t>
  </si>
  <si>
    <t>3.322</t>
  </si>
  <si>
    <t>3.277</t>
  </si>
  <si>
    <t>3.307</t>
  </si>
  <si>
    <t>3.340</t>
  </si>
  <si>
    <t>3.350</t>
  </si>
  <si>
    <t>3.352</t>
  </si>
  <si>
    <t>3.372</t>
  </si>
  <si>
    <t>3.512</t>
  </si>
  <si>
    <t>3.577</t>
  </si>
  <si>
    <t>제1종국민주택채권</t>
  </si>
  <si>
    <t>기타국채</t>
  </si>
  <si>
    <t>3.547</t>
  </si>
  <si>
    <t>3.532</t>
  </si>
  <si>
    <t>3.560</t>
  </si>
  <si>
    <t>3.567</t>
  </si>
  <si>
    <t>3.572</t>
  </si>
  <si>
    <t>3.602</t>
  </si>
  <si>
    <t>지방채</t>
  </si>
  <si>
    <t>서울도시철도공채증권</t>
  </si>
  <si>
    <t>3.617</t>
  </si>
  <si>
    <t>3.582</t>
  </si>
  <si>
    <t>3.612</t>
  </si>
  <si>
    <t>3.640</t>
  </si>
  <si>
    <t>3.657</t>
  </si>
  <si>
    <t>3.660</t>
  </si>
  <si>
    <t>3.662</t>
  </si>
  <si>
    <t>3.682</t>
  </si>
  <si>
    <t>3.812</t>
  </si>
  <si>
    <t>지역개발공채증권</t>
  </si>
  <si>
    <t>기타지방채</t>
  </si>
  <si>
    <t>특수채</t>
  </si>
  <si>
    <t>공사채 및 공단채</t>
  </si>
  <si>
    <t>정부보증채</t>
  </si>
  <si>
    <t>3.537</t>
  </si>
  <si>
    <t>3.546</t>
  </si>
  <si>
    <t>3.579</t>
  </si>
  <si>
    <t>3.595</t>
  </si>
  <si>
    <t>3.562</t>
  </si>
  <si>
    <t>3.565</t>
  </si>
  <si>
    <t>3.573</t>
  </si>
  <si>
    <t>3.590</t>
  </si>
  <si>
    <t>3.636</t>
  </si>
  <si>
    <t>3.709</t>
  </si>
  <si>
    <t>3.704</t>
  </si>
  <si>
    <t>AAA</t>
  </si>
  <si>
    <t>3.633</t>
  </si>
  <si>
    <t>3.642</t>
  </si>
  <si>
    <t>3.665</t>
  </si>
  <si>
    <t>3.673</t>
  </si>
  <si>
    <t>3.650</t>
  </si>
  <si>
    <t>3.648</t>
  </si>
  <si>
    <t>3.729</t>
  </si>
  <si>
    <t>3.762</t>
  </si>
  <si>
    <t>3.792</t>
  </si>
  <si>
    <t>3.798</t>
  </si>
  <si>
    <t>3.770</t>
  </si>
  <si>
    <t>AA+</t>
  </si>
  <si>
    <t>3.653</t>
  </si>
  <si>
    <t>3.702</t>
  </si>
  <si>
    <t>3.747</t>
  </si>
  <si>
    <t>3.760</t>
  </si>
  <si>
    <t>3.761</t>
  </si>
  <si>
    <t>3.785</t>
  </si>
  <si>
    <t>3.807</t>
  </si>
  <si>
    <t>3.824</t>
  </si>
  <si>
    <t>3.836</t>
  </si>
  <si>
    <t>3.894</t>
  </si>
  <si>
    <t>3.927</t>
  </si>
  <si>
    <t>4.004</t>
  </si>
  <si>
    <t>4.018</t>
  </si>
  <si>
    <t>AA</t>
  </si>
  <si>
    <t>3.733</t>
  </si>
  <si>
    <t>3.784</t>
  </si>
  <si>
    <t>3.863</t>
  </si>
  <si>
    <t>3.891</t>
  </si>
  <si>
    <t>3.918</t>
  </si>
  <si>
    <t>3.945</t>
  </si>
  <si>
    <t>3.963</t>
  </si>
  <si>
    <t>3.977</t>
  </si>
  <si>
    <t>4.053</t>
  </si>
  <si>
    <t>4.106</t>
  </si>
  <si>
    <t>4.205</t>
  </si>
  <si>
    <t>4.235</t>
  </si>
  <si>
    <t>한국주택금융공사유동화증권</t>
  </si>
  <si>
    <t>MBS</t>
  </si>
  <si>
    <t>3.647</t>
  </si>
  <si>
    <t>통안증권</t>
  </si>
  <si>
    <t>3.500</t>
  </si>
  <si>
    <t>3.450</t>
  </si>
  <si>
    <t>3.422</t>
  </si>
  <si>
    <t>3.437</t>
  </si>
  <si>
    <t>3.472</t>
  </si>
  <si>
    <t>3.442</t>
  </si>
  <si>
    <t>3.467</t>
  </si>
  <si>
    <t>3.457</t>
  </si>
  <si>
    <t>금융채 I(은행채)</t>
  </si>
  <si>
    <t>무보증</t>
  </si>
  <si>
    <t>AAA(산금채)</t>
  </si>
  <si>
    <t>3.678</t>
  </si>
  <si>
    <t>3.675</t>
  </si>
  <si>
    <t>3.681</t>
  </si>
  <si>
    <t>3.667</t>
  </si>
  <si>
    <t>3.601</t>
  </si>
  <si>
    <t>3.610</t>
  </si>
  <si>
    <t>3.724</t>
  </si>
  <si>
    <t>3.976</t>
  </si>
  <si>
    <t>4.163</t>
  </si>
  <si>
    <t>4.232</t>
  </si>
  <si>
    <t>4.272</t>
  </si>
  <si>
    <t>AAA(중금채)</t>
  </si>
  <si>
    <t>3.672</t>
  </si>
  <si>
    <t>3.734</t>
  </si>
  <si>
    <t>3.996</t>
  </si>
  <si>
    <t>4.188</t>
  </si>
  <si>
    <t>4.257</t>
  </si>
  <si>
    <t>4.299</t>
  </si>
  <si>
    <t>3.723</t>
  </si>
  <si>
    <t>3.721</t>
  </si>
  <si>
    <t>3.722</t>
  </si>
  <si>
    <t>3.713</t>
  </si>
  <si>
    <t>3.701</t>
  </si>
  <si>
    <t>3.679</t>
  </si>
  <si>
    <t>3.708</t>
  </si>
  <si>
    <t>3.772</t>
  </si>
  <si>
    <t>3.862</t>
  </si>
  <si>
    <t>3.915</t>
  </si>
  <si>
    <t>4.090</t>
  </si>
  <si>
    <t>4.265</t>
  </si>
  <si>
    <t>4.334</t>
  </si>
  <si>
    <t>4.374</t>
  </si>
  <si>
    <t>3.906</t>
  </si>
  <si>
    <t>3.924</t>
  </si>
  <si>
    <t>3.935</t>
  </si>
  <si>
    <t>3.973</t>
  </si>
  <si>
    <t>3.992</t>
  </si>
  <si>
    <t>3.987</t>
  </si>
  <si>
    <t>4.047</t>
  </si>
  <si>
    <t>4.109</t>
  </si>
  <si>
    <t>4.200</t>
  </si>
  <si>
    <t>4.280</t>
  </si>
  <si>
    <t>4.472</t>
  </si>
  <si>
    <t>4.690</t>
  </si>
  <si>
    <t>4.774</t>
  </si>
  <si>
    <t>4.940</t>
  </si>
  <si>
    <t>A+</t>
  </si>
  <si>
    <t>4.160</t>
  </si>
  <si>
    <t>4.246</t>
  </si>
  <si>
    <t>4.273</t>
  </si>
  <si>
    <t>4.324</t>
  </si>
  <si>
    <t>4.358</t>
  </si>
  <si>
    <t>4.365</t>
  </si>
  <si>
    <t>4.419</t>
  </si>
  <si>
    <t>4.477</t>
  </si>
  <si>
    <t>4.581</t>
  </si>
  <si>
    <t>4.666</t>
  </si>
  <si>
    <t>4.890</t>
  </si>
  <si>
    <t>5.177</t>
  </si>
  <si>
    <t>5.268</t>
  </si>
  <si>
    <t>5.367</t>
  </si>
  <si>
    <t>**금융채 II(금융기관채)</t>
  </si>
  <si>
    <t>3.715</t>
  </si>
  <si>
    <t>3.730</t>
  </si>
  <si>
    <t>3.763</t>
  </si>
  <si>
    <t>3.777</t>
  </si>
  <si>
    <t>3.795</t>
  </si>
  <si>
    <t>3.840</t>
  </si>
  <si>
    <t>3.876</t>
  </si>
  <si>
    <t>4.034</t>
  </si>
  <si>
    <t>4.425</t>
  </si>
  <si>
    <t>4.910</t>
  </si>
  <si>
    <t>AA0</t>
  </si>
  <si>
    <t>3.727</t>
  </si>
  <si>
    <t>3.740</t>
  </si>
  <si>
    <t>3.749</t>
  </si>
  <si>
    <t>3.773</t>
  </si>
  <si>
    <t>3.793</t>
  </si>
  <si>
    <t>3.844</t>
  </si>
  <si>
    <t>3.905</t>
  </si>
  <si>
    <t>3.947</t>
  </si>
  <si>
    <t>4.110</t>
  </si>
  <si>
    <t>4.240</t>
  </si>
  <si>
    <t>4.601</t>
  </si>
  <si>
    <t>5.100</t>
  </si>
  <si>
    <t>AA-</t>
  </si>
  <si>
    <t>3.779</t>
  </si>
  <si>
    <t>3.832</t>
  </si>
  <si>
    <t>3.861</t>
  </si>
  <si>
    <t>3.893</t>
  </si>
  <si>
    <t>3.970</t>
  </si>
  <si>
    <t>4.069</t>
  </si>
  <si>
    <t>4.131</t>
  </si>
  <si>
    <t>4.180</t>
  </si>
  <si>
    <t>4.312</t>
  </si>
  <si>
    <t>4.430</t>
  </si>
  <si>
    <t>4.815</t>
  </si>
  <si>
    <t>5.325</t>
  </si>
  <si>
    <t>4.340</t>
  </si>
  <si>
    <t>4.645</t>
  </si>
  <si>
    <t>4.796</t>
  </si>
  <si>
    <t>4.859</t>
  </si>
  <si>
    <t>4.933</t>
  </si>
  <si>
    <t>4.971</t>
  </si>
  <si>
    <t>5.071</t>
  </si>
  <si>
    <t>5.193</t>
  </si>
  <si>
    <t>5.403</t>
  </si>
  <si>
    <t>5.487</t>
  </si>
  <si>
    <t>5.680</t>
  </si>
  <si>
    <t>5.970</t>
  </si>
  <si>
    <t>A0</t>
  </si>
  <si>
    <t>4.912</t>
  </si>
  <si>
    <t>5.257</t>
  </si>
  <si>
    <t>5.453</t>
  </si>
  <si>
    <t>5.575</t>
  </si>
  <si>
    <t>5.686</t>
  </si>
  <si>
    <t>5.780</t>
  </si>
  <si>
    <t>5.805</t>
  </si>
  <si>
    <t>5.896</t>
  </si>
  <si>
    <t>6.014</t>
  </si>
  <si>
    <t>6.100</t>
  </si>
  <si>
    <t>6.209</t>
  </si>
  <si>
    <t>6.385</t>
  </si>
  <si>
    <t>A-</t>
  </si>
  <si>
    <t>5.434</t>
  </si>
  <si>
    <t>5.885</t>
  </si>
  <si>
    <t>6.072</t>
  </si>
  <si>
    <t>6.140</t>
  </si>
  <si>
    <t>6.266</t>
  </si>
  <si>
    <t>6.407</t>
  </si>
  <si>
    <t>6.485</t>
  </si>
  <si>
    <t>6.618</t>
  </si>
  <si>
    <t>6.738</t>
  </si>
  <si>
    <t>6.789</t>
  </si>
  <si>
    <t>6.866</t>
  </si>
  <si>
    <t>7.046</t>
  </si>
  <si>
    <t>BBB</t>
  </si>
  <si>
    <t>6.917</t>
  </si>
  <si>
    <t>7.664</t>
  </si>
  <si>
    <t>8.012</t>
  </si>
  <si>
    <t>8.167</t>
  </si>
  <si>
    <t>8.288</t>
  </si>
  <si>
    <t>8.677</t>
  </si>
  <si>
    <t>8.807</t>
  </si>
  <si>
    <t>8.901</t>
  </si>
  <si>
    <t>8.979</t>
  </si>
  <si>
    <t>9.111</t>
  </si>
  <si>
    <t>9.264</t>
  </si>
  <si>
    <t>9.654</t>
  </si>
  <si>
    <t>회사채 I(공모사채)</t>
  </si>
  <si>
    <t>***보증</t>
  </si>
  <si>
    <t>특수은행,우량시중은행</t>
  </si>
  <si>
    <t>3.691</t>
  </si>
  <si>
    <t>3.720</t>
  </si>
  <si>
    <t>3.745</t>
  </si>
  <si>
    <t>3.752</t>
  </si>
  <si>
    <t>3.797</t>
  </si>
  <si>
    <t>3.802</t>
  </si>
  <si>
    <t>3.886</t>
  </si>
  <si>
    <t>시중은행</t>
  </si>
  <si>
    <t>3.756</t>
  </si>
  <si>
    <t>3.845</t>
  </si>
  <si>
    <t>3.959</t>
  </si>
  <si>
    <t>4.133</t>
  </si>
  <si>
    <t>우량지방은행</t>
  </si>
  <si>
    <t>3.979</t>
  </si>
  <si>
    <t>4.116</t>
  </si>
  <si>
    <t>4.198</t>
  </si>
  <si>
    <t>4.323</t>
  </si>
  <si>
    <t>4.387</t>
  </si>
  <si>
    <t>4.502</t>
  </si>
  <si>
    <t>4.554</t>
  </si>
  <si>
    <t>5.014</t>
  </si>
  <si>
    <t>기타금융기관</t>
  </si>
  <si>
    <t>4.356</t>
  </si>
  <si>
    <t>4.535</t>
  </si>
  <si>
    <t>4.617</t>
  </si>
  <si>
    <t>4.649</t>
  </si>
  <si>
    <t>4.801</t>
  </si>
  <si>
    <t>4.913</t>
  </si>
  <si>
    <t>5.085</t>
  </si>
  <si>
    <t>5.310</t>
  </si>
  <si>
    <t>6.079</t>
  </si>
  <si>
    <t>3.835</t>
  </si>
  <si>
    <t>4.096</t>
  </si>
  <si>
    <t>4.410</t>
  </si>
  <si>
    <t>3.698</t>
  </si>
  <si>
    <t>3.719</t>
  </si>
  <si>
    <t>3.753</t>
  </si>
  <si>
    <t>3.804</t>
  </si>
  <si>
    <t>3.853</t>
  </si>
  <si>
    <t>3.865</t>
  </si>
  <si>
    <t>3.887</t>
  </si>
  <si>
    <t>4.072</t>
  </si>
  <si>
    <t>4.249</t>
  </si>
  <si>
    <t>4.621</t>
  </si>
  <si>
    <t>4.024</t>
  </si>
  <si>
    <t>4.347</t>
  </si>
  <si>
    <t>4.957</t>
  </si>
  <si>
    <t>3.766</t>
  </si>
  <si>
    <t>3.789</t>
  </si>
  <si>
    <t>3.877</t>
  </si>
  <si>
    <t>3.926</t>
  </si>
  <si>
    <t>3.986</t>
  </si>
  <si>
    <t>4.006</t>
  </si>
  <si>
    <t>4.083</t>
  </si>
  <si>
    <t>4.236</t>
  </si>
  <si>
    <t>4.546</t>
  </si>
  <si>
    <t>5.329</t>
  </si>
  <si>
    <t>4.788</t>
  </si>
  <si>
    <t>5.274</t>
  </si>
  <si>
    <t>5.866</t>
  </si>
  <si>
    <t>4.141</t>
  </si>
  <si>
    <t>4.275</t>
  </si>
  <si>
    <t>4.342</t>
  </si>
  <si>
    <t>4.377</t>
  </si>
  <si>
    <t>4.504</t>
  </si>
  <si>
    <t>4.582</t>
  </si>
  <si>
    <t>4.694</t>
  </si>
  <si>
    <t>4.853</t>
  </si>
  <si>
    <t>5.138</t>
  </si>
  <si>
    <t>5.439</t>
  </si>
  <si>
    <t>5.702</t>
  </si>
  <si>
    <t>6.311</t>
  </si>
  <si>
    <t>5.671</t>
  </si>
  <si>
    <t>6.257</t>
  </si>
  <si>
    <t>6.836</t>
  </si>
  <si>
    <t>BBB+</t>
  </si>
  <si>
    <t>5.119</t>
  </si>
  <si>
    <t>5.615</t>
  </si>
  <si>
    <t>6.002</t>
  </si>
  <si>
    <t>6.239</t>
  </si>
  <si>
    <t>6.716</t>
  </si>
  <si>
    <t>7.269</t>
  </si>
  <si>
    <t>7.643</t>
  </si>
  <si>
    <t>7.948</t>
  </si>
  <si>
    <t>8.092</t>
  </si>
  <si>
    <t>8.177</t>
  </si>
  <si>
    <t>8.289</t>
  </si>
  <si>
    <t>8.524</t>
  </si>
  <si>
    <t>BBB0</t>
  </si>
  <si>
    <t>5.469</t>
  </si>
  <si>
    <t>6.095</t>
  </si>
  <si>
    <t>6.552</t>
  </si>
  <si>
    <t>6.889</t>
  </si>
  <si>
    <t>7.476</t>
  </si>
  <si>
    <t>8.169</t>
  </si>
  <si>
    <t>8.653</t>
  </si>
  <si>
    <t>8.965</t>
  </si>
  <si>
    <t>9.107</t>
  </si>
  <si>
    <t>9.197</t>
  </si>
  <si>
    <t>9.309</t>
  </si>
  <si>
    <t>9.572</t>
  </si>
  <si>
    <t>BBB-</t>
  </si>
  <si>
    <t>6.144</t>
  </si>
  <si>
    <t>6.905</t>
  </si>
  <si>
    <t>7.497</t>
  </si>
  <si>
    <t>7.884</t>
  </si>
  <si>
    <t>8.596</t>
  </si>
  <si>
    <t>9.339</t>
  </si>
  <si>
    <t>9.903</t>
  </si>
  <si>
    <t>10.351</t>
  </si>
  <si>
    <t>10.547</t>
  </si>
  <si>
    <t>10.637</t>
  </si>
  <si>
    <t>10.747</t>
  </si>
  <si>
    <t>11.005</t>
  </si>
  <si>
    <t>회사채 II(사모사채)</t>
  </si>
  <si>
    <t>3.771</t>
  </si>
  <si>
    <t>3.808</t>
  </si>
  <si>
    <t>3.830</t>
  </si>
  <si>
    <t>3.875</t>
  </si>
  <si>
    <t>3.902</t>
  </si>
  <si>
    <t>3.932</t>
  </si>
  <si>
    <t>3.967</t>
  </si>
  <si>
    <t>3.972</t>
  </si>
  <si>
    <t>4.015</t>
  </si>
  <si>
    <t>4.695</t>
  </si>
  <si>
    <t>3.952</t>
  </si>
  <si>
    <t>4.094</t>
  </si>
  <si>
    <t>4.115</t>
  </si>
  <si>
    <t>4.137</t>
  </si>
  <si>
    <t>4.189</t>
  </si>
  <si>
    <t>4.264</t>
  </si>
  <si>
    <t>4.413</t>
  </si>
  <si>
    <t>4.647</t>
  </si>
  <si>
    <t>4.169</t>
  </si>
  <si>
    <t>4.423</t>
  </si>
  <si>
    <t>4.478</t>
  </si>
  <si>
    <t>4.623</t>
  </si>
  <si>
    <t>4.707</t>
  </si>
  <si>
    <t>4.842</t>
  </si>
  <si>
    <t>4.924</t>
  </si>
  <si>
    <t>5.158</t>
  </si>
  <si>
    <t>5.424</t>
  </si>
  <si>
    <t>5.724</t>
  </si>
  <si>
    <t>6.316</t>
  </si>
  <si>
    <t>4.361</t>
  </si>
  <si>
    <t>4.565</t>
  </si>
  <si>
    <t>4.642</t>
  </si>
  <si>
    <t>4.697</t>
  </si>
  <si>
    <t>4.844</t>
  </si>
  <si>
    <t>4.952</t>
  </si>
  <si>
    <t>5.074</t>
  </si>
  <si>
    <t>5.263</t>
  </si>
  <si>
    <t>5.558</t>
  </si>
  <si>
    <t>5.899</t>
  </si>
  <si>
    <t>6.192</t>
  </si>
  <si>
    <t>6.811</t>
  </si>
  <si>
    <t>4.616</t>
  </si>
  <si>
    <t>4.865</t>
  </si>
  <si>
    <t>5.009</t>
  </si>
  <si>
    <t>5.191</t>
  </si>
  <si>
    <t>5.333</t>
  </si>
  <si>
    <t>5.515</t>
  </si>
  <si>
    <t>5.770</t>
  </si>
  <si>
    <t>6.131</t>
  </si>
  <si>
    <t>6.589</t>
  </si>
  <si>
    <t>6.767</t>
  </si>
  <si>
    <t>7.366</t>
  </si>
  <si>
    <r>
      <t xml:space="preserve">24.3.5 </t>
    </r>
    <r>
      <rPr>
        <sz val="10"/>
        <rFont val="맑은 고딕"/>
        <family val="2"/>
        <charset val="129"/>
      </rPr>
      <t>기준</t>
    </r>
    <phoneticPr fontId="14" type="noConversion"/>
  </si>
  <si>
    <t>■ 투자경제성분석_차입이자 Guide</t>
    <phoneticPr fontId="16" type="noConversion"/>
  </si>
  <si>
    <t xml:space="preserve">- 투자비 차입을 가정하여 차입이자율 반영    </t>
    <phoneticPr fontId="16" type="noConversion"/>
  </si>
  <si>
    <t xml:space="preserve">   ※ 민간 채권평가社 평균 금리 기준 적용(금융투자협회 제공)</t>
    <phoneticPr fontId="16" type="noConversion"/>
  </si>
  <si>
    <t xml:space="preserve">   ☞ https://www.kofiabond.or.kr/index.html → 시가평가 → 채권시가평가기준수익율 조회</t>
    <phoneticPr fontId="16" type="noConversion"/>
  </si>
  <si>
    <t>Category</t>
    <phoneticPr fontId="2" type="noConversion"/>
  </si>
  <si>
    <t>장기계약 할인</t>
    <phoneticPr fontId="2" type="noConversion"/>
  </si>
  <si>
    <t>출시 가격 산출 Sheet</t>
    <phoneticPr fontId="2" type="noConversion"/>
  </si>
  <si>
    <t>요율 합계</t>
    <phoneticPr fontId="2" type="noConversion"/>
  </si>
  <si>
    <t>매출(①)</t>
    <phoneticPr fontId="2" type="noConversion"/>
  </si>
  <si>
    <t>매출 원가(②)</t>
    <phoneticPr fontId="2" type="noConversion"/>
  </si>
  <si>
    <t>Fee(③)</t>
    <phoneticPr fontId="2" type="noConversion"/>
  </si>
  <si>
    <t>매출총이익1(④)</t>
    <phoneticPr fontId="2" type="noConversion"/>
  </si>
  <si>
    <t xml:space="preserve"> = ② × 5%</t>
    <phoneticPr fontId="2" type="noConversion"/>
  </si>
  <si>
    <t>기업이윤</t>
    <phoneticPr fontId="2" type="noConversion"/>
  </si>
  <si>
    <t>일시/12개월납</t>
    <phoneticPr fontId="2" type="noConversion"/>
  </si>
  <si>
    <t>기준(Min)</t>
    <phoneticPr fontId="2" type="noConversion"/>
  </si>
  <si>
    <t xml:space="preserve"> = ② + ③ ; Min 기준</t>
    <phoneticPr fontId="2" type="noConversion"/>
  </si>
  <si>
    <t xml:space="preserve"> = ① - ②</t>
    <phoneticPr fontId="2" type="noConversion"/>
  </si>
  <si>
    <t>일반관리비(⑤)</t>
    <phoneticPr fontId="2" type="noConversion"/>
  </si>
  <si>
    <t xml:space="preserve"> = (② + ⑤) × 2.5% ; Min 기준</t>
    <phoneticPr fontId="2" type="noConversion"/>
  </si>
  <si>
    <t>차입이자율</t>
  </si>
  <si>
    <t>원리금균등상환</t>
  </si>
  <si>
    <t>■ 단위 손익표</t>
    <phoneticPr fontId="16" type="noConversion"/>
  </si>
  <si>
    <t>금융 비용</t>
    <phoneticPr fontId="2" type="noConversion"/>
  </si>
  <si>
    <t>금융비용 고객부담금</t>
    <phoneticPr fontId="2" type="noConversion"/>
  </si>
  <si>
    <t>투자자산 조달비</t>
    <phoneticPr fontId="2" type="noConversion"/>
  </si>
  <si>
    <t>(단위 : 천원, VAT별도, 판매 1Set 귀속 기준)</t>
    <phoneticPr fontId="2" type="noConversion"/>
  </si>
  <si>
    <t>(-)불가</t>
    <phoneticPr fontId="2" type="noConversion"/>
  </si>
  <si>
    <t>고객부담금</t>
    <phoneticPr fontId="2" type="noConversion"/>
  </si>
  <si>
    <t xml:space="preserve"> = 금융비용 × 105% </t>
    <phoneticPr fontId="2" type="noConversion"/>
  </si>
  <si>
    <t>매출총이익1 이익률(%)</t>
  </si>
  <si>
    <t>할인률(%)</t>
    <phoneticPr fontId="2" type="noConversion"/>
  </si>
  <si>
    <t>5. 추천가격 구간표</t>
    <phoneticPr fontId="2" type="noConversion"/>
  </si>
  <si>
    <t>옵션 추천가격</t>
    <phoneticPr fontId="2" type="noConversion"/>
  </si>
  <si>
    <t>Net Cash</t>
    <phoneticPr fontId="2" type="noConversion"/>
  </si>
  <si>
    <t>구분</t>
    <phoneticPr fontId="2" type="noConversion"/>
  </si>
  <si>
    <t>일시불</t>
    <phoneticPr fontId="2" type="noConversion"/>
  </si>
  <si>
    <t>총납입금</t>
    <phoneticPr fontId="2" type="noConversion"/>
  </si>
  <si>
    <t>월납입액</t>
    <phoneticPr fontId="2" type="noConversion"/>
  </si>
  <si>
    <t>금융비용고객부담금</t>
    <phoneticPr fontId="2" type="noConversion"/>
  </si>
  <si>
    <t>장기계약할인</t>
    <phoneticPr fontId="2" type="noConversion"/>
  </si>
  <si>
    <t>원금</t>
    <phoneticPr fontId="2" type="noConversion"/>
  </si>
  <si>
    <t>소계</t>
    <phoneticPr fontId="2" type="noConversion"/>
  </si>
  <si>
    <t>매총1이익률(%)</t>
    <phoneticPr fontId="2" type="noConversion"/>
  </si>
  <si>
    <t>계약총액</t>
    <phoneticPr fontId="2" type="noConversion"/>
  </si>
  <si>
    <t>전문가Insight</t>
    <phoneticPr fontId="2" type="noConversion"/>
  </si>
  <si>
    <t>Insight</t>
    <phoneticPr fontId="2" type="noConversion"/>
  </si>
  <si>
    <t>출시담당 전문인원(CM, PO, 기획자)의 시장 Insight</t>
    <phoneticPr fontId="2" type="noConversion"/>
  </si>
  <si>
    <t>일시불기준 매총1율이 기간별</t>
    <phoneticPr fontId="2" type="noConversion"/>
  </si>
  <si>
    <t>이익률을 초과하는 경우에 적용</t>
    <phoneticPr fontId="2" type="noConversion"/>
  </si>
  <si>
    <t xml:space="preserve">     ※ 장기 할인율 기준표</t>
    <phoneticPr fontId="16" type="noConversion"/>
  </si>
  <si>
    <t>할인 총액</t>
    <phoneticPr fontId="2" type="noConversion"/>
  </si>
  <si>
    <t>6. 옵션별 추천 가격표</t>
    <phoneticPr fontId="2" type="noConversion"/>
  </si>
  <si>
    <t>전기차화재진화솔루션</t>
    <phoneticPr fontId="2" type="noConversion"/>
  </si>
  <si>
    <t>서비스 개시 후, 월사용량 기준 외주비(ex. 통신비, 관제비)</t>
    <phoneticPr fontId="2" type="noConversion"/>
  </si>
  <si>
    <t>서비스 개시를 위한 사전공사, 물품조달에 소요된 외주비</t>
    <phoneticPr fontId="2" type="noConversion"/>
  </si>
  <si>
    <t>선 투자비</t>
    <phoneticPr fontId="2" type="noConversion"/>
  </si>
  <si>
    <t>운영단계 외주비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</si>
</sst>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[Red]\ 0%\ &quot;▲&quot;;[Blue]\ 0%\ &quot;▼&quot;"/>
    <numFmt numFmtId="177" formatCode="_-* #,##0.000_-;\-* #,##0.000_-;_-* &quot;-&quot;_-;_-@_-"/>
    <numFmt numFmtId="178" formatCode="_-* #,##0.0_-;\-* #,##0.0_-;_-* &quot;-&quot;?_-;_-@_-"/>
    <numFmt numFmtId="179" formatCode="#,##0&quot;개월납&quot;"/>
  </numFmts>
  <fonts count="2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나눔스퀘어"/>
      <family val="3"/>
      <charset val="129"/>
    </font>
    <font>
      <sz val="11"/>
      <color rgb="FF000000"/>
      <name val="나눔스퀘어"/>
      <family val="3"/>
      <charset val="129"/>
    </font>
    <font>
      <sz val="11"/>
      <name val="나눔스퀘어"/>
      <family val="3"/>
      <charset val="129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6"/>
      <color theme="1"/>
      <name val="맑은 고딕"/>
      <family val="2"/>
      <charset val="129"/>
    </font>
    <font>
      <b/>
      <u/>
      <sz val="14"/>
      <color theme="1"/>
      <name val="맑은 고딕"/>
      <family val="3"/>
      <charset val="129"/>
    </font>
    <font>
      <sz val="10"/>
      <color theme="1"/>
      <name val="나눔스퀘어"/>
      <family val="3"/>
      <charset val="129"/>
    </font>
    <font>
      <sz val="10"/>
      <name val="Arial"/>
      <family val="2"/>
    </font>
    <font>
      <sz val="10"/>
      <name val="맑은 고딕"/>
      <family val="2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나눔스퀘어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b/>
      <sz val="11"/>
      <color theme="1"/>
      <name val="나눔스퀘어"/>
      <family val="3"/>
      <charset val="129"/>
    </font>
    <font>
      <sz val="10"/>
      <color rgb="FF000000"/>
      <name val="나눔스퀘어"/>
      <family val="3"/>
      <charset val="129"/>
    </font>
    <font>
      <sz val="10"/>
      <color theme="1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theme="1" tint="0.499984740745262"/>
      </left>
      <right/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theme="1" tint="0.499984740745262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/>
  </cellStyleXfs>
  <cellXfs count="172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center"/>
    </xf>
    <xf numFmtId="0" fontId="4" fillId="2" borderId="7" xfId="0" applyFont="1" applyFill="1" applyBorder="1" applyAlignment="1">
      <alignment horizontal="left" vertical="center" wrapText="1" readingOrder="1"/>
    </xf>
    <xf numFmtId="0" fontId="4" fillId="2" borderId="3" xfId="0" applyFont="1" applyFill="1" applyBorder="1" applyAlignment="1">
      <alignment vertical="center" wrapText="1" readingOrder="1"/>
    </xf>
    <xf numFmtId="0" fontId="4" fillId="2" borderId="10" xfId="0" applyFont="1" applyFill="1" applyBorder="1" applyAlignment="1">
      <alignment vertical="center" wrapText="1" readingOrder="1"/>
    </xf>
    <xf numFmtId="0" fontId="4" fillId="2" borderId="9" xfId="0" applyFont="1" applyFill="1" applyBorder="1" applyAlignment="1">
      <alignment vertical="center" wrapText="1" readingOrder="1"/>
    </xf>
    <xf numFmtId="0" fontId="4" fillId="2" borderId="3" xfId="0" applyFont="1" applyFill="1" applyBorder="1" applyAlignment="1">
      <alignment vertical="center" readingOrder="1"/>
    </xf>
    <xf numFmtId="41" fontId="5" fillId="2" borderId="2" xfId="1" applyFont="1" applyFill="1" applyBorder="1" applyAlignment="1">
      <alignment horizontal="right" vertical="center" wrapText="1" indent="1"/>
    </xf>
    <xf numFmtId="41" fontId="5" fillId="0" borderId="6" xfId="1" applyFont="1" applyFill="1" applyBorder="1" applyAlignment="1">
      <alignment horizontal="right" vertical="center" wrapText="1" indent="1"/>
    </xf>
    <xf numFmtId="41" fontId="0" fillId="0" borderId="0" xfId="0" applyNumberFormat="1">
      <alignment vertical="center"/>
    </xf>
    <xf numFmtId="41" fontId="5" fillId="4" borderId="2" xfId="1" applyFont="1" applyFill="1" applyBorder="1" applyAlignment="1">
      <alignment horizontal="right" vertical="center" wrapText="1" indent="1"/>
    </xf>
    <xf numFmtId="0" fontId="4" fillId="2" borderId="3" xfId="0" applyFont="1" applyFill="1" applyBorder="1" applyAlignment="1">
      <alignment vertical="center" wrapText="1" readingOrder="1"/>
    </xf>
    <xf numFmtId="0" fontId="3" fillId="0" borderId="0" xfId="0" applyFont="1" applyAlignment="1">
      <alignment horizontal="left" vertical="center"/>
    </xf>
    <xf numFmtId="0" fontId="6" fillId="6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0" fillId="0" borderId="17" xfId="0" applyBorder="1" applyAlignment="1">
      <alignment vertical="center"/>
    </xf>
    <xf numFmtId="0" fontId="0" fillId="0" borderId="20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5" fillId="0" borderId="20" xfId="0" applyFont="1" applyFill="1" applyBorder="1" applyAlignment="1">
      <alignment vertical="center"/>
    </xf>
    <xf numFmtId="0" fontId="5" fillId="0" borderId="17" xfId="0" applyFont="1" applyFill="1" applyBorder="1" applyAlignment="1">
      <alignment vertical="center"/>
    </xf>
    <xf numFmtId="0" fontId="0" fillId="0" borderId="16" xfId="0" applyBorder="1">
      <alignment vertical="center"/>
    </xf>
    <xf numFmtId="0" fontId="0" fillId="0" borderId="20" xfId="0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5" fillId="0" borderId="16" xfId="0" applyFont="1" applyFill="1" applyBorder="1" applyAlignment="1">
      <alignment horizontal="left" vertical="center" indent="1"/>
    </xf>
    <xf numFmtId="0" fontId="0" fillId="0" borderId="16" xfId="0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9" fontId="8" fillId="0" borderId="0" xfId="2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15" xfId="0" applyFont="1" applyBorder="1">
      <alignment vertical="center"/>
    </xf>
    <xf numFmtId="41" fontId="11" fillId="0" borderId="15" xfId="1" applyFont="1" applyBorder="1">
      <alignment vertical="center"/>
    </xf>
    <xf numFmtId="0" fontId="12" fillId="9" borderId="27" xfId="3" applyFill="1" applyBorder="1" applyAlignment="1">
      <alignment horizontal="center" vertical="center" wrapText="1"/>
    </xf>
    <xf numFmtId="0" fontId="12" fillId="0" borderId="0" xfId="3"/>
    <xf numFmtId="0" fontId="12" fillId="10" borderId="27" xfId="3" applyFill="1" applyBorder="1" applyAlignment="1">
      <alignment horizontal="center" vertical="center"/>
    </xf>
    <xf numFmtId="0" fontId="12" fillId="0" borderId="27" xfId="3" applyFill="1" applyBorder="1" applyAlignment="1">
      <alignment horizontal="center" vertical="center"/>
    </xf>
    <xf numFmtId="0" fontId="12" fillId="3" borderId="27" xfId="3" applyFill="1" applyBorder="1" applyAlignment="1">
      <alignment horizontal="center" vertical="center"/>
    </xf>
    <xf numFmtId="0" fontId="12" fillId="10" borderId="28" xfId="3" applyFill="1" applyBorder="1" applyAlignment="1">
      <alignment horizontal="right" vertical="center"/>
    </xf>
    <xf numFmtId="0" fontId="15" fillId="0" borderId="0" xfId="3" applyFont="1" applyAlignment="1">
      <alignment vertical="center"/>
    </xf>
    <xf numFmtId="0" fontId="12" fillId="0" borderId="0" xfId="3" applyAlignment="1">
      <alignment vertical="center"/>
    </xf>
    <xf numFmtId="0" fontId="17" fillId="0" borderId="0" xfId="3" quotePrefix="1" applyFont="1" applyAlignment="1">
      <alignment vertical="center"/>
    </xf>
    <xf numFmtId="0" fontId="17" fillId="0" borderId="0" xfId="3" applyFont="1" applyAlignment="1">
      <alignment vertical="center"/>
    </xf>
    <xf numFmtId="0" fontId="7" fillId="8" borderId="15" xfId="0" applyFont="1" applyFill="1" applyBorder="1" applyAlignment="1">
      <alignment horizontal="center" vertical="center"/>
    </xf>
    <xf numFmtId="0" fontId="11" fillId="8" borderId="15" xfId="0" applyFont="1" applyFill="1" applyBorder="1">
      <alignment vertical="center"/>
    </xf>
    <xf numFmtId="0" fontId="4" fillId="2" borderId="30" xfId="0" applyFont="1" applyFill="1" applyBorder="1" applyAlignment="1">
      <alignment vertical="center" readingOrder="1"/>
    </xf>
    <xf numFmtId="0" fontId="4" fillId="2" borderId="31" xfId="0" applyFont="1" applyFill="1" applyBorder="1" applyAlignment="1">
      <alignment vertical="center" wrapText="1" readingOrder="1"/>
    </xf>
    <xf numFmtId="41" fontId="5" fillId="0" borderId="2" xfId="1" applyFont="1" applyFill="1" applyBorder="1" applyAlignment="1">
      <alignment horizontal="right" vertical="center" wrapText="1" indent="1"/>
    </xf>
    <xf numFmtId="0" fontId="4" fillId="5" borderId="5" xfId="0" applyFont="1" applyFill="1" applyBorder="1" applyAlignment="1">
      <alignment horizontal="center" vertical="center" wrapText="1" readingOrder="1"/>
    </xf>
    <xf numFmtId="41" fontId="5" fillId="8" borderId="2" xfId="1" applyFont="1" applyFill="1" applyBorder="1" applyAlignment="1">
      <alignment horizontal="right" vertical="center" wrapText="1" indent="1"/>
    </xf>
    <xf numFmtId="10" fontId="18" fillId="8" borderId="2" xfId="2" applyNumberFormat="1" applyFont="1" applyFill="1" applyBorder="1" applyAlignment="1">
      <alignment horizontal="right" vertical="center" wrapText="1" indent="1"/>
    </xf>
    <xf numFmtId="0" fontId="5" fillId="2" borderId="8" xfId="0" applyFont="1" applyFill="1" applyBorder="1" applyAlignment="1">
      <alignment vertical="center" wrapText="1"/>
    </xf>
    <xf numFmtId="0" fontId="4" fillId="2" borderId="10" xfId="0" applyFont="1" applyFill="1" applyBorder="1" applyAlignment="1">
      <alignment vertical="center" readingOrder="1"/>
    </xf>
    <xf numFmtId="0" fontId="4" fillId="2" borderId="29" xfId="0" applyFont="1" applyFill="1" applyBorder="1" applyAlignment="1">
      <alignment vertical="center" readingOrder="1"/>
    </xf>
    <xf numFmtId="0" fontId="4" fillId="5" borderId="9" xfId="0" applyFont="1" applyFill="1" applyBorder="1" applyAlignment="1">
      <alignment horizontal="center" vertical="center" wrapText="1" readingOrder="1"/>
    </xf>
    <xf numFmtId="41" fontId="5" fillId="8" borderId="6" xfId="1" applyFont="1" applyFill="1" applyBorder="1" applyAlignment="1">
      <alignment horizontal="right" vertical="center" wrapText="1" indent="1"/>
    </xf>
    <xf numFmtId="41" fontId="5" fillId="11" borderId="6" xfId="1" applyFont="1" applyFill="1" applyBorder="1" applyAlignment="1">
      <alignment horizontal="right" vertical="center" wrapText="1" indent="1"/>
    </xf>
    <xf numFmtId="41" fontId="5" fillId="2" borderId="6" xfId="1" applyFont="1" applyFill="1" applyBorder="1" applyAlignment="1">
      <alignment horizontal="right" vertical="center" wrapText="1" indent="1"/>
    </xf>
    <xf numFmtId="41" fontId="5" fillId="4" borderId="6" xfId="1" applyFont="1" applyFill="1" applyBorder="1" applyAlignment="1">
      <alignment horizontal="right" vertical="center" wrapText="1" indent="1"/>
    </xf>
    <xf numFmtId="10" fontId="18" fillId="8" borderId="6" xfId="2" applyNumberFormat="1" applyFont="1" applyFill="1" applyBorder="1" applyAlignment="1">
      <alignment horizontal="right" vertical="center" wrapText="1" indent="1"/>
    </xf>
    <xf numFmtId="0" fontId="4" fillId="5" borderId="32" xfId="0" applyFont="1" applyFill="1" applyBorder="1" applyAlignment="1">
      <alignment horizontal="center" vertical="center" wrapText="1" readingOrder="1"/>
    </xf>
    <xf numFmtId="41" fontId="5" fillId="8" borderId="32" xfId="1" applyFont="1" applyFill="1" applyBorder="1" applyAlignment="1">
      <alignment horizontal="right" vertical="center" wrapText="1" indent="1"/>
    </xf>
    <xf numFmtId="41" fontId="5" fillId="11" borderId="32" xfId="1" applyFont="1" applyFill="1" applyBorder="1" applyAlignment="1">
      <alignment horizontal="right" vertical="center" wrapText="1" indent="1"/>
    </xf>
    <xf numFmtId="41" fontId="5" fillId="0" borderId="32" xfId="1" applyFont="1" applyFill="1" applyBorder="1" applyAlignment="1">
      <alignment horizontal="right" vertical="center" wrapText="1" indent="1"/>
    </xf>
    <xf numFmtId="41" fontId="5" fillId="2" borderId="32" xfId="1" applyFont="1" applyFill="1" applyBorder="1" applyAlignment="1">
      <alignment horizontal="right" vertical="center" wrapText="1" indent="1"/>
    </xf>
    <xf numFmtId="10" fontId="18" fillId="8" borderId="32" xfId="2" applyNumberFormat="1" applyFont="1" applyFill="1" applyBorder="1" applyAlignment="1">
      <alignment horizontal="right" vertical="center" wrapText="1" indent="1"/>
    </xf>
    <xf numFmtId="0" fontId="4" fillId="2" borderId="5" xfId="0" applyFont="1" applyFill="1" applyBorder="1" applyAlignment="1">
      <alignment vertical="center" wrapText="1" readingOrder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41" fontId="0" fillId="0" borderId="1" xfId="1" applyFont="1" applyBorder="1">
      <alignment vertical="center"/>
    </xf>
    <xf numFmtId="0" fontId="0" fillId="8" borderId="1" xfId="0" applyFill="1" applyBorder="1" applyAlignment="1">
      <alignment horizontal="center" vertical="center"/>
    </xf>
    <xf numFmtId="41" fontId="0" fillId="8" borderId="1" xfId="0" applyNumberFormat="1" applyFill="1" applyBorder="1">
      <alignment vertical="center"/>
    </xf>
    <xf numFmtId="43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21" fillId="12" borderId="1" xfId="0" applyFont="1" applyFill="1" applyBorder="1">
      <alignment vertical="center"/>
    </xf>
    <xf numFmtId="41" fontId="21" fillId="12" borderId="1" xfId="1" applyFont="1" applyFill="1" applyBorder="1">
      <alignment vertical="center"/>
    </xf>
    <xf numFmtId="0" fontId="3" fillId="8" borderId="1" xfId="0" applyFont="1" applyFill="1" applyBorder="1">
      <alignment vertical="center"/>
    </xf>
    <xf numFmtId="41" fontId="3" fillId="8" borderId="1" xfId="1" applyFont="1" applyFill="1" applyBorder="1">
      <alignment vertical="center"/>
    </xf>
    <xf numFmtId="0" fontId="3" fillId="8" borderId="13" xfId="0" applyFont="1" applyFill="1" applyBorder="1">
      <alignment vertical="center"/>
    </xf>
    <xf numFmtId="41" fontId="3" fillId="8" borderId="13" xfId="1" applyNumberFormat="1" applyFont="1" applyFill="1" applyBorder="1">
      <alignment vertical="center"/>
    </xf>
    <xf numFmtId="0" fontId="11" fillId="8" borderId="15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 readingOrder="1"/>
    </xf>
    <xf numFmtId="0" fontId="22" fillId="5" borderId="1" xfId="0" applyFont="1" applyFill="1" applyBorder="1" applyAlignment="1">
      <alignment horizontal="center" vertical="center" wrapText="1" readingOrder="1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4" fillId="2" borderId="5" xfId="0" applyFont="1" applyFill="1" applyBorder="1" applyAlignment="1">
      <alignment horizontal="left" vertical="center" readingOrder="1"/>
    </xf>
    <xf numFmtId="0" fontId="4" fillId="2" borderId="6" xfId="0" applyFont="1" applyFill="1" applyBorder="1" applyAlignment="1">
      <alignment horizontal="left" vertical="center" readingOrder="1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4" fillId="2" borderId="34" xfId="0" applyFont="1" applyFill="1" applyBorder="1" applyAlignment="1">
      <alignment horizontal="left" vertical="center" readingOrder="1"/>
    </xf>
    <xf numFmtId="0" fontId="4" fillId="2" borderId="35" xfId="0" applyFont="1" applyFill="1" applyBorder="1" applyAlignment="1">
      <alignment horizontal="left" vertical="center" readingOrder="1"/>
    </xf>
    <xf numFmtId="0" fontId="4" fillId="2" borderId="4" xfId="0" applyFont="1" applyFill="1" applyBorder="1" applyAlignment="1">
      <alignment horizontal="left" vertical="center" readingOrder="1"/>
    </xf>
    <xf numFmtId="41" fontId="5" fillId="8" borderId="2" xfId="1" applyNumberFormat="1" applyFont="1" applyFill="1" applyBorder="1" applyAlignment="1">
      <alignment horizontal="right" vertical="center" wrapText="1" indent="1"/>
    </xf>
    <xf numFmtId="0" fontId="0" fillId="0" borderId="36" xfId="0" applyBorder="1" applyAlignment="1">
      <alignment horizontal="center" vertical="center"/>
    </xf>
    <xf numFmtId="41" fontId="1" fillId="0" borderId="36" xfId="1" applyFont="1" applyBorder="1" applyAlignment="1">
      <alignment vertical="center"/>
    </xf>
    <xf numFmtId="41" fontId="4" fillId="2" borderId="36" xfId="1" applyFont="1" applyFill="1" applyBorder="1" applyAlignment="1">
      <alignment horizontal="left" vertical="center" readingOrder="1"/>
    </xf>
    <xf numFmtId="41" fontId="0" fillId="0" borderId="36" xfId="1" applyFont="1" applyBorder="1" applyAlignment="1">
      <alignment vertical="center"/>
    </xf>
    <xf numFmtId="10" fontId="4" fillId="0" borderId="36" xfId="1" applyNumberFormat="1" applyFont="1" applyFill="1" applyBorder="1" applyAlignment="1">
      <alignment horizontal="center" vertical="center" readingOrder="1"/>
    </xf>
    <xf numFmtId="179" fontId="0" fillId="0" borderId="37" xfId="0" applyNumberFormat="1" applyBorder="1" applyAlignment="1">
      <alignment horizontal="center" vertical="center"/>
    </xf>
    <xf numFmtId="41" fontId="1" fillId="0" borderId="37" xfId="1" applyFont="1" applyBorder="1" applyAlignment="1">
      <alignment vertical="center"/>
    </xf>
    <xf numFmtId="41" fontId="4" fillId="2" borderId="37" xfId="1" applyFont="1" applyFill="1" applyBorder="1" applyAlignment="1">
      <alignment horizontal="left" vertical="center" readingOrder="1"/>
    </xf>
    <xf numFmtId="41" fontId="0" fillId="0" borderId="37" xfId="1" applyFont="1" applyBorder="1" applyAlignment="1">
      <alignment vertical="center"/>
    </xf>
    <xf numFmtId="10" fontId="4" fillId="0" borderId="37" xfId="1" applyNumberFormat="1" applyFont="1" applyFill="1" applyBorder="1" applyAlignment="1">
      <alignment horizontal="center" vertical="center" readingOrder="1"/>
    </xf>
    <xf numFmtId="41" fontId="4" fillId="2" borderId="37" xfId="1" applyFont="1" applyFill="1" applyBorder="1" applyAlignment="1">
      <alignment horizontal="right" vertical="center" readingOrder="1"/>
    </xf>
    <xf numFmtId="179" fontId="0" fillId="0" borderId="38" xfId="0" applyNumberFormat="1" applyBorder="1" applyAlignment="1">
      <alignment horizontal="center" vertical="center"/>
    </xf>
    <xf numFmtId="41" fontId="1" fillId="0" borderId="38" xfId="1" applyFont="1" applyBorder="1" applyAlignment="1">
      <alignment vertical="center"/>
    </xf>
    <xf numFmtId="41" fontId="4" fillId="2" borderId="38" xfId="1" applyFont="1" applyFill="1" applyBorder="1" applyAlignment="1">
      <alignment horizontal="left" vertical="center" readingOrder="1"/>
    </xf>
    <xf numFmtId="41" fontId="0" fillId="0" borderId="38" xfId="1" applyFont="1" applyBorder="1" applyAlignment="1">
      <alignment vertical="center"/>
    </xf>
    <xf numFmtId="41" fontId="4" fillId="2" borderId="38" xfId="1" applyFont="1" applyFill="1" applyBorder="1" applyAlignment="1">
      <alignment horizontal="right" vertical="center" readingOrder="1"/>
    </xf>
    <xf numFmtId="10" fontId="4" fillId="0" borderId="38" xfId="1" applyNumberFormat="1" applyFont="1" applyFill="1" applyBorder="1" applyAlignment="1">
      <alignment horizontal="center" vertical="center" readingOrder="1"/>
    </xf>
    <xf numFmtId="179" fontId="0" fillId="5" borderId="1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Border="1">
      <alignment vertical="center"/>
    </xf>
    <xf numFmtId="0" fontId="0" fillId="0" borderId="44" xfId="0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4" xfId="0" applyBorder="1">
      <alignment vertical="center"/>
    </xf>
    <xf numFmtId="0" fontId="0" fillId="0" borderId="46" xfId="0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9" fontId="0" fillId="0" borderId="36" xfId="2" applyNumberFormat="1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9" fontId="0" fillId="0" borderId="37" xfId="2" applyNumberFormat="1" applyFont="1" applyBorder="1" applyAlignment="1">
      <alignment horizontal="center" vertical="center"/>
    </xf>
    <xf numFmtId="0" fontId="0" fillId="8" borderId="38" xfId="0" applyFill="1" applyBorder="1" applyAlignment="1">
      <alignment horizontal="center" vertical="center"/>
    </xf>
    <xf numFmtId="41" fontId="0" fillId="8" borderId="38" xfId="1" applyFont="1" applyFill="1" applyBorder="1">
      <alignment vertical="center"/>
    </xf>
    <xf numFmtId="0" fontId="4" fillId="2" borderId="47" xfId="0" applyFont="1" applyFill="1" applyBorder="1" applyAlignment="1">
      <alignment horizontal="left" vertical="center" readingOrder="1"/>
    </xf>
    <xf numFmtId="0" fontId="4" fillId="2" borderId="48" xfId="0" applyFont="1" applyFill="1" applyBorder="1" applyAlignment="1">
      <alignment horizontal="left" vertical="center" readingOrder="1"/>
    </xf>
    <xf numFmtId="0" fontId="4" fillId="2" borderId="49" xfId="0" applyFont="1" applyFill="1" applyBorder="1" applyAlignment="1">
      <alignment horizontal="left" vertical="center" readingOrder="1"/>
    </xf>
    <xf numFmtId="0" fontId="4" fillId="2" borderId="50" xfId="0" applyFont="1" applyFill="1" applyBorder="1" applyAlignment="1">
      <alignment horizontal="left" vertical="center" readingOrder="1"/>
    </xf>
    <xf numFmtId="0" fontId="7" fillId="0" borderId="16" xfId="0" applyFont="1" applyFill="1" applyBorder="1" applyAlignment="1">
      <alignment horizontal="left" vertical="center"/>
    </xf>
    <xf numFmtId="0" fontId="23" fillId="0" borderId="16" xfId="0" applyFont="1" applyFill="1" applyBorder="1" applyAlignment="1">
      <alignment horizontal="left" vertical="center"/>
    </xf>
    <xf numFmtId="0" fontId="19" fillId="8" borderId="24" xfId="0" applyFont="1" applyFill="1" applyBorder="1" applyAlignment="1">
      <alignment horizontal="center" vertical="center"/>
    </xf>
    <xf numFmtId="0" fontId="19" fillId="8" borderId="25" xfId="0" applyFont="1" applyFill="1" applyBorder="1" applyAlignment="1">
      <alignment horizontal="center" vertical="center"/>
    </xf>
    <xf numFmtId="0" fontId="19" fillId="8" borderId="26" xfId="0" applyFont="1" applyFill="1" applyBorder="1" applyAlignment="1">
      <alignment horizontal="center" vertical="center"/>
    </xf>
    <xf numFmtId="176" fontId="0" fillId="0" borderId="45" xfId="0" applyNumberFormat="1" applyBorder="1" applyAlignment="1">
      <alignment horizontal="right" vertical="center" inden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76" fontId="0" fillId="0" borderId="39" xfId="0" applyNumberFormat="1" applyBorder="1" applyAlignment="1">
      <alignment horizontal="right" vertical="center" indent="1"/>
    </xf>
    <xf numFmtId="176" fontId="6" fillId="8" borderId="40" xfId="0" applyNumberFormat="1" applyFont="1" applyFill="1" applyBorder="1" applyAlignment="1">
      <alignment horizontal="right" vertical="center" inden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0" fontId="6" fillId="8" borderId="25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76" fontId="0" fillId="0" borderId="15" xfId="0" applyNumberFormat="1" applyBorder="1" applyAlignment="1">
      <alignment horizontal="right" vertical="center" indent="1"/>
    </xf>
    <xf numFmtId="41" fontId="0" fillId="7" borderId="15" xfId="1" applyFont="1" applyFill="1" applyBorder="1" applyAlignment="1">
      <alignment horizontal="center" vertical="center"/>
    </xf>
    <xf numFmtId="0" fontId="0" fillId="7" borderId="15" xfId="0" applyFill="1" applyBorder="1" applyAlignment="1">
      <alignment vertical="center"/>
    </xf>
    <xf numFmtId="0" fontId="12" fillId="10" borderId="27" xfId="3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 readingOrder="1"/>
    </xf>
    <xf numFmtId="0" fontId="4" fillId="2" borderId="7" xfId="0" applyFont="1" applyFill="1" applyBorder="1" applyAlignment="1">
      <alignment horizontal="center" vertical="center" wrapText="1" readingOrder="1"/>
    </xf>
    <xf numFmtId="0" fontId="4" fillId="5" borderId="5" xfId="0" applyFont="1" applyFill="1" applyBorder="1" applyAlignment="1">
      <alignment horizontal="center" vertical="center" wrapText="1" readingOrder="1"/>
    </xf>
    <xf numFmtId="0" fontId="4" fillId="5" borderId="9" xfId="0" applyFont="1" applyFill="1" applyBorder="1" applyAlignment="1">
      <alignment horizontal="center" vertical="center" wrapText="1" readingOrder="1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 wrapText="1" readingOrder="1"/>
    </xf>
    <xf numFmtId="0" fontId="4" fillId="5" borderId="14" xfId="0" applyFont="1" applyFill="1" applyBorder="1" applyAlignment="1">
      <alignment horizontal="center" vertical="center" wrapText="1" readingOrder="1"/>
    </xf>
    <xf numFmtId="0" fontId="4" fillId="5" borderId="6" xfId="0" applyFont="1" applyFill="1" applyBorder="1" applyAlignment="1">
      <alignment horizontal="center" vertical="center" wrapText="1" readingOrder="1"/>
    </xf>
    <xf numFmtId="0" fontId="4" fillId="5" borderId="34" xfId="0" applyFont="1" applyFill="1" applyBorder="1" applyAlignment="1">
      <alignment horizontal="center" vertical="center" wrapText="1" readingOrder="1"/>
    </xf>
  </cellXfs>
  <cellStyles count="4">
    <cellStyle name="백분율" xfId="2" builtinId="5"/>
    <cellStyle name="쉼표 [0]" xfId="1" builtinId="6"/>
    <cellStyle name="표준" xfId="0" builtinId="0"/>
    <cellStyle name="표준 2" xfId="3" xr:uid="{5C520BF2-504A-44A0-85BA-730B2ED829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추천가격 </a:t>
            </a:r>
            <a:r>
              <a:rPr lang="en-US" altLang="ko-KR"/>
              <a:t>Float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손익표!$N$5:$N$13</c:f>
              <c:numCache>
                <c:formatCode>_(* #,##0_);_(* \(#,##0\);_(* "-"_);_(@_)</c:formatCode>
                <c:ptCount val="9"/>
                <c:pt idx="1">
                  <c:v>3228750</c:v>
                </c:pt>
                <c:pt idx="2">
                  <c:v>3228750</c:v>
                </c:pt>
                <c:pt idx="3">
                  <c:v>3228750</c:v>
                </c:pt>
                <c:pt idx="4">
                  <c:v>3228750</c:v>
                </c:pt>
                <c:pt idx="5">
                  <c:v>3228750</c:v>
                </c:pt>
                <c:pt idx="6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4-431A-A619-362A1B29989E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C4-431A-A619-362A1B29989E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C4-431A-A619-362A1B29989E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C4-431A-A619-362A1B29989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C4-431A-A619-362A1B29989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C4-431A-A619-362A1B29989E}"/>
                </c:ext>
              </c:extLst>
            </c:dLbl>
            <c:dLbl>
              <c:idx val="6"/>
              <c:layout>
                <c:manualLayout>
                  <c:x val="-8.5319937394060687E-17"/>
                  <c:y val="-5.34979423868312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손익표!$O$5:$O$13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4-431A-A619-362A1B29989E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C4-431A-A619-362A1B2998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C4-431A-A619-362A1B29989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C4-431A-A619-362A1B29989E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C4-431A-A619-362A1B29989E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손익표!$P$5:$P$13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C4-431A-A619-362A1B29989E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손익표!$Q$5:$Q$13</c:f>
              <c:numCache>
                <c:formatCode>_(* #,##0_);_(* \(#,##0\);_(* "-"_);_(@_)</c:formatCode>
                <c:ptCount val="9"/>
                <c:pt idx="0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C4-431A-A619-362A1B29989E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7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4A-48D7-8EB5-B83F3410D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손익표!$R$5:$R$13</c:f>
              <c:numCache>
                <c:formatCode>_(* #,##0_);_(* \(#,##0\);_(* "-"_);_(@_)</c:formatCode>
                <c:ptCount val="9"/>
                <c:pt idx="7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6C4-431A-A619-362A1B29989E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14A-48D7-8EB5-B83F3410DEC7}"/>
              </c:ext>
            </c:extLst>
          </c:dPt>
          <c:dLbls>
            <c:dLbl>
              <c:idx val="8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4A-48D7-8EB5-B83F3410D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손익표!$S$5:$S$13</c:f>
              <c:numCache>
                <c:formatCode>_(* #,##0_);_(* \(#,##0\);_(* "-"_);_(@_)</c:formatCode>
                <c:ptCount val="9"/>
                <c:pt idx="8">
                  <c:v>6000000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6C4-431A-A619-362A1B2998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일시납 추천가격 </a:t>
            </a:r>
            <a:r>
              <a:rPr lang="en-US" altLang="ko-KR"/>
              <a:t>Float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손익표!$N$5:$N$13</c:f>
              <c:numCache>
                <c:formatCode>_(* #,##0_);_(* \(#,##0\);_(* "-"_);_(@_)</c:formatCode>
                <c:ptCount val="9"/>
                <c:pt idx="1">
                  <c:v>3228750</c:v>
                </c:pt>
                <c:pt idx="2">
                  <c:v>3228750</c:v>
                </c:pt>
                <c:pt idx="3">
                  <c:v>3228750</c:v>
                </c:pt>
                <c:pt idx="4">
                  <c:v>3228750</c:v>
                </c:pt>
                <c:pt idx="5">
                  <c:v>3228750</c:v>
                </c:pt>
                <c:pt idx="6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1-4558-A8A9-D985BC949D13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91-4558-A8A9-D985BC949D13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91-4558-A8A9-D985BC949D13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91-4558-A8A9-D985BC949D1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91-4558-A8A9-D985BC949D1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91-4558-A8A9-D985BC949D13}"/>
                </c:ext>
              </c:extLst>
            </c:dLbl>
            <c:dLbl>
              <c:idx val="6"/>
              <c:layout>
                <c:manualLayout>
                  <c:x val="-8.5319937394060687E-17"/>
                  <c:y val="-6.172839506172843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손익표!$O$5:$O$13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1-4558-A8A9-D985BC949D13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91-4558-A8A9-D985BC949D1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91-4558-A8A9-D985BC949D1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B91-4558-A8A9-D985BC949D13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91-4558-A8A9-D985BC949D13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91-4558-A8A9-D985BC949D13}"/>
                </c:ext>
              </c:extLst>
            </c:dLbl>
            <c:dLbl>
              <c:idx val="6"/>
              <c:layout>
                <c:manualLayout>
                  <c:x val="-2.3269342641071243E-3"/>
                  <c:y val="8.64197530864197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손익표!$P$5:$P$13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91-4558-A8A9-D985BC949D13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손익표!$Q$5:$Q$13</c:f>
              <c:numCache>
                <c:formatCode>_(* #,##0_);_(* \(#,##0\);_(* "-"_);_(@_)</c:formatCode>
                <c:ptCount val="9"/>
                <c:pt idx="0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91-4558-A8A9-D985BC949D13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7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CB-414D-B146-000442F94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손익표!$R$5:$R$13</c:f>
              <c:numCache>
                <c:formatCode>_(* #,##0_);_(* \(#,##0\);_(* "-"_);_(@_)</c:formatCode>
                <c:ptCount val="9"/>
                <c:pt idx="7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91-4558-A8A9-D985BC949D13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9CB-414D-B146-000442F947BF}"/>
              </c:ext>
            </c:extLst>
          </c:dPt>
          <c:dLbls>
            <c:dLbl>
              <c:idx val="8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CB-414D-B146-000442F94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손익표!$S$5:$S$13</c:f>
              <c:numCache>
                <c:formatCode>_(* #,##0_);_(* \(#,##0\);_(* "-"_);_(@_)</c:formatCode>
                <c:ptCount val="9"/>
                <c:pt idx="8">
                  <c:v>6000000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91-4558-A8A9-D985BC949D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X$5" fmlaRange="Input!$AA$4:$AA$10" noThreeD="1" sel="4" val="0"/>
</file>

<file path=xl/ctrlProps/ctrlProp2.xml><?xml version="1.0" encoding="utf-8"?>
<formControlPr xmlns="http://schemas.microsoft.com/office/spreadsheetml/2009/9/main" objectType="CheckBox" fmlaLink="$X$23" lockText="1" noThreeD="1"/>
</file>

<file path=xl/ctrlProps/ctrlProp3.xml><?xml version="1.0" encoding="utf-8"?>
<formControlPr xmlns="http://schemas.microsoft.com/office/spreadsheetml/2009/9/main" objectType="CheckBox" fmlaLink="$X$24" lockText="1" noThreeD="1"/>
</file>

<file path=xl/ctrlProps/ctrlProp4.xml><?xml version="1.0" encoding="utf-8"?>
<formControlPr xmlns="http://schemas.microsoft.com/office/spreadsheetml/2009/9/main" objectType="CheckBox" fmlaLink="$X$25" lockText="1" noThreeD="1"/>
</file>

<file path=xl/ctrlProps/ctrlProp5.xml><?xml version="1.0" encoding="utf-8"?>
<formControlPr xmlns="http://schemas.microsoft.com/office/spreadsheetml/2009/9/main" objectType="CheckBox" fmlaLink="$X$26" lockText="1" noThreeD="1"/>
</file>

<file path=xl/ctrlProps/ctrlProp6.xml><?xml version="1.0" encoding="utf-8"?>
<formControlPr xmlns="http://schemas.microsoft.com/office/spreadsheetml/2009/9/main" objectType="CheckBox" fmlaLink="$X$27" lockText="1" noThreeD="1"/>
</file>

<file path=xl/ctrlProps/ctrlProp7.xml><?xml version="1.0" encoding="utf-8"?>
<formControlPr xmlns="http://schemas.microsoft.com/office/spreadsheetml/2009/9/main" objectType="CheckBox" fmlaLink="$X$28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61490</xdr:colOff>
      <xdr:row>1</xdr:row>
      <xdr:rowOff>47625</xdr:rowOff>
    </xdr:from>
    <xdr:to>
      <xdr:col>4</xdr:col>
      <xdr:colOff>615417</xdr:colOff>
      <xdr:row>2</xdr:row>
      <xdr:rowOff>145852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33090" y="257175"/>
          <a:ext cx="1925527" cy="3077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400"/>
            <a:t>출시 가격 책정</a:t>
          </a:r>
          <a:r>
            <a:rPr lang="en-US" altLang="ko-KR" sz="1400"/>
            <a:t>(Pricing)</a:t>
          </a:r>
        </a:p>
      </xdr:txBody>
    </xdr:sp>
    <xdr:clientData/>
  </xdr:twoCellAnchor>
  <xdr:twoCellAnchor>
    <xdr:from>
      <xdr:col>2</xdr:col>
      <xdr:colOff>0</xdr:colOff>
      <xdr:row>3</xdr:row>
      <xdr:rowOff>129897</xdr:rowOff>
    </xdr:from>
    <xdr:to>
      <xdr:col>14</xdr:col>
      <xdr:colOff>504825</xdr:colOff>
      <xdr:row>11</xdr:row>
      <xdr:rowOff>109207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371600" y="758547"/>
          <a:ext cx="8734425" cy="165571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en-US" altLang="ko-KR" sz="1200"/>
            <a:t>S&amp;I</a:t>
          </a:r>
          <a:r>
            <a:rPr lang="en-US" altLang="ko-KR" sz="1200" baseline="0"/>
            <a:t> corp. </a:t>
          </a:r>
          <a:r>
            <a:rPr lang="ko-KR" altLang="en-US" sz="1200" baseline="0"/>
            <a:t>만의 서비스가 결합된 </a:t>
          </a:r>
          <a:r>
            <a:rPr lang="ko-KR" altLang="en-US" sz="1200"/>
            <a:t>신규 상품 또는 서비스의 출시 가격은 원가를 기준으로 책정합니다</a:t>
          </a:r>
          <a:r>
            <a:rPr lang="en-US" altLang="ko-KR" sz="1200"/>
            <a:t>.</a:t>
          </a:r>
          <a:br>
            <a:rPr lang="en-US" altLang="ko-KR" sz="1200"/>
          </a:br>
          <a:r>
            <a:rPr lang="ko-KR" altLang="en-US" sz="1200"/>
            <a:t>단</a:t>
          </a:r>
          <a:r>
            <a:rPr lang="en-US" altLang="ko-KR" sz="1200"/>
            <a:t>, </a:t>
          </a:r>
          <a:r>
            <a:rPr lang="ko-KR" altLang="en-US" sz="1200"/>
            <a:t>기존 시장에 동일한 </a:t>
          </a:r>
          <a:r>
            <a:rPr lang="ko-KR" altLang="en-US" sz="1200" baseline="0"/>
            <a:t>상품 또는 서비스가 존재하는 경우는 시장 가격으로 책정합니다</a:t>
          </a:r>
          <a:r>
            <a:rPr lang="en-US" altLang="ko-KR" sz="1200" baseline="0"/>
            <a:t>.</a:t>
          </a:r>
          <a:endParaRPr lang="en-US" altLang="ko-KR" sz="1200"/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출시 가격은 원가의 </a:t>
          </a:r>
          <a:r>
            <a:rPr lang="en-US" altLang="ko-KR" sz="1200"/>
            <a:t>OO </a:t>
          </a:r>
          <a:r>
            <a:rPr lang="ko-KR" altLang="en-US" sz="1200"/>
            <a:t>배수</a:t>
          </a:r>
          <a:r>
            <a:rPr lang="en-US" altLang="ko-KR" sz="1200"/>
            <a:t>(Min)</a:t>
          </a:r>
          <a:r>
            <a:rPr lang="ko-KR" altLang="en-US" sz="1200"/>
            <a:t> 부터 원가의 </a:t>
          </a:r>
          <a:r>
            <a:rPr lang="en-US" altLang="ko-KR" sz="1200"/>
            <a:t>OO</a:t>
          </a:r>
          <a:r>
            <a:rPr lang="en-US" altLang="ko-KR" sz="1200" baseline="0"/>
            <a:t> </a:t>
          </a:r>
          <a:r>
            <a:rPr lang="ko-KR" altLang="en-US" sz="1200"/>
            <a:t>배수</a:t>
          </a:r>
          <a:r>
            <a:rPr lang="en-US" altLang="ko-KR" sz="1200"/>
            <a:t>(Max)</a:t>
          </a:r>
          <a:r>
            <a:rPr lang="ko-KR" altLang="en-US" sz="1200"/>
            <a:t> 사이에서 책정합니다</a:t>
          </a:r>
          <a:r>
            <a:rPr lang="en-US" altLang="ko-KR" sz="1200"/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출시 이후</a:t>
          </a:r>
          <a:r>
            <a:rPr lang="en-US" altLang="ko-KR" sz="1200"/>
            <a:t>,</a:t>
          </a:r>
          <a:r>
            <a:rPr lang="ko-KR" altLang="en-US" sz="1200"/>
            <a:t> 가격의 조정이 필요한 경우는 </a:t>
          </a:r>
          <a:r>
            <a:rPr lang="ko-KR" altLang="en-US" sz="1200">
              <a:latin typeface="+mn-ea"/>
            </a:rPr>
            <a:t>「</a:t>
          </a:r>
          <a:r>
            <a:rPr lang="ko-KR" altLang="en-US" sz="1200"/>
            <a:t>상품 지불 가격 수용도 및 상품 만족도 테스트</a:t>
          </a:r>
          <a:r>
            <a:rPr lang="ko-KR" altLang="en-US" sz="1200">
              <a:latin typeface="+mn-ea"/>
            </a:rPr>
            <a:t>」 </a:t>
          </a:r>
          <a:r>
            <a:rPr lang="ko-KR" altLang="en-US" sz="1200"/>
            <a:t>를 시행하여 조정합니다</a:t>
          </a:r>
          <a:r>
            <a:rPr lang="en-US" altLang="ko-KR" sz="1200"/>
            <a:t>.</a:t>
          </a:r>
          <a:endParaRPr lang="ko-KR" altLang="en-US" sz="1200"/>
        </a:p>
      </xdr:txBody>
    </xdr:sp>
    <xdr:clientData/>
  </xdr:twoCellAnchor>
  <xdr:twoCellAnchor>
    <xdr:from>
      <xdr:col>2</xdr:col>
      <xdr:colOff>53243</xdr:colOff>
      <xdr:row>2</xdr:row>
      <xdr:rowOff>145852</xdr:rowOff>
    </xdr:from>
    <xdr:to>
      <xdr:col>5</xdr:col>
      <xdr:colOff>417073</xdr:colOff>
      <xdr:row>2</xdr:row>
      <xdr:rowOff>145852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424843" y="564952"/>
          <a:ext cx="242123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180975</xdr:rowOff>
    </xdr:from>
    <xdr:to>
      <xdr:col>4</xdr:col>
      <xdr:colOff>19050</xdr:colOff>
      <xdr:row>2</xdr:row>
      <xdr:rowOff>5087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80975"/>
          <a:ext cx="1028700" cy="2908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28575</xdr:rowOff>
        </xdr:from>
        <xdr:to>
          <xdr:col>7</xdr:col>
          <xdr:colOff>238125</xdr:colOff>
          <xdr:row>5</xdr:row>
          <xdr:rowOff>19050</xdr:rowOff>
        </xdr:to>
        <xdr:sp macro="" textlink="">
          <xdr:nvSpPr>
            <xdr:cNvPr id="2189" name="Drop Dow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22</xdr:row>
          <xdr:rowOff>28575</xdr:rowOff>
        </xdr:from>
        <xdr:to>
          <xdr:col>22</xdr:col>
          <xdr:colOff>66675</xdr:colOff>
          <xdr:row>22</xdr:row>
          <xdr:rowOff>276225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23</xdr:row>
          <xdr:rowOff>38100</xdr:rowOff>
        </xdr:from>
        <xdr:to>
          <xdr:col>22</xdr:col>
          <xdr:colOff>66675</xdr:colOff>
          <xdr:row>23</xdr:row>
          <xdr:rowOff>285750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24</xdr:row>
          <xdr:rowOff>28575</xdr:rowOff>
        </xdr:from>
        <xdr:to>
          <xdr:col>22</xdr:col>
          <xdr:colOff>66675</xdr:colOff>
          <xdr:row>24</xdr:row>
          <xdr:rowOff>276225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25</xdr:row>
          <xdr:rowOff>19050</xdr:rowOff>
        </xdr:from>
        <xdr:to>
          <xdr:col>22</xdr:col>
          <xdr:colOff>66675</xdr:colOff>
          <xdr:row>25</xdr:row>
          <xdr:rowOff>266700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26</xdr:row>
          <xdr:rowOff>9525</xdr:rowOff>
        </xdr:from>
        <xdr:to>
          <xdr:col>22</xdr:col>
          <xdr:colOff>66675</xdr:colOff>
          <xdr:row>26</xdr:row>
          <xdr:rowOff>257175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200024</xdr:colOff>
          <xdr:row>12</xdr:row>
          <xdr:rowOff>0</xdr:rowOff>
        </xdr:from>
        <xdr:to>
          <xdr:col>31</xdr:col>
          <xdr:colOff>695324</xdr:colOff>
          <xdr:row>14</xdr:row>
          <xdr:rowOff>76200</xdr:rowOff>
        </xdr:to>
        <xdr:pic>
          <xdr:nvPicPr>
            <xdr:cNvPr id="9" name="그림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C$20:$D$22" spid="_x0000_s249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429624" y="2962275"/>
              <a:ext cx="29241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28</xdr:col>
      <xdr:colOff>200025</xdr:colOff>
      <xdr:row>14</xdr:row>
      <xdr:rowOff>257175</xdr:rowOff>
    </xdr:from>
    <xdr:to>
      <xdr:col>34</xdr:col>
      <xdr:colOff>800100</xdr:colOff>
      <xdr:row>26</xdr:row>
      <xdr:rowOff>95250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219075</xdr:colOff>
          <xdr:row>28</xdr:row>
          <xdr:rowOff>38100</xdr:rowOff>
        </xdr:from>
        <xdr:to>
          <xdr:col>38</xdr:col>
          <xdr:colOff>9525</xdr:colOff>
          <xdr:row>37</xdr:row>
          <xdr:rowOff>180975</xdr:rowOff>
        </xdr:to>
        <xdr:pic>
          <xdr:nvPicPr>
            <xdr:cNvPr id="16" name="그림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E$31:$K$38" spid="_x0000_s249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448675" y="7467600"/>
              <a:ext cx="7934325" cy="21907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27</xdr:row>
          <xdr:rowOff>9525</xdr:rowOff>
        </xdr:from>
        <xdr:to>
          <xdr:col>22</xdr:col>
          <xdr:colOff>66675</xdr:colOff>
          <xdr:row>27</xdr:row>
          <xdr:rowOff>257175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1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247650</xdr:colOff>
          <xdr:row>41</xdr:row>
          <xdr:rowOff>28576</xdr:rowOff>
        </xdr:from>
        <xdr:to>
          <xdr:col>38</xdr:col>
          <xdr:colOff>47625</xdr:colOff>
          <xdr:row>46</xdr:row>
          <xdr:rowOff>104776</xdr:rowOff>
        </xdr:to>
        <xdr:pic>
          <xdr:nvPicPr>
            <xdr:cNvPr id="18" name="그림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E$26:$K$29" spid="_x0000_s249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477250" y="10344151"/>
              <a:ext cx="7943850" cy="1123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13</xdr:row>
      <xdr:rowOff>95251</xdr:rowOff>
    </xdr:from>
    <xdr:to>
      <xdr:col>18</xdr:col>
      <xdr:colOff>371475</xdr:colOff>
      <xdr:row>28</xdr:row>
      <xdr:rowOff>38101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3A5F-3CA7-474A-9F25-36AB432029C8}">
  <sheetPr codeName="Sheet3"/>
  <dimension ref="A1"/>
  <sheetViews>
    <sheetView topLeftCell="B1" workbookViewId="0">
      <selection activeCell="I31" sqref="I31"/>
    </sheetView>
  </sheetViews>
  <sheetFormatPr defaultRowHeight="16.5" x14ac:dyDescent="0.3"/>
  <sheetData/>
  <dataConsolidate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AAB4-3CC9-41D2-8E99-7A7519B464F0}">
  <sheetPr codeName="Sheet1"/>
  <dimension ref="B1:AL41"/>
  <sheetViews>
    <sheetView showGridLines="0" topLeftCell="A22" zoomScaleNormal="100" workbookViewId="0">
      <selection activeCell="F22" sqref="F22:Q22"/>
    </sheetView>
  </sheetViews>
  <sheetFormatPr defaultRowHeight="16.5" x14ac:dyDescent="0.3"/>
  <cols>
    <col min="1" max="1" width="4.25" style="1" customWidth="1"/>
    <col min="2" max="2" width="4.25" style="15" customWidth="1"/>
    <col min="3" max="11" width="4.25" style="1" customWidth="1"/>
    <col min="12" max="12" width="3.25" style="1" customWidth="1"/>
    <col min="13" max="16" width="4.25" style="1" customWidth="1"/>
    <col min="17" max="17" width="6" style="1" customWidth="1"/>
    <col min="18" max="18" width="4.25" style="1" customWidth="1"/>
    <col min="19" max="19" width="3" style="1" customWidth="1"/>
    <col min="20" max="20" width="5.75" style="1" customWidth="1"/>
    <col min="21" max="21" width="4.25" style="1" customWidth="1"/>
    <col min="22" max="22" width="2.875" style="1" customWidth="1"/>
    <col min="23" max="23" width="4.25" style="1" customWidth="1"/>
    <col min="24" max="25" width="4.25" style="1" hidden="1" customWidth="1"/>
    <col min="26" max="26" width="10.5" style="1" hidden="1" customWidth="1"/>
    <col min="27" max="27" width="10.625" style="32" hidden="1" customWidth="1"/>
    <col min="28" max="35" width="10.625" style="32" customWidth="1"/>
    <col min="36" max="37" width="9" style="1"/>
    <col min="38" max="38" width="14.5" style="1" customWidth="1"/>
    <col min="39" max="16384" width="9" style="1"/>
  </cols>
  <sheetData>
    <row r="1" spans="2:32" x14ac:dyDescent="0.3">
      <c r="B1" s="14"/>
    </row>
    <row r="2" spans="2:32" ht="20.25" x14ac:dyDescent="0.3">
      <c r="E2" s="35" t="s">
        <v>518</v>
      </c>
    </row>
    <row r="3" spans="2:32" x14ac:dyDescent="0.3">
      <c r="AA3" s="48" t="s">
        <v>516</v>
      </c>
    </row>
    <row r="4" spans="2:32" ht="33" customHeight="1" x14ac:dyDescent="0.3">
      <c r="B4" s="15" t="s">
        <v>37</v>
      </c>
      <c r="AA4" s="36" t="s">
        <v>21</v>
      </c>
    </row>
    <row r="5" spans="2:32" ht="19.5" customHeight="1" x14ac:dyDescent="0.3">
      <c r="X5" s="33">
        <v>4</v>
      </c>
      <c r="Y5" s="33" t="str">
        <f>INDEX(AA4:AA10,Input!X5)</f>
        <v>Safe</v>
      </c>
      <c r="AA5" s="36" t="s">
        <v>22</v>
      </c>
    </row>
    <row r="6" spans="2:32" x14ac:dyDescent="0.3">
      <c r="AA6" s="36" t="s">
        <v>23</v>
      </c>
    </row>
    <row r="7" spans="2:32" ht="29.25" customHeight="1" x14ac:dyDescent="0.3">
      <c r="B7" s="15" t="s">
        <v>38</v>
      </c>
      <c r="AA7" s="36" t="s">
        <v>24</v>
      </c>
    </row>
    <row r="8" spans="2:32" ht="21.75" customHeight="1" x14ac:dyDescent="0.3">
      <c r="C8" s="157" t="s">
        <v>565</v>
      </c>
      <c r="D8" s="157"/>
      <c r="E8" s="157"/>
      <c r="F8" s="157"/>
      <c r="G8" s="157"/>
      <c r="H8" s="157"/>
      <c r="AA8" s="36" t="s">
        <v>25</v>
      </c>
    </row>
    <row r="9" spans="2:32" ht="21" customHeight="1" x14ac:dyDescent="0.3">
      <c r="AA9" s="36" t="s">
        <v>26</v>
      </c>
    </row>
    <row r="10" spans="2:32" x14ac:dyDescent="0.3">
      <c r="B10" s="15" t="s">
        <v>39</v>
      </c>
      <c r="AA10" s="36" t="s">
        <v>27</v>
      </c>
      <c r="AC10" s="15" t="s">
        <v>544</v>
      </c>
    </row>
    <row r="11" spans="2:32" ht="6" customHeight="1" x14ac:dyDescent="0.3"/>
    <row r="12" spans="2:32" x14ac:dyDescent="0.3">
      <c r="W12" s="2" t="s">
        <v>538</v>
      </c>
      <c r="AF12" s="2" t="s">
        <v>538</v>
      </c>
    </row>
    <row r="13" spans="2:32" ht="24" customHeight="1" x14ac:dyDescent="0.3">
      <c r="C13" s="154" t="s">
        <v>7</v>
      </c>
      <c r="D13" s="154"/>
      <c r="E13" s="154"/>
      <c r="F13" s="154"/>
      <c r="G13" s="154"/>
      <c r="H13" s="154"/>
      <c r="I13" s="154" t="s">
        <v>16</v>
      </c>
      <c r="J13" s="154"/>
      <c r="K13" s="154"/>
      <c r="L13" s="154"/>
      <c r="M13" s="154" t="s">
        <v>33</v>
      </c>
      <c r="N13" s="154"/>
      <c r="O13" s="154"/>
      <c r="P13" s="154"/>
      <c r="Q13" s="154"/>
      <c r="R13" s="154"/>
      <c r="S13" s="154"/>
      <c r="T13" s="154"/>
      <c r="U13" s="154"/>
      <c r="V13" s="154"/>
      <c r="W13" s="154"/>
    </row>
    <row r="14" spans="2:32" ht="24" customHeight="1" x14ac:dyDescent="0.3">
      <c r="C14" s="29" t="s">
        <v>28</v>
      </c>
      <c r="D14" s="19"/>
      <c r="E14" s="19"/>
      <c r="F14" s="19"/>
      <c r="G14" s="19"/>
      <c r="H14" s="20"/>
      <c r="I14" s="156">
        <v>300000</v>
      </c>
      <c r="J14" s="156"/>
      <c r="K14" s="156"/>
      <c r="L14" s="156"/>
      <c r="M14" s="31" t="s">
        <v>32</v>
      </c>
      <c r="N14" s="17"/>
      <c r="O14" s="17"/>
      <c r="P14" s="17"/>
      <c r="Q14" s="17"/>
      <c r="R14" s="17"/>
      <c r="S14" s="17"/>
      <c r="T14" s="17"/>
      <c r="U14" s="17"/>
      <c r="V14" s="17"/>
      <c r="W14" s="18"/>
    </row>
    <row r="15" spans="2:32" ht="24" customHeight="1" x14ac:dyDescent="0.3">
      <c r="C15" s="29" t="s">
        <v>29</v>
      </c>
      <c r="D15" s="19"/>
      <c r="E15" s="19"/>
      <c r="F15" s="19"/>
      <c r="G15" s="19"/>
      <c r="H15" s="20"/>
      <c r="I15" s="156">
        <v>200000</v>
      </c>
      <c r="J15" s="156"/>
      <c r="K15" s="156"/>
      <c r="L15" s="156"/>
      <c r="M15" s="31" t="s">
        <v>30</v>
      </c>
      <c r="N15" s="17"/>
      <c r="O15" s="17"/>
      <c r="P15" s="17"/>
      <c r="Q15" s="17"/>
      <c r="R15" s="17"/>
      <c r="S15" s="17"/>
      <c r="T15" s="17"/>
      <c r="U15" s="17"/>
      <c r="V15" s="17"/>
      <c r="W15" s="18"/>
    </row>
    <row r="16" spans="2:32" ht="24" customHeight="1" x14ac:dyDescent="0.3">
      <c r="C16" s="29" t="s">
        <v>568</v>
      </c>
      <c r="D16" s="19"/>
      <c r="E16" s="19"/>
      <c r="F16" s="19"/>
      <c r="G16" s="19"/>
      <c r="H16" s="20"/>
      <c r="I16" s="156">
        <v>1500000</v>
      </c>
      <c r="J16" s="156"/>
      <c r="K16" s="156"/>
      <c r="L16" s="156"/>
      <c r="M16" s="137" t="s">
        <v>567</v>
      </c>
      <c r="N16" s="17"/>
      <c r="O16" s="17"/>
      <c r="P16" s="17"/>
      <c r="Q16" s="17"/>
      <c r="R16" s="17"/>
      <c r="S16" s="17"/>
      <c r="T16" s="17"/>
      <c r="U16" s="17"/>
      <c r="V16" s="17"/>
      <c r="W16" s="18"/>
    </row>
    <row r="17" spans="2:38" ht="24" customHeight="1" x14ac:dyDescent="0.3">
      <c r="C17" s="29" t="s">
        <v>569</v>
      </c>
      <c r="D17" s="19"/>
      <c r="E17" s="19"/>
      <c r="F17" s="19"/>
      <c r="G17" s="19"/>
      <c r="H17" s="20"/>
      <c r="I17" s="156">
        <v>1000000</v>
      </c>
      <c r="J17" s="156"/>
      <c r="K17" s="156"/>
      <c r="L17" s="156"/>
      <c r="M17" s="138" t="s">
        <v>566</v>
      </c>
      <c r="N17" s="17"/>
      <c r="O17" s="17"/>
      <c r="P17" s="17"/>
      <c r="Q17" s="17"/>
      <c r="R17" s="17"/>
      <c r="S17" s="17"/>
      <c r="T17" s="17"/>
      <c r="U17" s="17"/>
      <c r="V17" s="17"/>
      <c r="W17" s="18"/>
    </row>
    <row r="18" spans="2:38" ht="19.5" customHeight="1" x14ac:dyDescent="0.3">
      <c r="C18" s="13" t="s">
        <v>34</v>
      </c>
    </row>
    <row r="20" spans="2:38" x14ac:dyDescent="0.3">
      <c r="B20" s="15" t="s">
        <v>40</v>
      </c>
      <c r="AA20" s="1"/>
    </row>
    <row r="21" spans="2:38" ht="11.25" customHeight="1" x14ac:dyDescent="0.3">
      <c r="AB21" s="1"/>
      <c r="AC21" s="1"/>
      <c r="AD21" s="1"/>
      <c r="AE21" s="1"/>
      <c r="AF21" s="1"/>
      <c r="AG21" s="1"/>
      <c r="AH21" s="1"/>
      <c r="AI21" s="1"/>
    </row>
    <row r="22" spans="2:38" ht="24" customHeight="1" x14ac:dyDescent="0.3">
      <c r="C22" s="154" t="s">
        <v>7</v>
      </c>
      <c r="D22" s="154"/>
      <c r="E22" s="154"/>
      <c r="F22" s="154" t="s">
        <v>8</v>
      </c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 t="s">
        <v>9</v>
      </c>
      <c r="S22" s="154"/>
      <c r="T22" s="154"/>
      <c r="U22" s="154" t="s">
        <v>10</v>
      </c>
      <c r="V22" s="154"/>
      <c r="W22" s="154"/>
      <c r="AB22" s="1"/>
      <c r="AC22" s="1"/>
      <c r="AD22" s="1"/>
      <c r="AE22" s="1"/>
      <c r="AF22" s="1"/>
      <c r="AG22" s="1"/>
      <c r="AH22" s="1"/>
      <c r="AI22" s="1"/>
    </row>
    <row r="23" spans="2:38" ht="24" customHeight="1" x14ac:dyDescent="0.3">
      <c r="C23" s="148" t="s">
        <v>11</v>
      </c>
      <c r="D23" s="149"/>
      <c r="E23" s="150"/>
      <c r="F23" s="30" t="s">
        <v>12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16"/>
      <c r="R23" s="155">
        <v>0.3</v>
      </c>
      <c r="S23" s="155"/>
      <c r="T23" s="155"/>
      <c r="U23" s="21"/>
      <c r="V23" s="22"/>
      <c r="W23" s="16"/>
      <c r="X23" s="33" t="b">
        <v>0</v>
      </c>
      <c r="AB23" s="1"/>
      <c r="AC23" s="1"/>
      <c r="AD23" s="1"/>
      <c r="AE23" s="1"/>
      <c r="AF23" s="1"/>
      <c r="AG23" s="1"/>
      <c r="AH23" s="1"/>
      <c r="AI23" s="1"/>
    </row>
    <row r="24" spans="2:38" ht="24" customHeight="1" x14ac:dyDescent="0.3">
      <c r="C24" s="23"/>
      <c r="D24" s="24"/>
      <c r="E24" s="25"/>
      <c r="F24" s="30" t="s">
        <v>35</v>
      </c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16"/>
      <c r="R24" s="155">
        <v>0.3</v>
      </c>
      <c r="S24" s="155"/>
      <c r="T24" s="155"/>
      <c r="U24" s="21"/>
      <c r="V24" s="22"/>
      <c r="W24" s="16"/>
      <c r="X24" s="33" t="b">
        <v>0</v>
      </c>
      <c r="AB24" s="1"/>
      <c r="AC24" s="1"/>
      <c r="AD24" s="1"/>
      <c r="AE24" s="1"/>
      <c r="AF24" s="1"/>
      <c r="AG24" s="1"/>
      <c r="AH24" s="1"/>
      <c r="AI24" s="1"/>
    </row>
    <row r="25" spans="2:38" ht="24" customHeight="1" x14ac:dyDescent="0.3">
      <c r="C25" s="26"/>
      <c r="D25" s="27"/>
      <c r="E25" s="28"/>
      <c r="F25" s="30" t="s">
        <v>36</v>
      </c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6"/>
      <c r="R25" s="155">
        <v>0.2</v>
      </c>
      <c r="S25" s="155"/>
      <c r="T25" s="155"/>
      <c r="U25" s="21"/>
      <c r="V25" s="22"/>
      <c r="W25" s="16"/>
      <c r="X25" s="33" t="b">
        <v>0</v>
      </c>
      <c r="AB25" s="1"/>
      <c r="AC25" s="1"/>
      <c r="AD25" s="1"/>
      <c r="AE25" s="1"/>
      <c r="AF25" s="1"/>
      <c r="AG25" s="1"/>
      <c r="AH25" s="1"/>
      <c r="AI25" s="1"/>
    </row>
    <row r="26" spans="2:38" ht="24" customHeight="1" x14ac:dyDescent="0.3">
      <c r="C26" s="148" t="s">
        <v>15</v>
      </c>
      <c r="D26" s="149"/>
      <c r="E26" s="150"/>
      <c r="F26" s="30" t="s">
        <v>13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16"/>
      <c r="R26" s="155">
        <v>-0.15</v>
      </c>
      <c r="S26" s="155"/>
      <c r="T26" s="155"/>
      <c r="U26" s="21"/>
      <c r="V26" s="22"/>
      <c r="W26" s="16"/>
      <c r="X26" s="33" t="b">
        <v>0</v>
      </c>
      <c r="AB26" s="1"/>
      <c r="AC26" s="1"/>
      <c r="AD26" s="1"/>
      <c r="AE26" s="1"/>
      <c r="AF26" s="1"/>
      <c r="AG26" s="1"/>
      <c r="AH26" s="1"/>
      <c r="AI26" s="1"/>
    </row>
    <row r="27" spans="2:38" ht="24" customHeight="1" thickBot="1" x14ac:dyDescent="0.35">
      <c r="C27" s="23"/>
      <c r="D27" s="24"/>
      <c r="E27" s="25"/>
      <c r="F27" s="118" t="s">
        <v>14</v>
      </c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20"/>
      <c r="R27" s="146">
        <v>-0.05</v>
      </c>
      <c r="S27" s="146"/>
      <c r="T27" s="146"/>
      <c r="U27" s="121"/>
      <c r="V27" s="119"/>
      <c r="W27" s="120"/>
      <c r="X27" s="33" t="b">
        <v>0</v>
      </c>
      <c r="AB27" s="1"/>
      <c r="AC27" s="1"/>
      <c r="AD27" s="1"/>
      <c r="AE27" s="1"/>
      <c r="AF27" s="1"/>
      <c r="AG27" s="1"/>
      <c r="AH27" s="1"/>
      <c r="AI27" s="1"/>
    </row>
    <row r="28" spans="2:38" ht="24" customHeight="1" thickBot="1" x14ac:dyDescent="0.35">
      <c r="C28" s="143" t="s">
        <v>557</v>
      </c>
      <c r="D28" s="144"/>
      <c r="E28" s="145"/>
      <c r="F28" s="122" t="s">
        <v>559</v>
      </c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4"/>
      <c r="R28" s="142">
        <v>0.1</v>
      </c>
      <c r="S28" s="142"/>
      <c r="T28" s="142"/>
      <c r="U28" s="125"/>
      <c r="V28" s="123"/>
      <c r="W28" s="126"/>
      <c r="X28" s="33" t="b">
        <v>0</v>
      </c>
      <c r="AB28" s="1"/>
      <c r="AC28" s="15" t="s">
        <v>564</v>
      </c>
      <c r="AD28" s="1"/>
      <c r="AE28" s="1"/>
      <c r="AF28" s="1"/>
      <c r="AG28" s="1"/>
      <c r="AH28" s="1"/>
      <c r="AI28" s="1"/>
      <c r="AL28" s="2" t="s">
        <v>538</v>
      </c>
    </row>
    <row r="29" spans="2:38" ht="29.25" customHeight="1" x14ac:dyDescent="0.3">
      <c r="C29" s="151" t="s">
        <v>519</v>
      </c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3"/>
      <c r="R29" s="147">
        <f>IF(SUMIF(X23:X28,TRUE,R23:T28)&lt;0,0,SUMIF(X23:X28,TRUE,R23:T28))</f>
        <v>0</v>
      </c>
      <c r="S29" s="147"/>
      <c r="T29" s="147"/>
      <c r="U29" s="139" t="s">
        <v>539</v>
      </c>
      <c r="V29" s="140"/>
      <c r="W29" s="141"/>
      <c r="X29" s="34"/>
      <c r="AB29" s="1"/>
      <c r="AC29" s="1"/>
      <c r="AD29" s="1"/>
      <c r="AE29" s="1"/>
      <c r="AF29" s="1"/>
      <c r="AG29" s="1"/>
      <c r="AH29" s="1"/>
      <c r="AI29" s="1"/>
    </row>
    <row r="41" spans="29:38" x14ac:dyDescent="0.3">
      <c r="AC41" s="44" t="s">
        <v>562</v>
      </c>
      <c r="AL41" s="2" t="s">
        <v>538</v>
      </c>
    </row>
  </sheetData>
  <mergeCells count="24">
    <mergeCell ref="I16:L16"/>
    <mergeCell ref="I17:L17"/>
    <mergeCell ref="C13:H13"/>
    <mergeCell ref="M13:W13"/>
    <mergeCell ref="C8:H8"/>
    <mergeCell ref="I13:L13"/>
    <mergeCell ref="I14:L14"/>
    <mergeCell ref="I15:L15"/>
    <mergeCell ref="U22:W22"/>
    <mergeCell ref="C23:E23"/>
    <mergeCell ref="R23:T23"/>
    <mergeCell ref="R24:T24"/>
    <mergeCell ref="R25:T25"/>
    <mergeCell ref="C26:E26"/>
    <mergeCell ref="C29:Q29"/>
    <mergeCell ref="C22:E22"/>
    <mergeCell ref="F22:Q22"/>
    <mergeCell ref="R22:T22"/>
    <mergeCell ref="R26:T26"/>
    <mergeCell ref="U29:W29"/>
    <mergeCell ref="R28:T28"/>
    <mergeCell ref="C28:E28"/>
    <mergeCell ref="R27:T27"/>
    <mergeCell ref="R29:T29"/>
  </mergeCells>
  <phoneticPr fontId="2" type="noConversion"/>
  <dataValidations count="3">
    <dataValidation type="textLength" allowBlank="1" showInputMessage="1" showErrorMessage="1" promptTitle="글자수 제한" prompt="서비스 명칭은 Max 13 글자로 제한됩니다." sqref="C8" xr:uid="{182E4508-12D3-4498-86F0-F6CD21830007}">
      <formula1>0</formula1>
      <formula2>13</formula2>
    </dataValidation>
    <dataValidation type="whole" allowBlank="1" showInputMessage="1" showErrorMessage="1" promptTitle="■ 금액제한" prompt="Max 금액은 50억원(단위:천원)입니다." sqref="I14:L17" xr:uid="{30A1275D-BC7A-4ADB-9818-86EC55790127}">
      <formula1>0</formula1>
      <formula2>5000000</formula2>
    </dataValidation>
    <dataValidation allowBlank="1" showInputMessage="1" showErrorMessage="1" promptTitle="■ 선택제한" prompt="마이너스 요율은 불가합니다." sqref="R29:T29" xr:uid="{4DEE24E1-278E-461B-ACAE-C8720EF3FA7E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9" r:id="rId4" name="Drop Down 141">
              <controlPr defaultSize="0" autoLine="0" autoPict="0">
                <anchor moveWithCells="1">
                  <from>
                    <xdr:col>2</xdr:col>
                    <xdr:colOff>9525</xdr:colOff>
                    <xdr:row>4</xdr:row>
                    <xdr:rowOff>28575</xdr:rowOff>
                  </from>
                  <to>
                    <xdr:col>7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" name="Check Box 185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22</xdr:row>
                    <xdr:rowOff>28575</xdr:rowOff>
                  </from>
                  <to>
                    <xdr:col>22</xdr:col>
                    <xdr:colOff>66675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" name="Check Box 200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23</xdr:row>
                    <xdr:rowOff>38100</xdr:rowOff>
                  </from>
                  <to>
                    <xdr:col>22</xdr:col>
                    <xdr:colOff>66675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7" name="Check Box 201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24</xdr:row>
                    <xdr:rowOff>28575</xdr:rowOff>
                  </from>
                  <to>
                    <xdr:col>22</xdr:col>
                    <xdr:colOff>66675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8" name="Check Box 202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25</xdr:row>
                    <xdr:rowOff>19050</xdr:rowOff>
                  </from>
                  <to>
                    <xdr:col>22</xdr:col>
                    <xdr:colOff>66675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9" name="Check Box 203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26</xdr:row>
                    <xdr:rowOff>9525</xdr:rowOff>
                  </from>
                  <to>
                    <xdr:col>22</xdr:col>
                    <xdr:colOff>66675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10" name="Check Box 327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27</xdr:row>
                    <xdr:rowOff>9525</xdr:rowOff>
                  </from>
                  <to>
                    <xdr:col>22</xdr:col>
                    <xdr:colOff>66675</xdr:colOff>
                    <xdr:row>27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FE771-CCF5-40D9-816D-4BC41C07AA3D}">
  <sheetPr codeName="Sheet2"/>
  <dimension ref="A1:T48"/>
  <sheetViews>
    <sheetView workbookViewId="0">
      <selection activeCell="C57" sqref="C57"/>
    </sheetView>
  </sheetViews>
  <sheetFormatPr defaultRowHeight="12.75" x14ac:dyDescent="0.2"/>
  <cols>
    <col min="1" max="1" width="16.125" style="39" customWidth="1"/>
    <col min="2" max="4" width="12.25" style="39" customWidth="1"/>
    <col min="5" max="20" width="5.5" style="39" customWidth="1"/>
    <col min="21" max="256" width="9" style="39"/>
    <col min="257" max="257" width="16.125" style="39" customWidth="1"/>
    <col min="258" max="260" width="12.25" style="39" customWidth="1"/>
    <col min="261" max="276" width="5.5" style="39" customWidth="1"/>
    <col min="277" max="512" width="9" style="39"/>
    <col min="513" max="513" width="16.125" style="39" customWidth="1"/>
    <col min="514" max="516" width="12.25" style="39" customWidth="1"/>
    <col min="517" max="532" width="5.5" style="39" customWidth="1"/>
    <col min="533" max="768" width="9" style="39"/>
    <col min="769" max="769" width="16.125" style="39" customWidth="1"/>
    <col min="770" max="772" width="12.25" style="39" customWidth="1"/>
    <col min="773" max="788" width="5.5" style="39" customWidth="1"/>
    <col min="789" max="1024" width="9" style="39"/>
    <col min="1025" max="1025" width="16.125" style="39" customWidth="1"/>
    <col min="1026" max="1028" width="12.25" style="39" customWidth="1"/>
    <col min="1029" max="1044" width="5.5" style="39" customWidth="1"/>
    <col min="1045" max="1280" width="9" style="39"/>
    <col min="1281" max="1281" width="16.125" style="39" customWidth="1"/>
    <col min="1282" max="1284" width="12.25" style="39" customWidth="1"/>
    <col min="1285" max="1300" width="5.5" style="39" customWidth="1"/>
    <col min="1301" max="1536" width="9" style="39"/>
    <col min="1537" max="1537" width="16.125" style="39" customWidth="1"/>
    <col min="1538" max="1540" width="12.25" style="39" customWidth="1"/>
    <col min="1541" max="1556" width="5.5" style="39" customWidth="1"/>
    <col min="1557" max="1792" width="9" style="39"/>
    <col min="1793" max="1793" width="16.125" style="39" customWidth="1"/>
    <col min="1794" max="1796" width="12.25" style="39" customWidth="1"/>
    <col min="1797" max="1812" width="5.5" style="39" customWidth="1"/>
    <col min="1813" max="2048" width="9" style="39"/>
    <col min="2049" max="2049" width="16.125" style="39" customWidth="1"/>
    <col min="2050" max="2052" width="12.25" style="39" customWidth="1"/>
    <col min="2053" max="2068" width="5.5" style="39" customWidth="1"/>
    <col min="2069" max="2304" width="9" style="39"/>
    <col min="2305" max="2305" width="16.125" style="39" customWidth="1"/>
    <col min="2306" max="2308" width="12.25" style="39" customWidth="1"/>
    <col min="2309" max="2324" width="5.5" style="39" customWidth="1"/>
    <col min="2325" max="2560" width="9" style="39"/>
    <col min="2561" max="2561" width="16.125" style="39" customWidth="1"/>
    <col min="2562" max="2564" width="12.25" style="39" customWidth="1"/>
    <col min="2565" max="2580" width="5.5" style="39" customWidth="1"/>
    <col min="2581" max="2816" width="9" style="39"/>
    <col min="2817" max="2817" width="16.125" style="39" customWidth="1"/>
    <col min="2818" max="2820" width="12.25" style="39" customWidth="1"/>
    <col min="2821" max="2836" width="5.5" style="39" customWidth="1"/>
    <col min="2837" max="3072" width="9" style="39"/>
    <col min="3073" max="3073" width="16.125" style="39" customWidth="1"/>
    <col min="3074" max="3076" width="12.25" style="39" customWidth="1"/>
    <col min="3077" max="3092" width="5.5" style="39" customWidth="1"/>
    <col min="3093" max="3328" width="9" style="39"/>
    <col min="3329" max="3329" width="16.125" style="39" customWidth="1"/>
    <col min="3330" max="3332" width="12.25" style="39" customWidth="1"/>
    <col min="3333" max="3348" width="5.5" style="39" customWidth="1"/>
    <col min="3349" max="3584" width="9" style="39"/>
    <col min="3585" max="3585" width="16.125" style="39" customWidth="1"/>
    <col min="3586" max="3588" width="12.25" style="39" customWidth="1"/>
    <col min="3589" max="3604" width="5.5" style="39" customWidth="1"/>
    <col min="3605" max="3840" width="9" style="39"/>
    <col min="3841" max="3841" width="16.125" style="39" customWidth="1"/>
    <col min="3842" max="3844" width="12.25" style="39" customWidth="1"/>
    <col min="3845" max="3860" width="5.5" style="39" customWidth="1"/>
    <col min="3861" max="4096" width="9" style="39"/>
    <col min="4097" max="4097" width="16.125" style="39" customWidth="1"/>
    <col min="4098" max="4100" width="12.25" style="39" customWidth="1"/>
    <col min="4101" max="4116" width="5.5" style="39" customWidth="1"/>
    <col min="4117" max="4352" width="9" style="39"/>
    <col min="4353" max="4353" width="16.125" style="39" customWidth="1"/>
    <col min="4354" max="4356" width="12.25" style="39" customWidth="1"/>
    <col min="4357" max="4372" width="5.5" style="39" customWidth="1"/>
    <col min="4373" max="4608" width="9" style="39"/>
    <col min="4609" max="4609" width="16.125" style="39" customWidth="1"/>
    <col min="4610" max="4612" width="12.25" style="39" customWidth="1"/>
    <col min="4613" max="4628" width="5.5" style="39" customWidth="1"/>
    <col min="4629" max="4864" width="9" style="39"/>
    <col min="4865" max="4865" width="16.125" style="39" customWidth="1"/>
    <col min="4866" max="4868" width="12.25" style="39" customWidth="1"/>
    <col min="4869" max="4884" width="5.5" style="39" customWidth="1"/>
    <col min="4885" max="5120" width="9" style="39"/>
    <col min="5121" max="5121" width="16.125" style="39" customWidth="1"/>
    <col min="5122" max="5124" width="12.25" style="39" customWidth="1"/>
    <col min="5125" max="5140" width="5.5" style="39" customWidth="1"/>
    <col min="5141" max="5376" width="9" style="39"/>
    <col min="5377" max="5377" width="16.125" style="39" customWidth="1"/>
    <col min="5378" max="5380" width="12.25" style="39" customWidth="1"/>
    <col min="5381" max="5396" width="5.5" style="39" customWidth="1"/>
    <col min="5397" max="5632" width="9" style="39"/>
    <col min="5633" max="5633" width="16.125" style="39" customWidth="1"/>
    <col min="5634" max="5636" width="12.25" style="39" customWidth="1"/>
    <col min="5637" max="5652" width="5.5" style="39" customWidth="1"/>
    <col min="5653" max="5888" width="9" style="39"/>
    <col min="5889" max="5889" width="16.125" style="39" customWidth="1"/>
    <col min="5890" max="5892" width="12.25" style="39" customWidth="1"/>
    <col min="5893" max="5908" width="5.5" style="39" customWidth="1"/>
    <col min="5909" max="6144" width="9" style="39"/>
    <col min="6145" max="6145" width="16.125" style="39" customWidth="1"/>
    <col min="6146" max="6148" width="12.25" style="39" customWidth="1"/>
    <col min="6149" max="6164" width="5.5" style="39" customWidth="1"/>
    <col min="6165" max="6400" width="9" style="39"/>
    <col min="6401" max="6401" width="16.125" style="39" customWidth="1"/>
    <col min="6402" max="6404" width="12.25" style="39" customWidth="1"/>
    <col min="6405" max="6420" width="5.5" style="39" customWidth="1"/>
    <col min="6421" max="6656" width="9" style="39"/>
    <col min="6657" max="6657" width="16.125" style="39" customWidth="1"/>
    <col min="6658" max="6660" width="12.25" style="39" customWidth="1"/>
    <col min="6661" max="6676" width="5.5" style="39" customWidth="1"/>
    <col min="6677" max="6912" width="9" style="39"/>
    <col min="6913" max="6913" width="16.125" style="39" customWidth="1"/>
    <col min="6914" max="6916" width="12.25" style="39" customWidth="1"/>
    <col min="6917" max="6932" width="5.5" style="39" customWidth="1"/>
    <col min="6933" max="7168" width="9" style="39"/>
    <col min="7169" max="7169" width="16.125" style="39" customWidth="1"/>
    <col min="7170" max="7172" width="12.25" style="39" customWidth="1"/>
    <col min="7173" max="7188" width="5.5" style="39" customWidth="1"/>
    <col min="7189" max="7424" width="9" style="39"/>
    <col min="7425" max="7425" width="16.125" style="39" customWidth="1"/>
    <col min="7426" max="7428" width="12.25" style="39" customWidth="1"/>
    <col min="7429" max="7444" width="5.5" style="39" customWidth="1"/>
    <col min="7445" max="7680" width="9" style="39"/>
    <col min="7681" max="7681" width="16.125" style="39" customWidth="1"/>
    <col min="7682" max="7684" width="12.25" style="39" customWidth="1"/>
    <col min="7685" max="7700" width="5.5" style="39" customWidth="1"/>
    <col min="7701" max="7936" width="9" style="39"/>
    <col min="7937" max="7937" width="16.125" style="39" customWidth="1"/>
    <col min="7938" max="7940" width="12.25" style="39" customWidth="1"/>
    <col min="7941" max="7956" width="5.5" style="39" customWidth="1"/>
    <col min="7957" max="8192" width="9" style="39"/>
    <col min="8193" max="8193" width="16.125" style="39" customWidth="1"/>
    <col min="8194" max="8196" width="12.25" style="39" customWidth="1"/>
    <col min="8197" max="8212" width="5.5" style="39" customWidth="1"/>
    <col min="8213" max="8448" width="9" style="39"/>
    <col min="8449" max="8449" width="16.125" style="39" customWidth="1"/>
    <col min="8450" max="8452" width="12.25" style="39" customWidth="1"/>
    <col min="8453" max="8468" width="5.5" style="39" customWidth="1"/>
    <col min="8469" max="8704" width="9" style="39"/>
    <col min="8705" max="8705" width="16.125" style="39" customWidth="1"/>
    <col min="8706" max="8708" width="12.25" style="39" customWidth="1"/>
    <col min="8709" max="8724" width="5.5" style="39" customWidth="1"/>
    <col min="8725" max="8960" width="9" style="39"/>
    <col min="8961" max="8961" width="16.125" style="39" customWidth="1"/>
    <col min="8962" max="8964" width="12.25" style="39" customWidth="1"/>
    <col min="8965" max="8980" width="5.5" style="39" customWidth="1"/>
    <col min="8981" max="9216" width="9" style="39"/>
    <col min="9217" max="9217" width="16.125" style="39" customWidth="1"/>
    <col min="9218" max="9220" width="12.25" style="39" customWidth="1"/>
    <col min="9221" max="9236" width="5.5" style="39" customWidth="1"/>
    <col min="9237" max="9472" width="9" style="39"/>
    <col min="9473" max="9473" width="16.125" style="39" customWidth="1"/>
    <col min="9474" max="9476" width="12.25" style="39" customWidth="1"/>
    <col min="9477" max="9492" width="5.5" style="39" customWidth="1"/>
    <col min="9493" max="9728" width="9" style="39"/>
    <col min="9729" max="9729" width="16.125" style="39" customWidth="1"/>
    <col min="9730" max="9732" width="12.25" style="39" customWidth="1"/>
    <col min="9733" max="9748" width="5.5" style="39" customWidth="1"/>
    <col min="9749" max="9984" width="9" style="39"/>
    <col min="9985" max="9985" width="16.125" style="39" customWidth="1"/>
    <col min="9986" max="9988" width="12.25" style="39" customWidth="1"/>
    <col min="9989" max="10004" width="5.5" style="39" customWidth="1"/>
    <col min="10005" max="10240" width="9" style="39"/>
    <col min="10241" max="10241" width="16.125" style="39" customWidth="1"/>
    <col min="10242" max="10244" width="12.25" style="39" customWidth="1"/>
    <col min="10245" max="10260" width="5.5" style="39" customWidth="1"/>
    <col min="10261" max="10496" width="9" style="39"/>
    <col min="10497" max="10497" width="16.125" style="39" customWidth="1"/>
    <col min="10498" max="10500" width="12.25" style="39" customWidth="1"/>
    <col min="10501" max="10516" width="5.5" style="39" customWidth="1"/>
    <col min="10517" max="10752" width="9" style="39"/>
    <col min="10753" max="10753" width="16.125" style="39" customWidth="1"/>
    <col min="10754" max="10756" width="12.25" style="39" customWidth="1"/>
    <col min="10757" max="10772" width="5.5" style="39" customWidth="1"/>
    <col min="10773" max="11008" width="9" style="39"/>
    <col min="11009" max="11009" width="16.125" style="39" customWidth="1"/>
    <col min="11010" max="11012" width="12.25" style="39" customWidth="1"/>
    <col min="11013" max="11028" width="5.5" style="39" customWidth="1"/>
    <col min="11029" max="11264" width="9" style="39"/>
    <col min="11265" max="11265" width="16.125" style="39" customWidth="1"/>
    <col min="11266" max="11268" width="12.25" style="39" customWidth="1"/>
    <col min="11269" max="11284" width="5.5" style="39" customWidth="1"/>
    <col min="11285" max="11520" width="9" style="39"/>
    <col min="11521" max="11521" width="16.125" style="39" customWidth="1"/>
    <col min="11522" max="11524" width="12.25" style="39" customWidth="1"/>
    <col min="11525" max="11540" width="5.5" style="39" customWidth="1"/>
    <col min="11541" max="11776" width="9" style="39"/>
    <col min="11777" max="11777" width="16.125" style="39" customWidth="1"/>
    <col min="11778" max="11780" width="12.25" style="39" customWidth="1"/>
    <col min="11781" max="11796" width="5.5" style="39" customWidth="1"/>
    <col min="11797" max="12032" width="9" style="39"/>
    <col min="12033" max="12033" width="16.125" style="39" customWidth="1"/>
    <col min="12034" max="12036" width="12.25" style="39" customWidth="1"/>
    <col min="12037" max="12052" width="5.5" style="39" customWidth="1"/>
    <col min="12053" max="12288" width="9" style="39"/>
    <col min="12289" max="12289" width="16.125" style="39" customWidth="1"/>
    <col min="12290" max="12292" width="12.25" style="39" customWidth="1"/>
    <col min="12293" max="12308" width="5.5" style="39" customWidth="1"/>
    <col min="12309" max="12544" width="9" style="39"/>
    <col min="12545" max="12545" width="16.125" style="39" customWidth="1"/>
    <col min="12546" max="12548" width="12.25" style="39" customWidth="1"/>
    <col min="12549" max="12564" width="5.5" style="39" customWidth="1"/>
    <col min="12565" max="12800" width="9" style="39"/>
    <col min="12801" max="12801" width="16.125" style="39" customWidth="1"/>
    <col min="12802" max="12804" width="12.25" style="39" customWidth="1"/>
    <col min="12805" max="12820" width="5.5" style="39" customWidth="1"/>
    <col min="12821" max="13056" width="9" style="39"/>
    <col min="13057" max="13057" width="16.125" style="39" customWidth="1"/>
    <col min="13058" max="13060" width="12.25" style="39" customWidth="1"/>
    <col min="13061" max="13076" width="5.5" style="39" customWidth="1"/>
    <col min="13077" max="13312" width="9" style="39"/>
    <col min="13313" max="13313" width="16.125" style="39" customWidth="1"/>
    <col min="13314" max="13316" width="12.25" style="39" customWidth="1"/>
    <col min="13317" max="13332" width="5.5" style="39" customWidth="1"/>
    <col min="13333" max="13568" width="9" style="39"/>
    <col min="13569" max="13569" width="16.125" style="39" customWidth="1"/>
    <col min="13570" max="13572" width="12.25" style="39" customWidth="1"/>
    <col min="13573" max="13588" width="5.5" style="39" customWidth="1"/>
    <col min="13589" max="13824" width="9" style="39"/>
    <col min="13825" max="13825" width="16.125" style="39" customWidth="1"/>
    <col min="13826" max="13828" width="12.25" style="39" customWidth="1"/>
    <col min="13829" max="13844" width="5.5" style="39" customWidth="1"/>
    <col min="13845" max="14080" width="9" style="39"/>
    <col min="14081" max="14081" width="16.125" style="39" customWidth="1"/>
    <col min="14082" max="14084" width="12.25" style="39" customWidth="1"/>
    <col min="14085" max="14100" width="5.5" style="39" customWidth="1"/>
    <col min="14101" max="14336" width="9" style="39"/>
    <col min="14337" max="14337" width="16.125" style="39" customWidth="1"/>
    <col min="14338" max="14340" width="12.25" style="39" customWidth="1"/>
    <col min="14341" max="14356" width="5.5" style="39" customWidth="1"/>
    <col min="14357" max="14592" width="9" style="39"/>
    <col min="14593" max="14593" width="16.125" style="39" customWidth="1"/>
    <col min="14594" max="14596" width="12.25" style="39" customWidth="1"/>
    <col min="14597" max="14612" width="5.5" style="39" customWidth="1"/>
    <col min="14613" max="14848" width="9" style="39"/>
    <col min="14849" max="14849" width="16.125" style="39" customWidth="1"/>
    <col min="14850" max="14852" width="12.25" style="39" customWidth="1"/>
    <col min="14853" max="14868" width="5.5" style="39" customWidth="1"/>
    <col min="14869" max="15104" width="9" style="39"/>
    <col min="15105" max="15105" width="16.125" style="39" customWidth="1"/>
    <col min="15106" max="15108" width="12.25" style="39" customWidth="1"/>
    <col min="15109" max="15124" width="5.5" style="39" customWidth="1"/>
    <col min="15125" max="15360" width="9" style="39"/>
    <col min="15361" max="15361" width="16.125" style="39" customWidth="1"/>
    <col min="15362" max="15364" width="12.25" style="39" customWidth="1"/>
    <col min="15365" max="15380" width="5.5" style="39" customWidth="1"/>
    <col min="15381" max="15616" width="9" style="39"/>
    <col min="15617" max="15617" width="16.125" style="39" customWidth="1"/>
    <col min="15618" max="15620" width="12.25" style="39" customWidth="1"/>
    <col min="15621" max="15636" width="5.5" style="39" customWidth="1"/>
    <col min="15637" max="15872" width="9" style="39"/>
    <col min="15873" max="15873" width="16.125" style="39" customWidth="1"/>
    <col min="15874" max="15876" width="12.25" style="39" customWidth="1"/>
    <col min="15877" max="15892" width="5.5" style="39" customWidth="1"/>
    <col min="15893" max="16128" width="9" style="39"/>
    <col min="16129" max="16129" width="16.125" style="39" customWidth="1"/>
    <col min="16130" max="16132" width="12.25" style="39" customWidth="1"/>
    <col min="16133" max="16148" width="5.5" style="39" customWidth="1"/>
    <col min="16149" max="16384" width="9" style="39"/>
  </cols>
  <sheetData>
    <row r="1" spans="1:20" ht="25.5" x14ac:dyDescent="0.2">
      <c r="A1" s="38" t="s">
        <v>53</v>
      </c>
      <c r="B1" s="38" t="s">
        <v>54</v>
      </c>
      <c r="C1" s="38" t="s">
        <v>55</v>
      </c>
      <c r="D1" s="38" t="s">
        <v>56</v>
      </c>
      <c r="E1" s="38" t="s">
        <v>57</v>
      </c>
      <c r="F1" s="38" t="s">
        <v>58</v>
      </c>
      <c r="G1" s="38" t="s">
        <v>59</v>
      </c>
      <c r="H1" s="38" t="s">
        <v>60</v>
      </c>
      <c r="I1" s="38" t="s">
        <v>61</v>
      </c>
      <c r="J1" s="38" t="s">
        <v>62</v>
      </c>
      <c r="K1" s="38" t="s">
        <v>63</v>
      </c>
      <c r="L1" s="38" t="s">
        <v>64</v>
      </c>
      <c r="M1" s="38" t="s">
        <v>65</v>
      </c>
      <c r="N1" s="38" t="s">
        <v>66</v>
      </c>
      <c r="O1" s="38" t="s">
        <v>67</v>
      </c>
      <c r="P1" s="38" t="s">
        <v>68</v>
      </c>
      <c r="Q1" s="38" t="s">
        <v>69</v>
      </c>
      <c r="R1" s="38" t="s">
        <v>70</v>
      </c>
      <c r="S1" s="38" t="s">
        <v>71</v>
      </c>
      <c r="T1" s="38" t="s">
        <v>72</v>
      </c>
    </row>
    <row r="2" spans="1:20" hidden="1" x14ac:dyDescent="0.2">
      <c r="A2" s="158" t="s">
        <v>73</v>
      </c>
      <c r="B2" s="40" t="s">
        <v>74</v>
      </c>
      <c r="C2" s="40" t="s">
        <v>75</v>
      </c>
      <c r="D2" s="40" t="s">
        <v>76</v>
      </c>
      <c r="E2" s="40" t="s">
        <v>77</v>
      </c>
      <c r="F2" s="40" t="s">
        <v>77</v>
      </c>
      <c r="G2" s="40" t="s">
        <v>78</v>
      </c>
      <c r="H2" s="40" t="s">
        <v>79</v>
      </c>
      <c r="I2" s="40" t="s">
        <v>80</v>
      </c>
      <c r="J2" s="40" t="s">
        <v>81</v>
      </c>
      <c r="K2" s="40" t="s">
        <v>82</v>
      </c>
      <c r="L2" s="40" t="s">
        <v>83</v>
      </c>
      <c r="M2" s="40" t="s">
        <v>84</v>
      </c>
      <c r="N2" s="40" t="s">
        <v>85</v>
      </c>
      <c r="O2" s="40" t="s">
        <v>86</v>
      </c>
      <c r="P2" s="40" t="s">
        <v>87</v>
      </c>
      <c r="Q2" s="40" t="s">
        <v>88</v>
      </c>
      <c r="R2" s="40" t="s">
        <v>89</v>
      </c>
      <c r="S2" s="40" t="s">
        <v>90</v>
      </c>
      <c r="T2" s="40" t="s">
        <v>91</v>
      </c>
    </row>
    <row r="3" spans="1:20" hidden="1" x14ac:dyDescent="0.2">
      <c r="A3" s="158" t="s">
        <v>73</v>
      </c>
      <c r="B3" s="40" t="s">
        <v>92</v>
      </c>
      <c r="C3" s="40" t="s">
        <v>0</v>
      </c>
      <c r="D3" s="40" t="s">
        <v>76</v>
      </c>
      <c r="E3" s="40" t="s">
        <v>93</v>
      </c>
      <c r="F3" s="40" t="s">
        <v>93</v>
      </c>
      <c r="G3" s="40" t="s">
        <v>94</v>
      </c>
      <c r="H3" s="40" t="s">
        <v>95</v>
      </c>
      <c r="I3" s="40" t="s">
        <v>96</v>
      </c>
      <c r="J3" s="40" t="s">
        <v>97</v>
      </c>
      <c r="K3" s="40" t="s">
        <v>98</v>
      </c>
      <c r="L3" s="40" t="s">
        <v>98</v>
      </c>
      <c r="M3" s="40" t="s">
        <v>99</v>
      </c>
      <c r="N3" s="40" t="s">
        <v>100</v>
      </c>
      <c r="O3" s="40" t="s">
        <v>101</v>
      </c>
      <c r="P3" s="40" t="s">
        <v>102</v>
      </c>
      <c r="Q3" s="40" t="s">
        <v>0</v>
      </c>
      <c r="R3" s="40" t="s">
        <v>0</v>
      </c>
      <c r="S3" s="40" t="s">
        <v>0</v>
      </c>
      <c r="T3" s="40" t="s">
        <v>0</v>
      </c>
    </row>
    <row r="4" spans="1:20" hidden="1" x14ac:dyDescent="0.2">
      <c r="A4" s="158" t="s">
        <v>73</v>
      </c>
      <c r="B4" s="40" t="s">
        <v>103</v>
      </c>
      <c r="C4" s="40" t="s">
        <v>104</v>
      </c>
      <c r="D4" s="40" t="s">
        <v>76</v>
      </c>
      <c r="E4" s="40" t="s">
        <v>80</v>
      </c>
      <c r="F4" s="40" t="s">
        <v>80</v>
      </c>
      <c r="G4" s="40" t="s">
        <v>105</v>
      </c>
      <c r="H4" s="40" t="s">
        <v>78</v>
      </c>
      <c r="I4" s="40" t="s">
        <v>106</v>
      </c>
      <c r="J4" s="40" t="s">
        <v>107</v>
      </c>
      <c r="K4" s="40" t="s">
        <v>108</v>
      </c>
      <c r="L4" s="40" t="s">
        <v>108</v>
      </c>
      <c r="M4" s="40" t="s">
        <v>109</v>
      </c>
      <c r="N4" s="40" t="s">
        <v>110</v>
      </c>
      <c r="O4" s="40" t="s">
        <v>0</v>
      </c>
      <c r="P4" s="40" t="s">
        <v>0</v>
      </c>
      <c r="Q4" s="40" t="s">
        <v>0</v>
      </c>
      <c r="R4" s="40" t="s">
        <v>0</v>
      </c>
      <c r="S4" s="40" t="s">
        <v>0</v>
      </c>
      <c r="T4" s="40" t="s">
        <v>0</v>
      </c>
    </row>
    <row r="5" spans="1:20" hidden="1" x14ac:dyDescent="0.2">
      <c r="A5" s="158" t="s">
        <v>111</v>
      </c>
      <c r="B5" s="40" t="s">
        <v>112</v>
      </c>
      <c r="C5" s="40" t="s">
        <v>0</v>
      </c>
      <c r="D5" s="40" t="s">
        <v>76</v>
      </c>
      <c r="E5" s="40" t="s">
        <v>105</v>
      </c>
      <c r="F5" s="40" t="s">
        <v>105</v>
      </c>
      <c r="G5" s="40" t="s">
        <v>113</v>
      </c>
      <c r="H5" s="40" t="s">
        <v>114</v>
      </c>
      <c r="I5" s="40" t="s">
        <v>115</v>
      </c>
      <c r="J5" s="40" t="s">
        <v>116</v>
      </c>
      <c r="K5" s="40" t="s">
        <v>117</v>
      </c>
      <c r="L5" s="40" t="s">
        <v>118</v>
      </c>
      <c r="M5" s="40" t="s">
        <v>119</v>
      </c>
      <c r="N5" s="40" t="s">
        <v>120</v>
      </c>
      <c r="O5" s="40" t="s">
        <v>121</v>
      </c>
      <c r="P5" s="40" t="s">
        <v>0</v>
      </c>
      <c r="Q5" s="40" t="s">
        <v>0</v>
      </c>
      <c r="R5" s="40" t="s">
        <v>0</v>
      </c>
      <c r="S5" s="40" t="s">
        <v>0</v>
      </c>
      <c r="T5" s="40" t="s">
        <v>0</v>
      </c>
    </row>
    <row r="6" spans="1:20" hidden="1" x14ac:dyDescent="0.2">
      <c r="A6" s="158" t="s">
        <v>111</v>
      </c>
      <c r="B6" s="40" t="s">
        <v>122</v>
      </c>
      <c r="C6" s="40" t="s">
        <v>123</v>
      </c>
      <c r="D6" s="40" t="s">
        <v>76</v>
      </c>
      <c r="E6" s="40" t="s">
        <v>105</v>
      </c>
      <c r="F6" s="40" t="s">
        <v>105</v>
      </c>
      <c r="G6" s="40" t="s">
        <v>113</v>
      </c>
      <c r="H6" s="40" t="s">
        <v>114</v>
      </c>
      <c r="I6" s="40" t="s">
        <v>115</v>
      </c>
      <c r="J6" s="40" t="s">
        <v>116</v>
      </c>
      <c r="K6" s="40" t="s">
        <v>117</v>
      </c>
      <c r="L6" s="40" t="s">
        <v>118</v>
      </c>
      <c r="M6" s="40" t="s">
        <v>119</v>
      </c>
      <c r="N6" s="40" t="s">
        <v>120</v>
      </c>
      <c r="O6" s="40" t="s">
        <v>0</v>
      </c>
      <c r="P6" s="40" t="s">
        <v>0</v>
      </c>
      <c r="Q6" s="40" t="s">
        <v>0</v>
      </c>
      <c r="R6" s="40" t="s">
        <v>0</v>
      </c>
      <c r="S6" s="40" t="s">
        <v>0</v>
      </c>
      <c r="T6" s="40" t="s">
        <v>0</v>
      </c>
    </row>
    <row r="7" spans="1:20" hidden="1" x14ac:dyDescent="0.2">
      <c r="A7" s="158" t="s">
        <v>124</v>
      </c>
      <c r="B7" s="158" t="s">
        <v>125</v>
      </c>
      <c r="C7" s="40" t="s">
        <v>126</v>
      </c>
      <c r="D7" s="40" t="s">
        <v>76</v>
      </c>
      <c r="E7" s="40" t="s">
        <v>127</v>
      </c>
      <c r="F7" s="40" t="s">
        <v>128</v>
      </c>
      <c r="G7" s="40" t="s">
        <v>129</v>
      </c>
      <c r="H7" s="40" t="s">
        <v>130</v>
      </c>
      <c r="I7" s="40" t="s">
        <v>131</v>
      </c>
      <c r="J7" s="40" t="s">
        <v>132</v>
      </c>
      <c r="K7" s="40" t="s">
        <v>133</v>
      </c>
      <c r="L7" s="40" t="s">
        <v>134</v>
      </c>
      <c r="M7" s="40" t="s">
        <v>115</v>
      </c>
      <c r="N7" s="40" t="s">
        <v>135</v>
      </c>
      <c r="O7" s="40" t="s">
        <v>119</v>
      </c>
      <c r="P7" s="40" t="s">
        <v>120</v>
      </c>
      <c r="Q7" s="40" t="s">
        <v>136</v>
      </c>
      <c r="R7" s="40" t="s">
        <v>137</v>
      </c>
      <c r="S7" s="40" t="s">
        <v>0</v>
      </c>
      <c r="T7" s="40" t="s">
        <v>0</v>
      </c>
    </row>
    <row r="8" spans="1:20" hidden="1" x14ac:dyDescent="0.2">
      <c r="A8" s="158" t="s">
        <v>124</v>
      </c>
      <c r="B8" s="158" t="s">
        <v>125</v>
      </c>
      <c r="C8" s="40" t="s">
        <v>138</v>
      </c>
      <c r="D8" s="40" t="s">
        <v>76</v>
      </c>
      <c r="E8" s="40" t="s">
        <v>139</v>
      </c>
      <c r="F8" s="40" t="s">
        <v>140</v>
      </c>
      <c r="G8" s="40" t="s">
        <v>141</v>
      </c>
      <c r="H8" s="40" t="s">
        <v>142</v>
      </c>
      <c r="I8" s="40" t="s">
        <v>116</v>
      </c>
      <c r="J8" s="40" t="s">
        <v>143</v>
      </c>
      <c r="K8" s="40" t="s">
        <v>140</v>
      </c>
      <c r="L8" s="40" t="s">
        <v>144</v>
      </c>
      <c r="M8" s="40" t="s">
        <v>141</v>
      </c>
      <c r="N8" s="40" t="s">
        <v>142</v>
      </c>
      <c r="O8" s="40" t="s">
        <v>145</v>
      </c>
      <c r="P8" s="40" t="s">
        <v>146</v>
      </c>
      <c r="Q8" s="40" t="s">
        <v>147</v>
      </c>
      <c r="R8" s="40" t="s">
        <v>148</v>
      </c>
      <c r="S8" s="40" t="s">
        <v>149</v>
      </c>
      <c r="T8" s="40" t="s">
        <v>0</v>
      </c>
    </row>
    <row r="9" spans="1:20" hidden="1" x14ac:dyDescent="0.2">
      <c r="A9" s="158" t="s">
        <v>124</v>
      </c>
      <c r="B9" s="158" t="s">
        <v>125</v>
      </c>
      <c r="C9" s="40" t="s">
        <v>150</v>
      </c>
      <c r="D9" s="40" t="s">
        <v>76</v>
      </c>
      <c r="E9" s="40" t="s">
        <v>151</v>
      </c>
      <c r="F9" s="40" t="s">
        <v>152</v>
      </c>
      <c r="G9" s="40" t="s">
        <v>153</v>
      </c>
      <c r="H9" s="40" t="s">
        <v>154</v>
      </c>
      <c r="I9" s="40" t="s">
        <v>155</v>
      </c>
      <c r="J9" s="40" t="s">
        <v>156</v>
      </c>
      <c r="K9" s="40" t="s">
        <v>156</v>
      </c>
      <c r="L9" s="40" t="s">
        <v>157</v>
      </c>
      <c r="M9" s="40" t="s">
        <v>158</v>
      </c>
      <c r="N9" s="40" t="s">
        <v>159</v>
      </c>
      <c r="O9" s="40" t="s">
        <v>160</v>
      </c>
      <c r="P9" s="40" t="s">
        <v>161</v>
      </c>
      <c r="Q9" s="40" t="s">
        <v>162</v>
      </c>
      <c r="R9" s="40" t="s">
        <v>163</v>
      </c>
      <c r="S9" s="40" t="s">
        <v>0</v>
      </c>
      <c r="T9" s="40" t="s">
        <v>0</v>
      </c>
    </row>
    <row r="10" spans="1:20" hidden="1" x14ac:dyDescent="0.2">
      <c r="A10" s="158" t="s">
        <v>124</v>
      </c>
      <c r="B10" s="158" t="s">
        <v>125</v>
      </c>
      <c r="C10" s="40" t="s">
        <v>164</v>
      </c>
      <c r="D10" s="40" t="s">
        <v>76</v>
      </c>
      <c r="E10" s="40" t="s">
        <v>165</v>
      </c>
      <c r="F10" s="40" t="s">
        <v>166</v>
      </c>
      <c r="G10" s="40" t="s">
        <v>167</v>
      </c>
      <c r="H10" s="40" t="s">
        <v>168</v>
      </c>
      <c r="I10" s="40" t="s">
        <v>160</v>
      </c>
      <c r="J10" s="40" t="s">
        <v>169</v>
      </c>
      <c r="K10" s="40" t="s">
        <v>169</v>
      </c>
      <c r="L10" s="40" t="s">
        <v>170</v>
      </c>
      <c r="M10" s="40" t="s">
        <v>171</v>
      </c>
      <c r="N10" s="40" t="s">
        <v>172</v>
      </c>
      <c r="O10" s="40" t="s">
        <v>173</v>
      </c>
      <c r="P10" s="40" t="s">
        <v>174</v>
      </c>
      <c r="Q10" s="40" t="s">
        <v>175</v>
      </c>
      <c r="R10" s="40" t="s">
        <v>176</v>
      </c>
      <c r="S10" s="40" t="s">
        <v>0</v>
      </c>
      <c r="T10" s="40" t="s">
        <v>0</v>
      </c>
    </row>
    <row r="11" spans="1:20" hidden="1" x14ac:dyDescent="0.2">
      <c r="A11" s="158" t="s">
        <v>124</v>
      </c>
      <c r="B11" s="40" t="s">
        <v>177</v>
      </c>
      <c r="C11" s="40" t="s">
        <v>178</v>
      </c>
      <c r="D11" s="40" t="s">
        <v>76</v>
      </c>
      <c r="E11" s="40" t="s">
        <v>139</v>
      </c>
      <c r="F11" s="40" t="s">
        <v>140</v>
      </c>
      <c r="G11" s="40" t="s">
        <v>141</v>
      </c>
      <c r="H11" s="40" t="s">
        <v>142</v>
      </c>
      <c r="I11" s="40" t="s">
        <v>116</v>
      </c>
      <c r="J11" s="40" t="s">
        <v>143</v>
      </c>
      <c r="K11" s="40" t="s">
        <v>179</v>
      </c>
      <c r="L11" s="40" t="s">
        <v>151</v>
      </c>
      <c r="M11" s="40" t="s">
        <v>141</v>
      </c>
      <c r="N11" s="40" t="s">
        <v>142</v>
      </c>
      <c r="O11" s="40" t="s">
        <v>145</v>
      </c>
      <c r="P11" s="40" t="s">
        <v>146</v>
      </c>
      <c r="Q11" s="40" t="s">
        <v>147</v>
      </c>
      <c r="R11" s="40" t="s">
        <v>148</v>
      </c>
      <c r="S11" s="40" t="s">
        <v>149</v>
      </c>
      <c r="T11" s="40" t="s">
        <v>0</v>
      </c>
    </row>
    <row r="12" spans="1:20" hidden="1" x14ac:dyDescent="0.2">
      <c r="A12" s="40" t="s">
        <v>180</v>
      </c>
      <c r="B12" s="40" t="s">
        <v>0</v>
      </c>
      <c r="C12" s="40" t="s">
        <v>0</v>
      </c>
      <c r="D12" s="40" t="s">
        <v>76</v>
      </c>
      <c r="E12" s="40" t="s">
        <v>181</v>
      </c>
      <c r="F12" s="40" t="s">
        <v>182</v>
      </c>
      <c r="G12" s="40" t="s">
        <v>183</v>
      </c>
      <c r="H12" s="40" t="s">
        <v>184</v>
      </c>
      <c r="I12" s="40" t="s">
        <v>185</v>
      </c>
      <c r="J12" s="40" t="s">
        <v>186</v>
      </c>
      <c r="K12" s="40" t="s">
        <v>187</v>
      </c>
      <c r="L12" s="40" t="s">
        <v>188</v>
      </c>
      <c r="M12" s="40" t="s">
        <v>0</v>
      </c>
      <c r="N12" s="40" t="s">
        <v>0</v>
      </c>
      <c r="O12" s="40" t="s">
        <v>0</v>
      </c>
      <c r="P12" s="40" t="s">
        <v>0</v>
      </c>
      <c r="Q12" s="40" t="s">
        <v>0</v>
      </c>
      <c r="R12" s="40" t="s">
        <v>0</v>
      </c>
      <c r="S12" s="40" t="s">
        <v>0</v>
      </c>
      <c r="T12" s="40" t="s">
        <v>0</v>
      </c>
    </row>
    <row r="13" spans="1:20" hidden="1" x14ac:dyDescent="0.2">
      <c r="A13" s="158" t="s">
        <v>189</v>
      </c>
      <c r="B13" s="158" t="s">
        <v>190</v>
      </c>
      <c r="C13" s="40" t="s">
        <v>191</v>
      </c>
      <c r="D13" s="40" t="s">
        <v>76</v>
      </c>
      <c r="E13" s="40" t="s">
        <v>192</v>
      </c>
      <c r="F13" s="40" t="s">
        <v>193</v>
      </c>
      <c r="G13" s="40" t="s">
        <v>194</v>
      </c>
      <c r="H13" s="40" t="s">
        <v>195</v>
      </c>
      <c r="I13" s="40" t="s">
        <v>151</v>
      </c>
      <c r="J13" s="40" t="s">
        <v>196</v>
      </c>
      <c r="K13" s="40" t="s">
        <v>133</v>
      </c>
      <c r="L13" s="40" t="s">
        <v>197</v>
      </c>
      <c r="M13" s="40" t="s">
        <v>119</v>
      </c>
      <c r="N13" s="40" t="s">
        <v>198</v>
      </c>
      <c r="O13" s="40" t="s">
        <v>199</v>
      </c>
      <c r="P13" s="40" t="s">
        <v>200</v>
      </c>
      <c r="Q13" s="40" t="s">
        <v>201</v>
      </c>
      <c r="R13" s="40" t="s">
        <v>202</v>
      </c>
      <c r="S13" s="40" t="s">
        <v>0</v>
      </c>
      <c r="T13" s="40" t="s">
        <v>0</v>
      </c>
    </row>
    <row r="14" spans="1:20" hidden="1" x14ac:dyDescent="0.2">
      <c r="A14" s="158" t="s">
        <v>189</v>
      </c>
      <c r="B14" s="158" t="s">
        <v>190</v>
      </c>
      <c r="C14" s="40" t="s">
        <v>203</v>
      </c>
      <c r="D14" s="40" t="s">
        <v>76</v>
      </c>
      <c r="E14" s="40" t="s">
        <v>192</v>
      </c>
      <c r="F14" s="40" t="s">
        <v>193</v>
      </c>
      <c r="G14" s="40" t="s">
        <v>194</v>
      </c>
      <c r="H14" s="40" t="s">
        <v>195</v>
      </c>
      <c r="I14" s="40" t="s">
        <v>151</v>
      </c>
      <c r="J14" s="40" t="s">
        <v>196</v>
      </c>
      <c r="K14" s="40" t="s">
        <v>133</v>
      </c>
      <c r="L14" s="40" t="s">
        <v>197</v>
      </c>
      <c r="M14" s="40" t="s">
        <v>204</v>
      </c>
      <c r="N14" s="40" t="s">
        <v>205</v>
      </c>
      <c r="O14" s="40" t="s">
        <v>206</v>
      </c>
      <c r="P14" s="40" t="s">
        <v>207</v>
      </c>
      <c r="Q14" s="40" t="s">
        <v>208</v>
      </c>
      <c r="R14" s="40" t="s">
        <v>209</v>
      </c>
      <c r="S14" s="40" t="s">
        <v>0</v>
      </c>
      <c r="T14" s="40" t="s">
        <v>0</v>
      </c>
    </row>
    <row r="15" spans="1:20" hidden="1" x14ac:dyDescent="0.2">
      <c r="A15" s="158" t="s">
        <v>189</v>
      </c>
      <c r="B15" s="158" t="s">
        <v>190</v>
      </c>
      <c r="C15" s="40" t="s">
        <v>138</v>
      </c>
      <c r="D15" s="40" t="s">
        <v>76</v>
      </c>
      <c r="E15" s="40" t="s">
        <v>210</v>
      </c>
      <c r="F15" s="40" t="s">
        <v>211</v>
      </c>
      <c r="G15" s="40" t="s">
        <v>212</v>
      </c>
      <c r="H15" s="40" t="s">
        <v>213</v>
      </c>
      <c r="I15" s="40" t="s">
        <v>214</v>
      </c>
      <c r="J15" s="40" t="s">
        <v>215</v>
      </c>
      <c r="K15" s="40" t="s">
        <v>216</v>
      </c>
      <c r="L15" s="40" t="s">
        <v>217</v>
      </c>
      <c r="M15" s="40" t="s">
        <v>218</v>
      </c>
      <c r="N15" s="40" t="s">
        <v>219</v>
      </c>
      <c r="O15" s="40" t="s">
        <v>220</v>
      </c>
      <c r="P15" s="40" t="s">
        <v>221</v>
      </c>
      <c r="Q15" s="40" t="s">
        <v>222</v>
      </c>
      <c r="R15" s="40" t="s">
        <v>223</v>
      </c>
      <c r="S15" s="40" t="s">
        <v>0</v>
      </c>
      <c r="T15" s="40" t="s">
        <v>0</v>
      </c>
    </row>
    <row r="16" spans="1:20" hidden="1" x14ac:dyDescent="0.2">
      <c r="A16" s="158" t="s">
        <v>189</v>
      </c>
      <c r="B16" s="158" t="s">
        <v>190</v>
      </c>
      <c r="C16" s="40" t="s">
        <v>164</v>
      </c>
      <c r="D16" s="40" t="s">
        <v>76</v>
      </c>
      <c r="E16" s="40" t="s">
        <v>224</v>
      </c>
      <c r="F16" s="40" t="s">
        <v>225</v>
      </c>
      <c r="G16" s="40" t="s">
        <v>226</v>
      </c>
      <c r="H16" s="40" t="s">
        <v>227</v>
      </c>
      <c r="I16" s="40" t="s">
        <v>228</v>
      </c>
      <c r="J16" s="40" t="s">
        <v>229</v>
      </c>
      <c r="K16" s="40" t="s">
        <v>230</v>
      </c>
      <c r="L16" s="40" t="s">
        <v>231</v>
      </c>
      <c r="M16" s="40" t="s">
        <v>232</v>
      </c>
      <c r="N16" s="40" t="s">
        <v>233</v>
      </c>
      <c r="O16" s="40" t="s">
        <v>234</v>
      </c>
      <c r="P16" s="40" t="s">
        <v>235</v>
      </c>
      <c r="Q16" s="40" t="s">
        <v>236</v>
      </c>
      <c r="R16" s="40" t="s">
        <v>237</v>
      </c>
      <c r="S16" s="40" t="s">
        <v>0</v>
      </c>
      <c r="T16" s="40" t="s">
        <v>0</v>
      </c>
    </row>
    <row r="17" spans="1:20" hidden="1" x14ac:dyDescent="0.2">
      <c r="A17" s="158" t="s">
        <v>189</v>
      </c>
      <c r="B17" s="158" t="s">
        <v>190</v>
      </c>
      <c r="C17" s="40" t="s">
        <v>238</v>
      </c>
      <c r="D17" s="40" t="s">
        <v>76</v>
      </c>
      <c r="E17" s="40" t="s">
        <v>239</v>
      </c>
      <c r="F17" s="40" t="s">
        <v>240</v>
      </c>
      <c r="G17" s="40" t="s">
        <v>241</v>
      </c>
      <c r="H17" s="40" t="s">
        <v>242</v>
      </c>
      <c r="I17" s="40" t="s">
        <v>243</v>
      </c>
      <c r="J17" s="40" t="s">
        <v>244</v>
      </c>
      <c r="K17" s="40" t="s">
        <v>245</v>
      </c>
      <c r="L17" s="40" t="s">
        <v>246</v>
      </c>
      <c r="M17" s="40" t="s">
        <v>247</v>
      </c>
      <c r="N17" s="40" t="s">
        <v>248</v>
      </c>
      <c r="O17" s="40" t="s">
        <v>249</v>
      </c>
      <c r="P17" s="40" t="s">
        <v>250</v>
      </c>
      <c r="Q17" s="40" t="s">
        <v>251</v>
      </c>
      <c r="R17" s="40" t="s">
        <v>252</v>
      </c>
      <c r="S17" s="40" t="s">
        <v>0</v>
      </c>
      <c r="T17" s="40" t="s">
        <v>0</v>
      </c>
    </row>
    <row r="18" spans="1:20" hidden="1" x14ac:dyDescent="0.2">
      <c r="A18" s="158" t="s">
        <v>253</v>
      </c>
      <c r="B18" s="158" t="s">
        <v>190</v>
      </c>
      <c r="C18" s="40" t="s">
        <v>150</v>
      </c>
      <c r="D18" s="40" t="s">
        <v>76</v>
      </c>
      <c r="E18" s="40" t="s">
        <v>137</v>
      </c>
      <c r="F18" s="40" t="s">
        <v>254</v>
      </c>
      <c r="G18" s="40" t="s">
        <v>255</v>
      </c>
      <c r="H18" s="40" t="s">
        <v>256</v>
      </c>
      <c r="I18" s="40" t="s">
        <v>257</v>
      </c>
      <c r="J18" s="40" t="s">
        <v>258</v>
      </c>
      <c r="K18" s="40" t="s">
        <v>259</v>
      </c>
      <c r="L18" s="40" t="s">
        <v>260</v>
      </c>
      <c r="M18" s="40" t="s">
        <v>172</v>
      </c>
      <c r="N18" s="40" t="s">
        <v>261</v>
      </c>
      <c r="O18" s="40" t="s">
        <v>262</v>
      </c>
      <c r="P18" s="40" t="s">
        <v>263</v>
      </c>
      <c r="Q18" s="40" t="s">
        <v>0</v>
      </c>
      <c r="R18" s="40" t="s">
        <v>0</v>
      </c>
      <c r="S18" s="40" t="s">
        <v>0</v>
      </c>
      <c r="T18" s="40" t="s">
        <v>0</v>
      </c>
    </row>
    <row r="19" spans="1:20" hidden="1" x14ac:dyDescent="0.2">
      <c r="A19" s="158" t="s">
        <v>253</v>
      </c>
      <c r="B19" s="158" t="s">
        <v>190</v>
      </c>
      <c r="C19" s="40" t="s">
        <v>264</v>
      </c>
      <c r="D19" s="40" t="s">
        <v>76</v>
      </c>
      <c r="E19" s="40" t="s">
        <v>265</v>
      </c>
      <c r="F19" s="40" t="s">
        <v>266</v>
      </c>
      <c r="G19" s="40" t="s">
        <v>267</v>
      </c>
      <c r="H19" s="40" t="s">
        <v>268</v>
      </c>
      <c r="I19" s="40" t="s">
        <v>269</v>
      </c>
      <c r="J19" s="40" t="s">
        <v>270</v>
      </c>
      <c r="K19" s="40" t="s">
        <v>271</v>
      </c>
      <c r="L19" s="40" t="s">
        <v>272</v>
      </c>
      <c r="M19" s="40" t="s">
        <v>273</v>
      </c>
      <c r="N19" s="40" t="s">
        <v>274</v>
      </c>
      <c r="O19" s="40" t="s">
        <v>275</v>
      </c>
      <c r="P19" s="40" t="s">
        <v>276</v>
      </c>
      <c r="Q19" s="40" t="s">
        <v>0</v>
      </c>
      <c r="R19" s="40" t="s">
        <v>0</v>
      </c>
      <c r="S19" s="40" t="s">
        <v>0</v>
      </c>
      <c r="T19" s="40" t="s">
        <v>0</v>
      </c>
    </row>
    <row r="20" spans="1:20" hidden="1" x14ac:dyDescent="0.2">
      <c r="A20" s="158" t="s">
        <v>253</v>
      </c>
      <c r="B20" s="158" t="s">
        <v>190</v>
      </c>
      <c r="C20" s="40" t="s">
        <v>277</v>
      </c>
      <c r="D20" s="40" t="s">
        <v>76</v>
      </c>
      <c r="E20" s="40" t="s">
        <v>278</v>
      </c>
      <c r="F20" s="40" t="s">
        <v>279</v>
      </c>
      <c r="G20" s="40" t="s">
        <v>280</v>
      </c>
      <c r="H20" s="40" t="s">
        <v>281</v>
      </c>
      <c r="I20" s="40" t="s">
        <v>282</v>
      </c>
      <c r="J20" s="40" t="s">
        <v>283</v>
      </c>
      <c r="K20" s="40" t="s">
        <v>284</v>
      </c>
      <c r="L20" s="40" t="s">
        <v>285</v>
      </c>
      <c r="M20" s="40" t="s">
        <v>286</v>
      </c>
      <c r="N20" s="40" t="s">
        <v>287</v>
      </c>
      <c r="O20" s="40" t="s">
        <v>288</v>
      </c>
      <c r="P20" s="40" t="s">
        <v>289</v>
      </c>
      <c r="Q20" s="40" t="s">
        <v>0</v>
      </c>
      <c r="R20" s="40" t="s">
        <v>0</v>
      </c>
      <c r="S20" s="40" t="s">
        <v>0</v>
      </c>
      <c r="T20" s="40" t="s">
        <v>0</v>
      </c>
    </row>
    <row r="21" spans="1:20" hidden="1" x14ac:dyDescent="0.2">
      <c r="A21" s="158" t="s">
        <v>253</v>
      </c>
      <c r="B21" s="158" t="s">
        <v>190</v>
      </c>
      <c r="C21" s="40" t="s">
        <v>238</v>
      </c>
      <c r="D21" s="40" t="s">
        <v>76</v>
      </c>
      <c r="E21" s="40" t="s">
        <v>290</v>
      </c>
      <c r="F21" s="40" t="s">
        <v>291</v>
      </c>
      <c r="G21" s="40" t="s">
        <v>292</v>
      </c>
      <c r="H21" s="40" t="s">
        <v>293</v>
      </c>
      <c r="I21" s="40" t="s">
        <v>294</v>
      </c>
      <c r="J21" s="40" t="s">
        <v>295</v>
      </c>
      <c r="K21" s="40" t="s">
        <v>296</v>
      </c>
      <c r="L21" s="40" t="s">
        <v>297</v>
      </c>
      <c r="M21" s="40" t="s">
        <v>298</v>
      </c>
      <c r="N21" s="40" t="s">
        <v>299</v>
      </c>
      <c r="O21" s="40" t="s">
        <v>300</v>
      </c>
      <c r="P21" s="40" t="s">
        <v>301</v>
      </c>
      <c r="Q21" s="40" t="s">
        <v>0</v>
      </c>
      <c r="R21" s="40" t="s">
        <v>0</v>
      </c>
      <c r="S21" s="40" t="s">
        <v>0</v>
      </c>
      <c r="T21" s="40" t="s">
        <v>0</v>
      </c>
    </row>
    <row r="22" spans="1:20" hidden="1" x14ac:dyDescent="0.2">
      <c r="A22" s="158" t="s">
        <v>253</v>
      </c>
      <c r="B22" s="158" t="s">
        <v>190</v>
      </c>
      <c r="C22" s="40" t="s">
        <v>302</v>
      </c>
      <c r="D22" s="40" t="s">
        <v>76</v>
      </c>
      <c r="E22" s="40" t="s">
        <v>303</v>
      </c>
      <c r="F22" s="40" t="s">
        <v>304</v>
      </c>
      <c r="G22" s="40" t="s">
        <v>305</v>
      </c>
      <c r="H22" s="40" t="s">
        <v>306</v>
      </c>
      <c r="I22" s="40" t="s">
        <v>307</v>
      </c>
      <c r="J22" s="40" t="s">
        <v>308</v>
      </c>
      <c r="K22" s="40" t="s">
        <v>309</v>
      </c>
      <c r="L22" s="40" t="s">
        <v>310</v>
      </c>
      <c r="M22" s="40" t="s">
        <v>311</v>
      </c>
      <c r="N22" s="40" t="s">
        <v>312</v>
      </c>
      <c r="O22" s="40" t="s">
        <v>313</v>
      </c>
      <c r="P22" s="40" t="s">
        <v>314</v>
      </c>
      <c r="Q22" s="40" t="s">
        <v>0</v>
      </c>
      <c r="R22" s="40" t="s">
        <v>0</v>
      </c>
      <c r="S22" s="40" t="s">
        <v>0</v>
      </c>
      <c r="T22" s="40" t="s">
        <v>0</v>
      </c>
    </row>
    <row r="23" spans="1:20" hidden="1" x14ac:dyDescent="0.2">
      <c r="A23" s="158" t="s">
        <v>253</v>
      </c>
      <c r="B23" s="158" t="s">
        <v>190</v>
      </c>
      <c r="C23" s="40" t="s">
        <v>315</v>
      </c>
      <c r="D23" s="40" t="s">
        <v>76</v>
      </c>
      <c r="E23" s="40" t="s">
        <v>316</v>
      </c>
      <c r="F23" s="40" t="s">
        <v>317</v>
      </c>
      <c r="G23" s="40" t="s">
        <v>318</v>
      </c>
      <c r="H23" s="40" t="s">
        <v>319</v>
      </c>
      <c r="I23" s="40" t="s">
        <v>320</v>
      </c>
      <c r="J23" s="40" t="s">
        <v>321</v>
      </c>
      <c r="K23" s="40" t="s">
        <v>322</v>
      </c>
      <c r="L23" s="40" t="s">
        <v>323</v>
      </c>
      <c r="M23" s="40" t="s">
        <v>324</v>
      </c>
      <c r="N23" s="40" t="s">
        <v>325</v>
      </c>
      <c r="O23" s="40" t="s">
        <v>326</v>
      </c>
      <c r="P23" s="40" t="s">
        <v>327</v>
      </c>
      <c r="Q23" s="40" t="s">
        <v>0</v>
      </c>
      <c r="R23" s="40" t="s">
        <v>0</v>
      </c>
      <c r="S23" s="40" t="s">
        <v>0</v>
      </c>
      <c r="T23" s="40" t="s">
        <v>0</v>
      </c>
    </row>
    <row r="24" spans="1:20" hidden="1" x14ac:dyDescent="0.2">
      <c r="A24" s="158" t="s">
        <v>253</v>
      </c>
      <c r="B24" s="158" t="s">
        <v>190</v>
      </c>
      <c r="C24" s="40" t="s">
        <v>328</v>
      </c>
      <c r="D24" s="40" t="s">
        <v>76</v>
      </c>
      <c r="E24" s="40" t="s">
        <v>329</v>
      </c>
      <c r="F24" s="40" t="s">
        <v>330</v>
      </c>
      <c r="G24" s="40" t="s">
        <v>331</v>
      </c>
      <c r="H24" s="40" t="s">
        <v>332</v>
      </c>
      <c r="I24" s="40" t="s">
        <v>333</v>
      </c>
      <c r="J24" s="40" t="s">
        <v>334</v>
      </c>
      <c r="K24" s="40" t="s">
        <v>335</v>
      </c>
      <c r="L24" s="40" t="s">
        <v>336</v>
      </c>
      <c r="M24" s="40" t="s">
        <v>337</v>
      </c>
      <c r="N24" s="40" t="s">
        <v>338</v>
      </c>
      <c r="O24" s="40" t="s">
        <v>339</v>
      </c>
      <c r="P24" s="40" t="s">
        <v>340</v>
      </c>
      <c r="Q24" s="40" t="s">
        <v>0</v>
      </c>
      <c r="R24" s="40" t="s">
        <v>0</v>
      </c>
      <c r="S24" s="40" t="s">
        <v>0</v>
      </c>
      <c r="T24" s="40" t="s">
        <v>0</v>
      </c>
    </row>
    <row r="25" spans="1:20" hidden="1" x14ac:dyDescent="0.2">
      <c r="A25" s="158" t="s">
        <v>341</v>
      </c>
      <c r="B25" s="158" t="s">
        <v>342</v>
      </c>
      <c r="C25" s="40" t="s">
        <v>343</v>
      </c>
      <c r="D25" s="40" t="s">
        <v>76</v>
      </c>
      <c r="E25" s="40" t="s">
        <v>344</v>
      </c>
      <c r="F25" s="40" t="s">
        <v>216</v>
      </c>
      <c r="G25" s="40" t="s">
        <v>345</v>
      </c>
      <c r="H25" s="40" t="s">
        <v>346</v>
      </c>
      <c r="I25" s="40" t="s">
        <v>347</v>
      </c>
      <c r="J25" s="40" t="s">
        <v>217</v>
      </c>
      <c r="K25" s="40" t="s">
        <v>348</v>
      </c>
      <c r="L25" s="40" t="s">
        <v>349</v>
      </c>
      <c r="M25" s="40" t="s">
        <v>0</v>
      </c>
      <c r="N25" s="40" t="s">
        <v>350</v>
      </c>
      <c r="O25" s="40" t="s">
        <v>0</v>
      </c>
      <c r="P25" s="40" t="s">
        <v>0</v>
      </c>
      <c r="Q25" s="40" t="s">
        <v>0</v>
      </c>
      <c r="R25" s="40" t="s">
        <v>0</v>
      </c>
      <c r="S25" s="40" t="s">
        <v>0</v>
      </c>
      <c r="T25" s="40" t="s">
        <v>0</v>
      </c>
    </row>
    <row r="26" spans="1:20" hidden="1" x14ac:dyDescent="0.2">
      <c r="A26" s="158" t="s">
        <v>341</v>
      </c>
      <c r="B26" s="158" t="s">
        <v>342</v>
      </c>
      <c r="C26" s="40" t="s">
        <v>351</v>
      </c>
      <c r="D26" s="40" t="s">
        <v>76</v>
      </c>
      <c r="E26" s="40" t="s">
        <v>205</v>
      </c>
      <c r="F26" s="40" t="s">
        <v>352</v>
      </c>
      <c r="G26" s="40" t="s">
        <v>147</v>
      </c>
      <c r="H26" s="40" t="s">
        <v>353</v>
      </c>
      <c r="I26" s="40" t="s">
        <v>160</v>
      </c>
      <c r="J26" s="40" t="s">
        <v>271</v>
      </c>
      <c r="K26" s="40" t="s">
        <v>161</v>
      </c>
      <c r="L26" s="40" t="s">
        <v>354</v>
      </c>
      <c r="M26" s="40" t="s">
        <v>0</v>
      </c>
      <c r="N26" s="40" t="s">
        <v>355</v>
      </c>
      <c r="O26" s="40" t="s">
        <v>0</v>
      </c>
      <c r="P26" s="40" t="s">
        <v>0</v>
      </c>
      <c r="Q26" s="40" t="s">
        <v>0</v>
      </c>
      <c r="R26" s="40" t="s">
        <v>0</v>
      </c>
      <c r="S26" s="40" t="s">
        <v>0</v>
      </c>
      <c r="T26" s="40" t="s">
        <v>0</v>
      </c>
    </row>
    <row r="27" spans="1:20" hidden="1" x14ac:dyDescent="0.2">
      <c r="A27" s="158" t="s">
        <v>341</v>
      </c>
      <c r="B27" s="158" t="s">
        <v>342</v>
      </c>
      <c r="C27" s="40" t="s">
        <v>356</v>
      </c>
      <c r="D27" s="40" t="s">
        <v>76</v>
      </c>
      <c r="E27" s="40" t="s">
        <v>357</v>
      </c>
      <c r="F27" s="40" t="s">
        <v>358</v>
      </c>
      <c r="G27" s="40" t="s">
        <v>200</v>
      </c>
      <c r="H27" s="40" t="s">
        <v>359</v>
      </c>
      <c r="I27" s="40" t="s">
        <v>360</v>
      </c>
      <c r="J27" s="40" t="s">
        <v>361</v>
      </c>
      <c r="K27" s="40" t="s">
        <v>362</v>
      </c>
      <c r="L27" s="40" t="s">
        <v>363</v>
      </c>
      <c r="M27" s="40" t="s">
        <v>0</v>
      </c>
      <c r="N27" s="40" t="s">
        <v>364</v>
      </c>
      <c r="O27" s="40" t="s">
        <v>0</v>
      </c>
      <c r="P27" s="40" t="s">
        <v>0</v>
      </c>
      <c r="Q27" s="40" t="s">
        <v>0</v>
      </c>
      <c r="R27" s="40" t="s">
        <v>0</v>
      </c>
      <c r="S27" s="40" t="s">
        <v>0</v>
      </c>
      <c r="T27" s="40" t="s">
        <v>0</v>
      </c>
    </row>
    <row r="28" spans="1:20" hidden="1" x14ac:dyDescent="0.2">
      <c r="A28" s="158" t="s">
        <v>341</v>
      </c>
      <c r="B28" s="158" t="s">
        <v>342</v>
      </c>
      <c r="C28" s="40" t="s">
        <v>365</v>
      </c>
      <c r="D28" s="40" t="s">
        <v>76</v>
      </c>
      <c r="E28" s="40" t="s">
        <v>366</v>
      </c>
      <c r="F28" s="40" t="s">
        <v>367</v>
      </c>
      <c r="G28" s="40" t="s">
        <v>368</v>
      </c>
      <c r="H28" s="40" t="s">
        <v>369</v>
      </c>
      <c r="I28" s="40" t="s">
        <v>370</v>
      </c>
      <c r="J28" s="40" t="s">
        <v>371</v>
      </c>
      <c r="K28" s="40" t="s">
        <v>372</v>
      </c>
      <c r="L28" s="40" t="s">
        <v>373</v>
      </c>
      <c r="M28" s="40" t="s">
        <v>0</v>
      </c>
      <c r="N28" s="40" t="s">
        <v>374</v>
      </c>
      <c r="O28" s="40" t="s">
        <v>0</v>
      </c>
      <c r="P28" s="40" t="s">
        <v>0</v>
      </c>
      <c r="Q28" s="40" t="s">
        <v>0</v>
      </c>
      <c r="R28" s="40" t="s">
        <v>0</v>
      </c>
      <c r="S28" s="40" t="s">
        <v>0</v>
      </c>
      <c r="T28" s="40" t="s">
        <v>0</v>
      </c>
    </row>
    <row r="29" spans="1:20" hidden="1" x14ac:dyDescent="0.2">
      <c r="A29" s="158" t="s">
        <v>341</v>
      </c>
      <c r="B29" s="158" t="s">
        <v>190</v>
      </c>
      <c r="C29" s="40" t="s">
        <v>138</v>
      </c>
      <c r="D29" s="40" t="s">
        <v>76</v>
      </c>
      <c r="E29" s="40" t="s">
        <v>344</v>
      </c>
      <c r="F29" s="40" t="s">
        <v>216</v>
      </c>
      <c r="G29" s="40" t="s">
        <v>345</v>
      </c>
      <c r="H29" s="40" t="s">
        <v>346</v>
      </c>
      <c r="I29" s="40" t="s">
        <v>347</v>
      </c>
      <c r="J29" s="40" t="s">
        <v>217</v>
      </c>
      <c r="K29" s="40" t="s">
        <v>348</v>
      </c>
      <c r="L29" s="40" t="s">
        <v>349</v>
      </c>
      <c r="M29" s="40" t="s">
        <v>375</v>
      </c>
      <c r="N29" s="40" t="s">
        <v>350</v>
      </c>
      <c r="O29" s="40" t="s">
        <v>376</v>
      </c>
      <c r="P29" s="40" t="s">
        <v>377</v>
      </c>
      <c r="Q29" s="40" t="s">
        <v>0</v>
      </c>
      <c r="R29" s="40" t="s">
        <v>0</v>
      </c>
      <c r="S29" s="40" t="s">
        <v>0</v>
      </c>
      <c r="T29" s="40" t="s">
        <v>0</v>
      </c>
    </row>
    <row r="30" spans="1:20" hidden="1" x14ac:dyDescent="0.2">
      <c r="A30" s="158" t="s">
        <v>341</v>
      </c>
      <c r="B30" s="158" t="s">
        <v>190</v>
      </c>
      <c r="C30" s="40" t="s">
        <v>150</v>
      </c>
      <c r="D30" s="40" t="s">
        <v>76</v>
      </c>
      <c r="E30" s="40" t="s">
        <v>378</v>
      </c>
      <c r="F30" s="40" t="s">
        <v>379</v>
      </c>
      <c r="G30" s="40" t="s">
        <v>380</v>
      </c>
      <c r="H30" s="40" t="s">
        <v>381</v>
      </c>
      <c r="I30" s="40" t="s">
        <v>382</v>
      </c>
      <c r="J30" s="40" t="s">
        <v>383</v>
      </c>
      <c r="K30" s="40" t="s">
        <v>384</v>
      </c>
      <c r="L30" s="40" t="s">
        <v>219</v>
      </c>
      <c r="M30" s="40" t="s">
        <v>229</v>
      </c>
      <c r="N30" s="40" t="s">
        <v>385</v>
      </c>
      <c r="O30" s="40" t="s">
        <v>386</v>
      </c>
      <c r="P30" s="40" t="s">
        <v>387</v>
      </c>
      <c r="Q30" s="40" t="s">
        <v>0</v>
      </c>
      <c r="R30" s="40" t="s">
        <v>0</v>
      </c>
      <c r="S30" s="40" t="s">
        <v>0</v>
      </c>
      <c r="T30" s="40" t="s">
        <v>0</v>
      </c>
    </row>
    <row r="31" spans="1:20" hidden="1" x14ac:dyDescent="0.2">
      <c r="A31" s="158" t="s">
        <v>341</v>
      </c>
      <c r="B31" s="158" t="s">
        <v>190</v>
      </c>
      <c r="C31" s="40" t="s">
        <v>264</v>
      </c>
      <c r="D31" s="40" t="s">
        <v>76</v>
      </c>
      <c r="E31" s="40" t="s">
        <v>205</v>
      </c>
      <c r="F31" s="40" t="s">
        <v>352</v>
      </c>
      <c r="G31" s="40" t="s">
        <v>147</v>
      </c>
      <c r="H31" s="40" t="s">
        <v>353</v>
      </c>
      <c r="I31" s="40" t="s">
        <v>160</v>
      </c>
      <c r="J31" s="40" t="s">
        <v>271</v>
      </c>
      <c r="K31" s="40" t="s">
        <v>161</v>
      </c>
      <c r="L31" s="40" t="s">
        <v>354</v>
      </c>
      <c r="M31" s="40" t="s">
        <v>388</v>
      </c>
      <c r="N31" s="40" t="s">
        <v>355</v>
      </c>
      <c r="O31" s="40" t="s">
        <v>389</v>
      </c>
      <c r="P31" s="40" t="s">
        <v>390</v>
      </c>
      <c r="Q31" s="40" t="s">
        <v>0</v>
      </c>
      <c r="R31" s="40" t="s">
        <v>0</v>
      </c>
      <c r="S31" s="40" t="s">
        <v>0</v>
      </c>
      <c r="T31" s="40" t="s">
        <v>0</v>
      </c>
    </row>
    <row r="32" spans="1:20" hidden="1" x14ac:dyDescent="0.2">
      <c r="A32" s="158" t="s">
        <v>341</v>
      </c>
      <c r="B32" s="158" t="s">
        <v>190</v>
      </c>
      <c r="C32" s="40" t="s">
        <v>277</v>
      </c>
      <c r="D32" s="40" t="s">
        <v>76</v>
      </c>
      <c r="E32" s="40" t="s">
        <v>391</v>
      </c>
      <c r="F32" s="40" t="s">
        <v>392</v>
      </c>
      <c r="G32" s="40" t="s">
        <v>158</v>
      </c>
      <c r="H32" s="40" t="s">
        <v>393</v>
      </c>
      <c r="I32" s="40" t="s">
        <v>394</v>
      </c>
      <c r="J32" s="40" t="s">
        <v>354</v>
      </c>
      <c r="K32" s="40" t="s">
        <v>395</v>
      </c>
      <c r="L32" s="40" t="s">
        <v>396</v>
      </c>
      <c r="M32" s="40" t="s">
        <v>397</v>
      </c>
      <c r="N32" s="40" t="s">
        <v>398</v>
      </c>
      <c r="O32" s="40" t="s">
        <v>399</v>
      </c>
      <c r="P32" s="40" t="s">
        <v>400</v>
      </c>
      <c r="Q32" s="40" t="s">
        <v>0</v>
      </c>
      <c r="R32" s="40" t="s">
        <v>0</v>
      </c>
      <c r="S32" s="40" t="s">
        <v>0</v>
      </c>
      <c r="T32" s="40" t="s">
        <v>0</v>
      </c>
    </row>
    <row r="33" spans="1:20" hidden="1" x14ac:dyDescent="0.2">
      <c r="A33" s="158" t="s">
        <v>341</v>
      </c>
      <c r="B33" s="158" t="s">
        <v>190</v>
      </c>
      <c r="C33" s="40" t="s">
        <v>238</v>
      </c>
      <c r="D33" s="40" t="s">
        <v>76</v>
      </c>
      <c r="E33" s="40" t="s">
        <v>357</v>
      </c>
      <c r="F33" s="40" t="s">
        <v>358</v>
      </c>
      <c r="G33" s="40" t="s">
        <v>200</v>
      </c>
      <c r="H33" s="40" t="s">
        <v>359</v>
      </c>
      <c r="I33" s="40" t="s">
        <v>360</v>
      </c>
      <c r="J33" s="40" t="s">
        <v>361</v>
      </c>
      <c r="K33" s="40" t="s">
        <v>362</v>
      </c>
      <c r="L33" s="40" t="s">
        <v>363</v>
      </c>
      <c r="M33" s="40" t="s">
        <v>401</v>
      </c>
      <c r="N33" s="40" t="s">
        <v>364</v>
      </c>
      <c r="O33" s="40" t="s">
        <v>402</v>
      </c>
      <c r="P33" s="40" t="s">
        <v>403</v>
      </c>
      <c r="Q33" s="40" t="s">
        <v>0</v>
      </c>
      <c r="R33" s="40" t="s">
        <v>0</v>
      </c>
      <c r="S33" s="40" t="s">
        <v>0</v>
      </c>
      <c r="T33" s="40" t="s">
        <v>0</v>
      </c>
    </row>
    <row r="34" spans="1:20" hidden="1" x14ac:dyDescent="0.2">
      <c r="A34" s="158" t="s">
        <v>341</v>
      </c>
      <c r="B34" s="158" t="s">
        <v>190</v>
      </c>
      <c r="C34" s="40" t="s">
        <v>302</v>
      </c>
      <c r="D34" s="40" t="s">
        <v>76</v>
      </c>
      <c r="E34" s="40" t="s">
        <v>404</v>
      </c>
      <c r="F34" s="40" t="s">
        <v>405</v>
      </c>
      <c r="G34" s="40" t="s">
        <v>406</v>
      </c>
      <c r="H34" s="40" t="s">
        <v>407</v>
      </c>
      <c r="I34" s="40" t="s">
        <v>408</v>
      </c>
      <c r="J34" s="40" t="s">
        <v>409</v>
      </c>
      <c r="K34" s="40" t="s">
        <v>410</v>
      </c>
      <c r="L34" s="40" t="s">
        <v>411</v>
      </c>
      <c r="M34" s="40" t="s">
        <v>412</v>
      </c>
      <c r="N34" s="40" t="s">
        <v>413</v>
      </c>
      <c r="O34" s="40" t="s">
        <v>414</v>
      </c>
      <c r="P34" s="40" t="s">
        <v>415</v>
      </c>
      <c r="Q34" s="40" t="s">
        <v>0</v>
      </c>
      <c r="R34" s="40" t="s">
        <v>0</v>
      </c>
      <c r="S34" s="40" t="s">
        <v>0</v>
      </c>
      <c r="T34" s="40" t="s">
        <v>0</v>
      </c>
    </row>
    <row r="35" spans="1:20" hidden="1" x14ac:dyDescent="0.2">
      <c r="A35" s="158" t="s">
        <v>341</v>
      </c>
      <c r="B35" s="158" t="s">
        <v>190</v>
      </c>
      <c r="C35" s="40" t="s">
        <v>315</v>
      </c>
      <c r="D35" s="40" t="s">
        <v>76</v>
      </c>
      <c r="E35" s="40" t="s">
        <v>366</v>
      </c>
      <c r="F35" s="40" t="s">
        <v>367</v>
      </c>
      <c r="G35" s="40" t="s">
        <v>368</v>
      </c>
      <c r="H35" s="40" t="s">
        <v>369</v>
      </c>
      <c r="I35" s="40" t="s">
        <v>370</v>
      </c>
      <c r="J35" s="40" t="s">
        <v>371</v>
      </c>
      <c r="K35" s="40" t="s">
        <v>372</v>
      </c>
      <c r="L35" s="40" t="s">
        <v>373</v>
      </c>
      <c r="M35" s="40" t="s">
        <v>416</v>
      </c>
      <c r="N35" s="40" t="s">
        <v>374</v>
      </c>
      <c r="O35" s="40" t="s">
        <v>417</v>
      </c>
      <c r="P35" s="40" t="s">
        <v>418</v>
      </c>
      <c r="Q35" s="40" t="s">
        <v>0</v>
      </c>
      <c r="R35" s="40" t="s">
        <v>0</v>
      </c>
      <c r="S35" s="40" t="s">
        <v>0</v>
      </c>
      <c r="T35" s="40" t="s">
        <v>0</v>
      </c>
    </row>
    <row r="36" spans="1:20" hidden="1" x14ac:dyDescent="0.2">
      <c r="A36" s="158" t="s">
        <v>341</v>
      </c>
      <c r="B36" s="158" t="s">
        <v>190</v>
      </c>
      <c r="C36" s="40" t="s">
        <v>419</v>
      </c>
      <c r="D36" s="40" t="s">
        <v>76</v>
      </c>
      <c r="E36" s="40" t="s">
        <v>420</v>
      </c>
      <c r="F36" s="40" t="s">
        <v>421</v>
      </c>
      <c r="G36" s="40" t="s">
        <v>422</v>
      </c>
      <c r="H36" s="40" t="s">
        <v>423</v>
      </c>
      <c r="I36" s="40" t="s">
        <v>424</v>
      </c>
      <c r="J36" s="40" t="s">
        <v>425</v>
      </c>
      <c r="K36" s="40" t="s">
        <v>426</v>
      </c>
      <c r="L36" s="40" t="s">
        <v>427</v>
      </c>
      <c r="M36" s="40" t="s">
        <v>428</v>
      </c>
      <c r="N36" s="40" t="s">
        <v>429</v>
      </c>
      <c r="O36" s="40" t="s">
        <v>430</v>
      </c>
      <c r="P36" s="40" t="s">
        <v>431</v>
      </c>
      <c r="Q36" s="40" t="s">
        <v>0</v>
      </c>
      <c r="R36" s="40" t="s">
        <v>0</v>
      </c>
      <c r="S36" s="40" t="s">
        <v>0</v>
      </c>
      <c r="T36" s="40" t="s">
        <v>0</v>
      </c>
    </row>
    <row r="37" spans="1:20" hidden="1" x14ac:dyDescent="0.2">
      <c r="A37" s="158" t="s">
        <v>341</v>
      </c>
      <c r="B37" s="158" t="s">
        <v>190</v>
      </c>
      <c r="C37" s="40" t="s">
        <v>432</v>
      </c>
      <c r="D37" s="40" t="s">
        <v>76</v>
      </c>
      <c r="E37" s="40" t="s">
        <v>433</v>
      </c>
      <c r="F37" s="40" t="s">
        <v>434</v>
      </c>
      <c r="G37" s="40" t="s">
        <v>435</v>
      </c>
      <c r="H37" s="40" t="s">
        <v>436</v>
      </c>
      <c r="I37" s="40" t="s">
        <v>437</v>
      </c>
      <c r="J37" s="40" t="s">
        <v>438</v>
      </c>
      <c r="K37" s="40" t="s">
        <v>439</v>
      </c>
      <c r="L37" s="40" t="s">
        <v>440</v>
      </c>
      <c r="M37" s="40" t="s">
        <v>441</v>
      </c>
      <c r="N37" s="40" t="s">
        <v>442</v>
      </c>
      <c r="O37" s="40" t="s">
        <v>443</v>
      </c>
      <c r="P37" s="40" t="s">
        <v>444</v>
      </c>
      <c r="Q37" s="40" t="s">
        <v>0</v>
      </c>
      <c r="R37" s="40" t="s">
        <v>0</v>
      </c>
      <c r="S37" s="40" t="s">
        <v>0</v>
      </c>
      <c r="T37" s="40" t="s">
        <v>0</v>
      </c>
    </row>
    <row r="38" spans="1:20" hidden="1" x14ac:dyDescent="0.2">
      <c r="A38" s="158" t="s">
        <v>341</v>
      </c>
      <c r="B38" s="158" t="s">
        <v>190</v>
      </c>
      <c r="C38" s="40" t="s">
        <v>445</v>
      </c>
      <c r="D38" s="40" t="s">
        <v>76</v>
      </c>
      <c r="E38" s="40" t="s">
        <v>446</v>
      </c>
      <c r="F38" s="40" t="s">
        <v>447</v>
      </c>
      <c r="G38" s="40" t="s">
        <v>448</v>
      </c>
      <c r="H38" s="40" t="s">
        <v>449</v>
      </c>
      <c r="I38" s="40" t="s">
        <v>450</v>
      </c>
      <c r="J38" s="40" t="s">
        <v>451</v>
      </c>
      <c r="K38" s="40" t="s">
        <v>452</v>
      </c>
      <c r="L38" s="40" t="s">
        <v>453</v>
      </c>
      <c r="M38" s="40" t="s">
        <v>454</v>
      </c>
      <c r="N38" s="40" t="s">
        <v>455</v>
      </c>
      <c r="O38" s="40" t="s">
        <v>456</v>
      </c>
      <c r="P38" s="40" t="s">
        <v>457</v>
      </c>
      <c r="Q38" s="40" t="s">
        <v>0</v>
      </c>
      <c r="R38" s="40" t="s">
        <v>0</v>
      </c>
      <c r="S38" s="40" t="s">
        <v>0</v>
      </c>
      <c r="T38" s="40" t="s">
        <v>0</v>
      </c>
    </row>
    <row r="39" spans="1:20" hidden="1" x14ac:dyDescent="0.2">
      <c r="A39" s="158" t="s">
        <v>458</v>
      </c>
      <c r="B39" s="158" t="s">
        <v>190</v>
      </c>
      <c r="C39" s="40" t="s">
        <v>138</v>
      </c>
      <c r="D39" s="40" t="s">
        <v>76</v>
      </c>
      <c r="E39" s="40" t="s">
        <v>459</v>
      </c>
      <c r="F39" s="40" t="s">
        <v>460</v>
      </c>
      <c r="G39" s="40" t="s">
        <v>461</v>
      </c>
      <c r="H39" s="41" t="s">
        <v>462</v>
      </c>
      <c r="I39" s="41" t="s">
        <v>463</v>
      </c>
      <c r="J39" s="41" t="s">
        <v>464</v>
      </c>
      <c r="K39" s="41" t="s">
        <v>465</v>
      </c>
      <c r="L39" s="41" t="s">
        <v>466</v>
      </c>
      <c r="M39" s="41" t="s">
        <v>467</v>
      </c>
      <c r="N39" s="41" t="s">
        <v>358</v>
      </c>
      <c r="O39" s="40" t="s">
        <v>366</v>
      </c>
      <c r="P39" s="40" t="s">
        <v>468</v>
      </c>
      <c r="Q39" s="40" t="s">
        <v>0</v>
      </c>
      <c r="R39" s="40" t="s">
        <v>0</v>
      </c>
      <c r="S39" s="40" t="s">
        <v>0</v>
      </c>
      <c r="T39" s="40" t="s">
        <v>0</v>
      </c>
    </row>
    <row r="40" spans="1:20" hidden="1" x14ac:dyDescent="0.2">
      <c r="A40" s="158" t="s">
        <v>458</v>
      </c>
      <c r="B40" s="158" t="s">
        <v>190</v>
      </c>
      <c r="C40" s="40" t="s">
        <v>164</v>
      </c>
      <c r="D40" s="40" t="s">
        <v>76</v>
      </c>
      <c r="E40" s="40" t="s">
        <v>270</v>
      </c>
      <c r="F40" s="40" t="s">
        <v>224</v>
      </c>
      <c r="G40" s="40" t="s">
        <v>469</v>
      </c>
      <c r="H40" s="41" t="s">
        <v>467</v>
      </c>
      <c r="I40" s="41" t="s">
        <v>470</v>
      </c>
      <c r="J40" s="41" t="s">
        <v>471</v>
      </c>
      <c r="K40" s="41" t="s">
        <v>472</v>
      </c>
      <c r="L40" s="41" t="s">
        <v>473</v>
      </c>
      <c r="M40" s="41" t="s">
        <v>474</v>
      </c>
      <c r="N40" s="41" t="s">
        <v>475</v>
      </c>
      <c r="O40" s="40" t="s">
        <v>476</v>
      </c>
      <c r="P40" s="40" t="s">
        <v>304</v>
      </c>
      <c r="Q40" s="40" t="s">
        <v>0</v>
      </c>
      <c r="R40" s="40" t="s">
        <v>0</v>
      </c>
      <c r="S40" s="40" t="s">
        <v>0</v>
      </c>
      <c r="T40" s="40" t="s">
        <v>0</v>
      </c>
    </row>
    <row r="41" spans="1:20" hidden="1" x14ac:dyDescent="0.2">
      <c r="A41" s="158" t="s">
        <v>458</v>
      </c>
      <c r="B41" s="158" t="s">
        <v>190</v>
      </c>
      <c r="C41" s="40" t="s">
        <v>238</v>
      </c>
      <c r="D41" s="40" t="s">
        <v>76</v>
      </c>
      <c r="E41" s="40" t="s">
        <v>477</v>
      </c>
      <c r="F41" s="40" t="s">
        <v>366</v>
      </c>
      <c r="G41" s="40" t="s">
        <v>478</v>
      </c>
      <c r="H41" s="41" t="s">
        <v>479</v>
      </c>
      <c r="I41" s="41" t="s">
        <v>480</v>
      </c>
      <c r="J41" s="41" t="s">
        <v>481</v>
      </c>
      <c r="K41" s="41" t="s">
        <v>482</v>
      </c>
      <c r="L41" s="41" t="s">
        <v>483</v>
      </c>
      <c r="M41" s="41" t="s">
        <v>484</v>
      </c>
      <c r="N41" s="41" t="s">
        <v>485</v>
      </c>
      <c r="O41" s="40" t="s">
        <v>486</v>
      </c>
      <c r="P41" s="40" t="s">
        <v>487</v>
      </c>
      <c r="Q41" s="40" t="s">
        <v>0</v>
      </c>
      <c r="R41" s="40" t="s">
        <v>0</v>
      </c>
      <c r="S41" s="40" t="s">
        <v>0</v>
      </c>
      <c r="T41" s="40" t="s">
        <v>0</v>
      </c>
    </row>
    <row r="42" spans="1:20" hidden="1" x14ac:dyDescent="0.2">
      <c r="A42" s="158" t="s">
        <v>458</v>
      </c>
      <c r="B42" s="158" t="s">
        <v>190</v>
      </c>
      <c r="C42" s="40" t="s">
        <v>302</v>
      </c>
      <c r="D42" s="40" t="s">
        <v>76</v>
      </c>
      <c r="E42" s="40" t="s">
        <v>488</v>
      </c>
      <c r="F42" s="40" t="s">
        <v>489</v>
      </c>
      <c r="G42" s="40" t="s">
        <v>490</v>
      </c>
      <c r="H42" s="41" t="s">
        <v>491</v>
      </c>
      <c r="I42" s="41" t="s">
        <v>492</v>
      </c>
      <c r="J42" s="41" t="s">
        <v>493</v>
      </c>
      <c r="K42" s="41" t="s">
        <v>494</v>
      </c>
      <c r="L42" s="41" t="s">
        <v>495</v>
      </c>
      <c r="M42" s="41" t="s">
        <v>496</v>
      </c>
      <c r="N42" s="41" t="s">
        <v>497</v>
      </c>
      <c r="O42" s="40" t="s">
        <v>498</v>
      </c>
      <c r="P42" s="40" t="s">
        <v>499</v>
      </c>
      <c r="Q42" s="40" t="s">
        <v>0</v>
      </c>
      <c r="R42" s="40" t="s">
        <v>0</v>
      </c>
      <c r="S42" s="40" t="s">
        <v>0</v>
      </c>
      <c r="T42" s="40" t="s">
        <v>0</v>
      </c>
    </row>
    <row r="43" spans="1:20" x14ac:dyDescent="0.2">
      <c r="A43" s="158" t="s">
        <v>458</v>
      </c>
      <c r="B43" s="158" t="s">
        <v>190</v>
      </c>
      <c r="C43" s="40" t="s">
        <v>315</v>
      </c>
      <c r="D43" s="40" t="s">
        <v>76</v>
      </c>
      <c r="E43" s="40" t="s">
        <v>500</v>
      </c>
      <c r="F43" s="40" t="s">
        <v>501</v>
      </c>
      <c r="G43" s="40" t="s">
        <v>390</v>
      </c>
      <c r="H43" s="41" t="s">
        <v>502</v>
      </c>
      <c r="I43" s="40" t="s">
        <v>503</v>
      </c>
      <c r="J43" s="42" t="s">
        <v>504</v>
      </c>
      <c r="K43" s="40" t="s">
        <v>505</v>
      </c>
      <c r="L43" s="42" t="s">
        <v>506</v>
      </c>
      <c r="M43" s="42" t="s">
        <v>507</v>
      </c>
      <c r="N43" s="42" t="s">
        <v>508</v>
      </c>
      <c r="O43" s="40" t="s">
        <v>509</v>
      </c>
      <c r="P43" s="40" t="s">
        <v>510</v>
      </c>
      <c r="Q43" s="40" t="s">
        <v>0</v>
      </c>
      <c r="R43" s="40" t="s">
        <v>0</v>
      </c>
      <c r="S43" s="40" t="s">
        <v>0</v>
      </c>
      <c r="T43" s="40" t="s">
        <v>0</v>
      </c>
    </row>
    <row r="44" spans="1:20" ht="13.5" x14ac:dyDescent="0.2">
      <c r="T44" s="43" t="s">
        <v>511</v>
      </c>
    </row>
    <row r="45" spans="1:20" ht="16.5" x14ac:dyDescent="0.2">
      <c r="A45" s="44" t="s">
        <v>512</v>
      </c>
      <c r="B45" s="45"/>
      <c r="C45" s="45"/>
    </row>
    <row r="46" spans="1:20" ht="17.25" customHeight="1" x14ac:dyDescent="0.2">
      <c r="A46" s="46" t="s">
        <v>513</v>
      </c>
      <c r="C46" s="45"/>
    </row>
    <row r="47" spans="1:20" ht="17.25" customHeight="1" x14ac:dyDescent="0.2">
      <c r="A47" s="47" t="s">
        <v>514</v>
      </c>
      <c r="C47" s="45"/>
    </row>
    <row r="48" spans="1:20" ht="17.25" customHeight="1" x14ac:dyDescent="0.2">
      <c r="A48" s="47" t="s">
        <v>515</v>
      </c>
      <c r="B48" s="45"/>
    </row>
  </sheetData>
  <mergeCells count="13">
    <mergeCell ref="A39:A43"/>
    <mergeCell ref="B39:B43"/>
    <mergeCell ref="A2:A4"/>
    <mergeCell ref="A5:A6"/>
    <mergeCell ref="A7:A11"/>
    <mergeCell ref="B7:B10"/>
    <mergeCell ref="A13:A17"/>
    <mergeCell ref="B13:B17"/>
    <mergeCell ref="A18:A24"/>
    <mergeCell ref="B18:B24"/>
    <mergeCell ref="A25:A38"/>
    <mergeCell ref="B25:B28"/>
    <mergeCell ref="B29:B38"/>
  </mergeCells>
  <phoneticPr fontId="2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8815-42E0-4FBA-A1A7-B25153AD6E49}">
  <sheetPr codeName="Sheet5"/>
  <dimension ref="A1:T41"/>
  <sheetViews>
    <sheetView showGridLines="0" tabSelected="1" topLeftCell="A7" zoomScaleNormal="100" workbookViewId="0">
      <selection activeCell="C28" sqref="C28"/>
    </sheetView>
  </sheetViews>
  <sheetFormatPr defaultRowHeight="16.5" x14ac:dyDescent="0.3"/>
  <cols>
    <col min="1" max="1" width="3.25" customWidth="1"/>
    <col min="3" max="3" width="24.625" customWidth="1"/>
    <col min="4" max="10" width="14.875" customWidth="1"/>
    <col min="11" max="11" width="14.875" style="89" customWidth="1"/>
    <col min="12" max="12" width="4.25" customWidth="1"/>
    <col min="13" max="13" width="9.875" customWidth="1"/>
    <col min="14" max="19" width="11.375" customWidth="1"/>
    <col min="20" max="20" width="11.625" customWidth="1"/>
  </cols>
  <sheetData>
    <row r="1" spans="1:20" x14ac:dyDescent="0.3">
      <c r="A1" s="10"/>
    </row>
    <row r="2" spans="1:20" x14ac:dyDescent="0.3">
      <c r="B2" s="44" t="s">
        <v>534</v>
      </c>
    </row>
    <row r="3" spans="1:20" x14ac:dyDescent="0.3">
      <c r="F3" s="10"/>
      <c r="G3" s="10"/>
      <c r="H3" s="10"/>
      <c r="I3" s="10"/>
      <c r="J3" s="2" t="s">
        <v>538</v>
      </c>
      <c r="K3" s="90"/>
    </row>
    <row r="4" spans="1:20" x14ac:dyDescent="0.3">
      <c r="B4" s="161" t="s">
        <v>1</v>
      </c>
      <c r="C4" s="162"/>
      <c r="D4" s="65" t="s">
        <v>527</v>
      </c>
      <c r="E4" s="59" t="s">
        <v>526</v>
      </c>
      <c r="F4" s="53" t="s">
        <v>17</v>
      </c>
      <c r="G4" s="53" t="s">
        <v>18</v>
      </c>
      <c r="H4" s="53" t="s">
        <v>19</v>
      </c>
      <c r="I4" s="53" t="s">
        <v>20</v>
      </c>
      <c r="J4" s="161" t="s">
        <v>2</v>
      </c>
      <c r="K4" s="170"/>
      <c r="M4" s="49"/>
      <c r="N4" s="86" t="s">
        <v>44</v>
      </c>
      <c r="O4" s="86" t="s">
        <v>45</v>
      </c>
      <c r="P4" s="86" t="s">
        <v>46</v>
      </c>
      <c r="Q4" s="86" t="s">
        <v>41</v>
      </c>
      <c r="R4" s="86" t="s">
        <v>43</v>
      </c>
      <c r="S4" s="86" t="s">
        <v>42</v>
      </c>
      <c r="T4" s="86" t="s">
        <v>546</v>
      </c>
    </row>
    <row r="5" spans="1:20" x14ac:dyDescent="0.3">
      <c r="B5" s="12" t="s">
        <v>520</v>
      </c>
      <c r="C5" s="6"/>
      <c r="D5" s="66">
        <f>D8+D14</f>
        <v>3228750</v>
      </c>
      <c r="E5" s="60">
        <f>D21</f>
        <v>3228750</v>
      </c>
      <c r="F5" s="99">
        <f>$E$5+F6+F7</f>
        <v>3317720</v>
      </c>
      <c r="G5" s="99">
        <f t="shared" ref="G5:I5" si="0">$E$5+G6+G7</f>
        <v>3372730</v>
      </c>
      <c r="H5" s="99">
        <f t="shared" si="0"/>
        <v>3433720</v>
      </c>
      <c r="I5" s="99">
        <f t="shared" si="0"/>
        <v>3506640</v>
      </c>
      <c r="J5" s="92" t="s">
        <v>528</v>
      </c>
      <c r="K5" s="93"/>
      <c r="M5" s="49" t="s">
        <v>41</v>
      </c>
      <c r="N5" s="37"/>
      <c r="O5" s="37"/>
      <c r="P5" s="37"/>
      <c r="Q5" s="37">
        <f>T5</f>
        <v>3228750</v>
      </c>
      <c r="R5" s="37"/>
      <c r="S5" s="37"/>
      <c r="T5" s="37">
        <f>D22</f>
        <v>3228750</v>
      </c>
    </row>
    <row r="6" spans="1:20" x14ac:dyDescent="0.3">
      <c r="B6" s="51"/>
      <c r="C6" s="58" t="s">
        <v>536</v>
      </c>
      <c r="D6" s="67"/>
      <c r="E6" s="61"/>
      <c r="F6" s="52">
        <f>F24</f>
        <v>88970</v>
      </c>
      <c r="G6" s="52">
        <f>G24</f>
        <v>143980</v>
      </c>
      <c r="H6" s="52">
        <f>H24</f>
        <v>204970</v>
      </c>
      <c r="I6" s="52">
        <f>I24</f>
        <v>277890</v>
      </c>
      <c r="J6" s="92"/>
      <c r="K6" s="93"/>
      <c r="M6" s="49" t="s">
        <v>48</v>
      </c>
      <c r="N6" s="37">
        <f>Q5</f>
        <v>3228750</v>
      </c>
      <c r="O6" s="37">
        <f>MAX(T6,0)</f>
        <v>0</v>
      </c>
      <c r="P6" s="37">
        <f>-MIN(T6,0)</f>
        <v>0</v>
      </c>
      <c r="Q6" s="37"/>
      <c r="R6" s="37"/>
      <c r="S6" s="37"/>
      <c r="T6" s="37">
        <f>IF(Input!$R$29=0,0,IF(Input!X23=TRUE,Input!R23*손익표!$T$5,0))</f>
        <v>0</v>
      </c>
    </row>
    <row r="7" spans="1:20" x14ac:dyDescent="0.3">
      <c r="B7" s="51"/>
      <c r="C7" s="50" t="s">
        <v>517</v>
      </c>
      <c r="D7" s="67"/>
      <c r="E7" s="61"/>
      <c r="F7" s="52">
        <f>F29</f>
        <v>0</v>
      </c>
      <c r="G7" s="52">
        <f t="shared" ref="G7:I7" si="1">G29</f>
        <v>0</v>
      </c>
      <c r="H7" s="52">
        <f t="shared" si="1"/>
        <v>0</v>
      </c>
      <c r="I7" s="52">
        <f t="shared" si="1"/>
        <v>0</v>
      </c>
      <c r="J7" s="92"/>
      <c r="K7" s="93"/>
      <c r="M7" s="49" t="s">
        <v>49</v>
      </c>
      <c r="N7" s="37">
        <f>N6+O6-P7</f>
        <v>3228750</v>
      </c>
      <c r="O7" s="37">
        <f t="shared" ref="O7:O10" si="2">MAX(T7,0)</f>
        <v>0</v>
      </c>
      <c r="P7" s="37">
        <f t="shared" ref="P7:P10" si="3">-MIN(T7,0)</f>
        <v>0</v>
      </c>
      <c r="Q7" s="37"/>
      <c r="R7" s="37"/>
      <c r="S7" s="37"/>
      <c r="T7" s="37">
        <f>IF(Input!$R$29=0,0,IF(Input!X24=TRUE,Input!R24*손익표!$T$5,0))</f>
        <v>0</v>
      </c>
    </row>
    <row r="8" spans="1:20" x14ac:dyDescent="0.3">
      <c r="B8" s="7" t="s">
        <v>521</v>
      </c>
      <c r="C8" s="57"/>
      <c r="D8" s="66">
        <f>SUM(D9:D13)</f>
        <v>3000000</v>
      </c>
      <c r="E8" s="60">
        <f t="shared" ref="E8:I8" si="4">SUM(E9:E13)</f>
        <v>3000000</v>
      </c>
      <c r="F8" s="54">
        <f t="shared" si="4"/>
        <v>3084740</v>
      </c>
      <c r="G8" s="54">
        <f t="shared" si="4"/>
        <v>3137130</v>
      </c>
      <c r="H8" s="54">
        <f t="shared" si="4"/>
        <v>3195210</v>
      </c>
      <c r="I8" s="54">
        <f t="shared" si="4"/>
        <v>3264660</v>
      </c>
      <c r="J8" s="92"/>
      <c r="K8" s="93"/>
      <c r="M8" s="49" t="s">
        <v>50</v>
      </c>
      <c r="N8" s="37">
        <f t="shared" ref="N8:N10" si="5">N7+O7-P8</f>
        <v>3228750</v>
      </c>
      <c r="O8" s="37">
        <f t="shared" si="2"/>
        <v>0</v>
      </c>
      <c r="P8" s="37">
        <f t="shared" si="3"/>
        <v>0</v>
      </c>
      <c r="Q8" s="37"/>
      <c r="R8" s="37"/>
      <c r="S8" s="37"/>
      <c r="T8" s="37">
        <f>IF(Input!$R$29=0,0,IF(Input!X25=TRUE,Input!R25*손익표!$T$5,0))</f>
        <v>0</v>
      </c>
    </row>
    <row r="9" spans="1:20" x14ac:dyDescent="0.3">
      <c r="B9" s="56"/>
      <c r="C9" s="71" t="s">
        <v>28</v>
      </c>
      <c r="D9" s="68">
        <f>Input!I14</f>
        <v>300000</v>
      </c>
      <c r="E9" s="9">
        <f>$D$9</f>
        <v>300000</v>
      </c>
      <c r="F9" s="9">
        <f t="shared" ref="F9:I9" si="6">$D$9</f>
        <v>300000</v>
      </c>
      <c r="G9" s="9">
        <f t="shared" si="6"/>
        <v>300000</v>
      </c>
      <c r="H9" s="9">
        <f t="shared" si="6"/>
        <v>300000</v>
      </c>
      <c r="I9" s="9">
        <f t="shared" si="6"/>
        <v>300000</v>
      </c>
      <c r="J9" s="94"/>
      <c r="K9" s="95"/>
      <c r="M9" s="49" t="s">
        <v>51</v>
      </c>
      <c r="N9" s="37">
        <f t="shared" si="5"/>
        <v>3228750</v>
      </c>
      <c r="O9" s="37">
        <f t="shared" si="2"/>
        <v>0</v>
      </c>
      <c r="P9" s="37">
        <f t="shared" si="3"/>
        <v>0</v>
      </c>
      <c r="Q9" s="37"/>
      <c r="R9" s="37"/>
      <c r="S9" s="37"/>
      <c r="T9" s="37">
        <f>IF(Input!$R$29=0,0,IF(Input!X26=TRUE,Input!R26*손익표!$T$5,0))</f>
        <v>0</v>
      </c>
    </row>
    <row r="10" spans="1:20" x14ac:dyDescent="0.3">
      <c r="B10" s="56"/>
      <c r="C10" s="71" t="s">
        <v>29</v>
      </c>
      <c r="D10" s="68">
        <f>Input!I15</f>
        <v>200000</v>
      </c>
      <c r="E10" s="9">
        <f>$D$10</f>
        <v>200000</v>
      </c>
      <c r="F10" s="9">
        <f t="shared" ref="F10:I10" si="7">$D$10</f>
        <v>200000</v>
      </c>
      <c r="G10" s="9">
        <f t="shared" si="7"/>
        <v>200000</v>
      </c>
      <c r="H10" s="9">
        <f t="shared" si="7"/>
        <v>200000</v>
      </c>
      <c r="I10" s="9">
        <f t="shared" si="7"/>
        <v>200000</v>
      </c>
      <c r="J10" s="94"/>
      <c r="K10" s="95"/>
      <c r="M10" s="49" t="s">
        <v>52</v>
      </c>
      <c r="N10" s="37">
        <f t="shared" si="5"/>
        <v>3228750</v>
      </c>
      <c r="O10" s="37">
        <f t="shared" si="2"/>
        <v>0</v>
      </c>
      <c r="P10" s="37">
        <f t="shared" si="3"/>
        <v>0</v>
      </c>
      <c r="Q10" s="37"/>
      <c r="R10" s="37"/>
      <c r="S10" s="37"/>
      <c r="T10" s="37">
        <f>IF(Input!$R$29=0,0,IF(Input!X27=TRUE,Input!R27*손익표!$T$5,0))</f>
        <v>0</v>
      </c>
    </row>
    <row r="11" spans="1:20" x14ac:dyDescent="0.3">
      <c r="B11" s="56"/>
      <c r="C11" s="71" t="s">
        <v>537</v>
      </c>
      <c r="D11" s="68">
        <f>Input!I16</f>
        <v>1500000</v>
      </c>
      <c r="E11" s="9">
        <f>$D$11</f>
        <v>1500000</v>
      </c>
      <c r="F11" s="9">
        <f t="shared" ref="F11:I11" si="8">$D$11</f>
        <v>1500000</v>
      </c>
      <c r="G11" s="9">
        <f t="shared" si="8"/>
        <v>1500000</v>
      </c>
      <c r="H11" s="9">
        <f t="shared" si="8"/>
        <v>1500000</v>
      </c>
      <c r="I11" s="9">
        <f t="shared" si="8"/>
        <v>1500000</v>
      </c>
      <c r="J11" s="94"/>
      <c r="K11" s="95"/>
      <c r="M11" s="49" t="s">
        <v>558</v>
      </c>
      <c r="N11" s="37">
        <f t="shared" ref="N11" si="9">N10+O10-P11</f>
        <v>3228750</v>
      </c>
      <c r="O11" s="37">
        <f t="shared" ref="O11" si="10">MAX(T11,0)</f>
        <v>0</v>
      </c>
      <c r="P11" s="37">
        <f t="shared" ref="P11" si="11">-MIN(T11,0)</f>
        <v>0</v>
      </c>
      <c r="Q11" s="37"/>
      <c r="R11" s="37"/>
      <c r="S11" s="37"/>
      <c r="T11" s="37">
        <f>IF(Input!$R$29=0,0,IF(Input!X28=TRUE,Input!R28*손익표!$T$5,0))</f>
        <v>0</v>
      </c>
    </row>
    <row r="12" spans="1:20" x14ac:dyDescent="0.3">
      <c r="B12" s="56"/>
      <c r="C12" s="71" t="s">
        <v>535</v>
      </c>
      <c r="D12" s="67"/>
      <c r="E12" s="61"/>
      <c r="F12" s="11">
        <f>F23</f>
        <v>84740</v>
      </c>
      <c r="G12" s="11">
        <f t="shared" ref="G12:I12" si="12">G23</f>
        <v>137130</v>
      </c>
      <c r="H12" s="11">
        <f t="shared" si="12"/>
        <v>195210</v>
      </c>
      <c r="I12" s="11">
        <f t="shared" si="12"/>
        <v>264660</v>
      </c>
      <c r="J12" s="94"/>
      <c r="K12" s="95"/>
      <c r="M12" s="49" t="s">
        <v>47</v>
      </c>
      <c r="N12" s="37"/>
      <c r="O12" s="37"/>
      <c r="P12" s="37"/>
      <c r="Q12" s="37"/>
      <c r="R12" s="37">
        <f>N11+O11-P12</f>
        <v>3228750</v>
      </c>
      <c r="S12" s="37"/>
      <c r="T12" s="37"/>
    </row>
    <row r="13" spans="1:20" x14ac:dyDescent="0.3">
      <c r="B13" s="56"/>
      <c r="C13" s="71" t="s">
        <v>31</v>
      </c>
      <c r="D13" s="68">
        <f>Input!I17</f>
        <v>1000000</v>
      </c>
      <c r="E13" s="9">
        <f>$D$13</f>
        <v>1000000</v>
      </c>
      <c r="F13" s="9">
        <f t="shared" ref="F13:I13" si="13">$D$13</f>
        <v>1000000</v>
      </c>
      <c r="G13" s="9">
        <f t="shared" si="13"/>
        <v>1000000</v>
      </c>
      <c r="H13" s="9">
        <f t="shared" si="13"/>
        <v>1000000</v>
      </c>
      <c r="I13" s="9">
        <f t="shared" si="13"/>
        <v>1000000</v>
      </c>
      <c r="J13" s="94"/>
      <c r="K13" s="95"/>
      <c r="M13" s="49" t="s">
        <v>42</v>
      </c>
      <c r="N13" s="37"/>
      <c r="O13" s="37"/>
      <c r="P13" s="37"/>
      <c r="Q13" s="37"/>
      <c r="R13" s="37"/>
      <c r="S13" s="37">
        <f>D20</f>
        <v>6000000</v>
      </c>
      <c r="T13" s="37"/>
    </row>
    <row r="14" spans="1:20" x14ac:dyDescent="0.3">
      <c r="B14" s="4" t="s">
        <v>522</v>
      </c>
      <c r="C14" s="5"/>
      <c r="D14" s="66">
        <f>SUM(D15:D16)</f>
        <v>228750</v>
      </c>
      <c r="E14" s="60">
        <f t="shared" ref="E14:I14" si="14">SUM(E15:E16)</f>
        <v>228750</v>
      </c>
      <c r="F14" s="54">
        <f t="shared" si="14"/>
        <v>232980</v>
      </c>
      <c r="G14" s="54">
        <f t="shared" si="14"/>
        <v>235600</v>
      </c>
      <c r="H14" s="54">
        <f t="shared" si="14"/>
        <v>238510</v>
      </c>
      <c r="I14" s="54">
        <f t="shared" si="14"/>
        <v>241980</v>
      </c>
      <c r="J14" s="92"/>
      <c r="K14" s="93"/>
    </row>
    <row r="15" spans="1:20" x14ac:dyDescent="0.3">
      <c r="B15" s="159"/>
      <c r="C15" s="71" t="s">
        <v>530</v>
      </c>
      <c r="D15" s="69">
        <f>ROUNDDOWN(D8*5%,0)</f>
        <v>150000</v>
      </c>
      <c r="E15" s="62">
        <f t="shared" ref="E15:I15" si="15">ROUNDDOWN(E8*5%,0)</f>
        <v>150000</v>
      </c>
      <c r="F15" s="8">
        <f t="shared" si="15"/>
        <v>154237</v>
      </c>
      <c r="G15" s="8">
        <f t="shared" si="15"/>
        <v>156856</v>
      </c>
      <c r="H15" s="8">
        <f t="shared" si="15"/>
        <v>159760</v>
      </c>
      <c r="I15" s="8">
        <f t="shared" si="15"/>
        <v>163233</v>
      </c>
      <c r="J15" s="92" t="s">
        <v>524</v>
      </c>
      <c r="K15" s="93"/>
      <c r="Q15" s="79"/>
    </row>
    <row r="16" spans="1:20" x14ac:dyDescent="0.3">
      <c r="B16" s="160"/>
      <c r="C16" s="71" t="s">
        <v>525</v>
      </c>
      <c r="D16" s="69">
        <f>ROUNDDOWN((D8+D15)*2.5%,0)</f>
        <v>78750</v>
      </c>
      <c r="E16" s="63">
        <f>E5-E8-E15</f>
        <v>78750</v>
      </c>
      <c r="F16" s="11">
        <f>F5-F8-F15</f>
        <v>78743</v>
      </c>
      <c r="G16" s="11">
        <f>G5-G8-G15</f>
        <v>78744</v>
      </c>
      <c r="H16" s="11">
        <f>H5-H8-H15</f>
        <v>78750</v>
      </c>
      <c r="I16" s="11">
        <f>I5-I8-I15</f>
        <v>78747</v>
      </c>
      <c r="J16" s="92" t="s">
        <v>531</v>
      </c>
      <c r="K16" s="93"/>
    </row>
    <row r="17" spans="2:11" x14ac:dyDescent="0.3">
      <c r="B17" s="7" t="s">
        <v>523</v>
      </c>
      <c r="C17" s="5"/>
      <c r="D17" s="66">
        <f t="shared" ref="D17:I17" si="16">D5-D8</f>
        <v>228750</v>
      </c>
      <c r="E17" s="60">
        <f t="shared" si="16"/>
        <v>228750</v>
      </c>
      <c r="F17" s="54">
        <f t="shared" si="16"/>
        <v>232980</v>
      </c>
      <c r="G17" s="54">
        <f t="shared" si="16"/>
        <v>235600</v>
      </c>
      <c r="H17" s="54">
        <f t="shared" si="16"/>
        <v>238510</v>
      </c>
      <c r="I17" s="54">
        <f t="shared" si="16"/>
        <v>241980</v>
      </c>
      <c r="J17" s="92" t="s">
        <v>529</v>
      </c>
      <c r="K17" s="93"/>
    </row>
    <row r="18" spans="2:11" x14ac:dyDescent="0.3">
      <c r="B18" s="3"/>
      <c r="C18" s="71" t="s">
        <v>4</v>
      </c>
      <c r="D18" s="70">
        <f t="shared" ref="D18:I18" si="17">IFERROR((D17/D5),0)</f>
        <v>7.0847851335656215E-2</v>
      </c>
      <c r="E18" s="64">
        <f t="shared" si="17"/>
        <v>7.0847851335656215E-2</v>
      </c>
      <c r="F18" s="55">
        <f t="shared" si="17"/>
        <v>7.0222924176844337E-2</v>
      </c>
      <c r="G18" s="55">
        <f t="shared" si="17"/>
        <v>6.9854390953322673E-2</v>
      </c>
      <c r="H18" s="55">
        <f t="shared" si="17"/>
        <v>6.9461109234299823E-2</v>
      </c>
      <c r="I18" s="55">
        <f t="shared" si="17"/>
        <v>6.9006228184244747E-2</v>
      </c>
      <c r="J18" s="92" t="s">
        <v>3</v>
      </c>
      <c r="K18" s="93"/>
    </row>
    <row r="19" spans="2:11" x14ac:dyDescent="0.3">
      <c r="K19"/>
    </row>
    <row r="20" spans="2:11" x14ac:dyDescent="0.3">
      <c r="C20" s="82" t="s">
        <v>5</v>
      </c>
      <c r="D20" s="83">
        <f>D8*2</f>
        <v>6000000</v>
      </c>
      <c r="E20" s="72" t="s">
        <v>547</v>
      </c>
      <c r="F20" s="117">
        <v>24</v>
      </c>
      <c r="G20" s="117">
        <v>36</v>
      </c>
      <c r="H20" s="117">
        <v>48</v>
      </c>
      <c r="I20" s="117">
        <v>60</v>
      </c>
      <c r="J20" s="171" t="s">
        <v>2</v>
      </c>
      <c r="K20" s="170"/>
    </row>
    <row r="21" spans="2:11" x14ac:dyDescent="0.3">
      <c r="C21" s="80" t="s">
        <v>545</v>
      </c>
      <c r="D21" s="81">
        <f>R12</f>
        <v>3228750</v>
      </c>
      <c r="E21" s="73" t="s">
        <v>532</v>
      </c>
      <c r="F21" s="74">
        <f>VALUE(차입이자!J43)</f>
        <v>5.3330000000000002</v>
      </c>
      <c r="G21" s="74">
        <f>VALUE(차입이자!L43)</f>
        <v>5.77</v>
      </c>
      <c r="H21" s="74">
        <f>VALUE(차입이자!M43)</f>
        <v>6.1310000000000002</v>
      </c>
      <c r="I21" s="74">
        <f>VALUE(차입이자!N43)</f>
        <v>6.5890000000000004</v>
      </c>
      <c r="J21" s="96" t="s">
        <v>528</v>
      </c>
      <c r="K21" s="93"/>
    </row>
    <row r="22" spans="2:11" x14ac:dyDescent="0.3">
      <c r="C22" s="84" t="s">
        <v>6</v>
      </c>
      <c r="D22" s="85">
        <f>D5</f>
        <v>3228750</v>
      </c>
      <c r="E22" s="73" t="s">
        <v>533</v>
      </c>
      <c r="F22" s="75">
        <f>ROUNDDOWN(PMT(F21%/12,F20,-F11),0)</f>
        <v>66031</v>
      </c>
      <c r="G22" s="75">
        <f>ROUNDDOWN(PMT(G21%/12,G20,-G11),0)</f>
        <v>45476</v>
      </c>
      <c r="H22" s="75">
        <f>ROUNDDOWN(PMT(H21%/12,H20,-H11),0)</f>
        <v>35317</v>
      </c>
      <c r="I22" s="75">
        <f>ROUNDDOWN(PMT(I21%/12,I20,-I11),0)</f>
        <v>29411</v>
      </c>
      <c r="J22" s="96"/>
      <c r="K22" s="93"/>
    </row>
    <row r="23" spans="2:11" x14ac:dyDescent="0.3">
      <c r="E23" s="76" t="s">
        <v>535</v>
      </c>
      <c r="F23" s="77">
        <f>ROUNDDOWN(F20*F22-F11,-1)</f>
        <v>84740</v>
      </c>
      <c r="G23" s="77">
        <f t="shared" ref="G23:I23" si="18">ROUNDDOWN(G20*G22-G11,-1)</f>
        <v>137130</v>
      </c>
      <c r="H23" s="77">
        <f t="shared" si="18"/>
        <v>195210</v>
      </c>
      <c r="I23" s="77">
        <f t="shared" si="18"/>
        <v>264660</v>
      </c>
      <c r="J23" s="96"/>
      <c r="K23" s="93"/>
    </row>
    <row r="24" spans="2:11" x14ac:dyDescent="0.3">
      <c r="E24" s="76" t="s">
        <v>540</v>
      </c>
      <c r="F24" s="77">
        <f>ROUNDDOWN(F23*105%,-1)</f>
        <v>88970</v>
      </c>
      <c r="G24" s="77">
        <f t="shared" ref="G24:I24" si="19">ROUNDDOWN(G23*105%,-1)</f>
        <v>143980</v>
      </c>
      <c r="H24" s="77">
        <f t="shared" si="19"/>
        <v>204970</v>
      </c>
      <c r="I24" s="77">
        <f t="shared" si="19"/>
        <v>277890</v>
      </c>
      <c r="J24" s="96" t="s">
        <v>541</v>
      </c>
      <c r="K24" s="93"/>
    </row>
    <row r="25" spans="2:11" x14ac:dyDescent="0.3">
      <c r="K25"/>
    </row>
    <row r="26" spans="2:11" ht="21.75" customHeight="1" x14ac:dyDescent="0.3">
      <c r="E26" s="72" t="s">
        <v>547</v>
      </c>
      <c r="F26" s="117">
        <v>24</v>
      </c>
      <c r="G26" s="117">
        <v>36</v>
      </c>
      <c r="H26" s="117">
        <v>48</v>
      </c>
      <c r="I26" s="117">
        <v>60</v>
      </c>
      <c r="J26" s="171" t="s">
        <v>2</v>
      </c>
      <c r="K26" s="170"/>
    </row>
    <row r="27" spans="2:11" ht="21.75" customHeight="1" x14ac:dyDescent="0.3">
      <c r="E27" s="127" t="s">
        <v>542</v>
      </c>
      <c r="F27" s="128">
        <v>0.11</v>
      </c>
      <c r="G27" s="128">
        <v>0.12</v>
      </c>
      <c r="H27" s="128">
        <v>0.13</v>
      </c>
      <c r="I27" s="128">
        <v>0.14000000000000001</v>
      </c>
      <c r="J27" s="97" t="s">
        <v>560</v>
      </c>
      <c r="K27" s="98"/>
    </row>
    <row r="28" spans="2:11" ht="21.75" customHeight="1" x14ac:dyDescent="0.3">
      <c r="E28" s="129" t="s">
        <v>543</v>
      </c>
      <c r="F28" s="130">
        <v>0.01</v>
      </c>
      <c r="G28" s="130">
        <v>0.02</v>
      </c>
      <c r="H28" s="130">
        <v>0.03</v>
      </c>
      <c r="I28" s="130">
        <v>0.04</v>
      </c>
      <c r="J28" s="133" t="s">
        <v>561</v>
      </c>
      <c r="K28" s="134"/>
    </row>
    <row r="29" spans="2:11" ht="21.75" customHeight="1" x14ac:dyDescent="0.3">
      <c r="E29" s="131" t="s">
        <v>563</v>
      </c>
      <c r="F29" s="132">
        <f>ROUNDDOWN(IF($E$18&gt;=F27,$E$5*F28,0),0)*(-1)</f>
        <v>0</v>
      </c>
      <c r="G29" s="132">
        <f>ROUNDDOWN(IF($E$18&gt;=G27,$E$5*G28,0),0)*(-1)</f>
        <v>0</v>
      </c>
      <c r="H29" s="132">
        <f>ROUNDDOWN(IF($E$18&gt;=H27,$E$5*H28,0),0)*(-1)</f>
        <v>0</v>
      </c>
      <c r="I29" s="132">
        <f>ROUNDDOWN(IF($E$18&gt;=I27,$E$5*I28,0),0)*(-1)</f>
        <v>0</v>
      </c>
      <c r="J29" s="135"/>
      <c r="K29" s="136"/>
    </row>
    <row r="31" spans="2:11" x14ac:dyDescent="0.3">
      <c r="E31" s="163" t="s">
        <v>547</v>
      </c>
      <c r="F31" s="165" t="s">
        <v>550</v>
      </c>
      <c r="G31" s="166"/>
      <c r="H31" s="166"/>
      <c r="I31" s="167"/>
      <c r="J31" s="168" t="s">
        <v>549</v>
      </c>
      <c r="K31" s="169"/>
    </row>
    <row r="32" spans="2:11" x14ac:dyDescent="0.3">
      <c r="E32" s="164"/>
      <c r="F32" s="72" t="s">
        <v>553</v>
      </c>
      <c r="G32" s="88" t="s">
        <v>551</v>
      </c>
      <c r="H32" s="87" t="s">
        <v>552</v>
      </c>
      <c r="I32" s="72" t="s">
        <v>554</v>
      </c>
      <c r="J32" s="87" t="s">
        <v>556</v>
      </c>
      <c r="K32" s="87" t="s">
        <v>555</v>
      </c>
    </row>
    <row r="33" spans="5:20" s="1" customFormat="1" ht="23.25" customHeight="1" x14ac:dyDescent="0.3">
      <c r="E33" s="100" t="s">
        <v>548</v>
      </c>
      <c r="F33" s="101">
        <f>IF(K33&lt;7%,0,0)</f>
        <v>0</v>
      </c>
      <c r="G33" s="102">
        <f>IF(K33&lt;7%,0,0)</f>
        <v>0</v>
      </c>
      <c r="H33" s="102">
        <f>IF(K33&lt;7%,0,0)</f>
        <v>0</v>
      </c>
      <c r="I33" s="103">
        <v>0</v>
      </c>
      <c r="J33" s="102">
        <f>IF(K33&lt;7%,"매총목표 미달",E5)</f>
        <v>3228750</v>
      </c>
      <c r="K33" s="104">
        <f>E18</f>
        <v>7.0847851335656215E-2</v>
      </c>
      <c r="M33"/>
      <c r="N33"/>
      <c r="O33"/>
      <c r="P33"/>
      <c r="Q33"/>
      <c r="R33"/>
      <c r="S33"/>
      <c r="T33"/>
    </row>
    <row r="34" spans="5:20" s="1" customFormat="1" ht="23.25" customHeight="1" x14ac:dyDescent="0.3">
      <c r="E34" s="105">
        <v>12</v>
      </c>
      <c r="F34" s="106">
        <f t="shared" ref="F34:F37" si="20">IF(K34&lt;7%,0,$J$33/E34)</f>
        <v>269062.5</v>
      </c>
      <c r="G34" s="107">
        <f>IF(K34&lt;7%,0,0)</f>
        <v>0</v>
      </c>
      <c r="H34" s="107">
        <f>IF(K34&lt;7%,0,0)</f>
        <v>0</v>
      </c>
      <c r="I34" s="108">
        <f>SUM(F34:H34)</f>
        <v>269062.5</v>
      </c>
      <c r="J34" s="107">
        <f>IF(K34&lt;7%,"매총목표 미달",I34*E34)</f>
        <v>3228750</v>
      </c>
      <c r="K34" s="109">
        <f>E18</f>
        <v>7.0847851335656215E-2</v>
      </c>
    </row>
    <row r="35" spans="5:20" s="1" customFormat="1" ht="23.25" customHeight="1" x14ac:dyDescent="0.3">
      <c r="E35" s="105">
        <v>24</v>
      </c>
      <c r="F35" s="106">
        <f t="shared" si="20"/>
        <v>134531.25</v>
      </c>
      <c r="G35" s="107">
        <f>IF(K35&lt;7%,0,F6/E35)</f>
        <v>3707.0833333333335</v>
      </c>
      <c r="H35" s="107">
        <f>IF(K35&lt;7%,0,F7/E35)</f>
        <v>0</v>
      </c>
      <c r="I35" s="108">
        <f t="shared" ref="I35:I38" si="21">SUM(F35:H35)</f>
        <v>138238.33333333334</v>
      </c>
      <c r="J35" s="107">
        <f t="shared" ref="J35:J38" si="22">IF(K35&lt;7%,"매총목표 미달",I35*E35)</f>
        <v>3317720</v>
      </c>
      <c r="K35" s="109">
        <f>F18</f>
        <v>7.0222924176844337E-2</v>
      </c>
    </row>
    <row r="36" spans="5:20" s="1" customFormat="1" ht="23.25" customHeight="1" x14ac:dyDescent="0.3">
      <c r="E36" s="105">
        <v>36</v>
      </c>
      <c r="F36" s="106">
        <f t="shared" si="20"/>
        <v>0</v>
      </c>
      <c r="G36" s="107">
        <f>IF(K36&lt;7%,0,G6/E36)</f>
        <v>0</v>
      </c>
      <c r="H36" s="107">
        <f>IF(K36&lt;7%,0,G7/E36)</f>
        <v>0</v>
      </c>
      <c r="I36" s="108">
        <f t="shared" si="21"/>
        <v>0</v>
      </c>
      <c r="J36" s="110" t="str">
        <f t="shared" si="22"/>
        <v>매총목표 미달</v>
      </c>
      <c r="K36" s="109">
        <f>G18</f>
        <v>6.9854390953322673E-2</v>
      </c>
    </row>
    <row r="37" spans="5:20" s="1" customFormat="1" ht="23.25" customHeight="1" x14ac:dyDescent="0.3">
      <c r="E37" s="105">
        <v>48</v>
      </c>
      <c r="F37" s="106">
        <f t="shared" si="20"/>
        <v>0</v>
      </c>
      <c r="G37" s="107">
        <f>IF(K37&lt;7%,0,H6/E37)</f>
        <v>0</v>
      </c>
      <c r="H37" s="107">
        <f>IF(K37&lt;7%,0,H7/E37)</f>
        <v>0</v>
      </c>
      <c r="I37" s="108">
        <f t="shared" si="21"/>
        <v>0</v>
      </c>
      <c r="J37" s="110" t="str">
        <f t="shared" si="22"/>
        <v>매총목표 미달</v>
      </c>
      <c r="K37" s="109">
        <f>H18</f>
        <v>6.9461109234299823E-2</v>
      </c>
    </row>
    <row r="38" spans="5:20" s="1" customFormat="1" ht="23.25" customHeight="1" x14ac:dyDescent="0.3">
      <c r="E38" s="111">
        <v>60</v>
      </c>
      <c r="F38" s="112">
        <f t="shared" ref="F38" si="23">IF(K38&lt;7%,0,$J$33/E38)</f>
        <v>0</v>
      </c>
      <c r="G38" s="113">
        <f>IF(K38&lt;7%,0,I6/E38)</f>
        <v>0</v>
      </c>
      <c r="H38" s="113">
        <f>IF(K38&lt;7%,0,I7/E38)</f>
        <v>0</v>
      </c>
      <c r="I38" s="114">
        <f t="shared" si="21"/>
        <v>0</v>
      </c>
      <c r="J38" s="115" t="str">
        <f t="shared" si="22"/>
        <v>매총목표 미달</v>
      </c>
      <c r="K38" s="116">
        <f>I18</f>
        <v>6.9006228184244747E-2</v>
      </c>
    </row>
    <row r="39" spans="5:20" s="1" customFormat="1" x14ac:dyDescent="0.3">
      <c r="K39" s="91"/>
    </row>
    <row r="40" spans="5:20" x14ac:dyDescent="0.3">
      <c r="M40" s="1"/>
      <c r="N40" s="1"/>
      <c r="O40" s="1"/>
      <c r="P40" s="1"/>
      <c r="Q40" s="1"/>
      <c r="R40" s="1"/>
      <c r="S40" s="1"/>
      <c r="T40" s="1"/>
    </row>
    <row r="41" spans="5:20" x14ac:dyDescent="0.3">
      <c r="F41" s="78"/>
      <c r="G41" s="78"/>
      <c r="H41" s="78"/>
      <c r="I41" s="78"/>
    </row>
  </sheetData>
  <mergeCells count="8">
    <mergeCell ref="B15:B16"/>
    <mergeCell ref="B4:C4"/>
    <mergeCell ref="E31:E32"/>
    <mergeCell ref="F31:I31"/>
    <mergeCell ref="J31:K31"/>
    <mergeCell ref="J4:K4"/>
    <mergeCell ref="J20:K20"/>
    <mergeCell ref="J26:K26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Guide</vt:lpstr>
      <vt:lpstr>Input</vt:lpstr>
      <vt:lpstr>차입이자</vt:lpstr>
      <vt:lpstr>손익표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Thanki</dc:creator>
  <cp:lastModifiedBy>Administrator</cp:lastModifiedBy>
  <dcterms:created xsi:type="dcterms:W3CDTF">2024-03-02T21:23:08Z</dcterms:created>
  <dcterms:modified xsi:type="dcterms:W3CDTF">2024-03-08T08:25:51Z</dcterms:modified>
</cp:coreProperties>
</file>