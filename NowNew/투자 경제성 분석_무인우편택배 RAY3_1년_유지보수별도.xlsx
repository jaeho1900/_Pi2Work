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프로덕트별\무인우편택배\손익_경제성 분석\"/>
    </mc:Choice>
  </mc:AlternateContent>
  <xr:revisionPtr revIDLastSave="0" documentId="8_{9FE1A7D3-3129-47A3-BE63-4CBB5CB30934}" xr6:coauthVersionLast="36" xr6:coauthVersionMax="36" xr10:uidLastSave="{00000000-0000-0000-0000-000000000000}"/>
  <bookViews>
    <workbookView xWindow="0" yWindow="0" windowWidth="22296" windowHeight="10212" activeTab="1" xr2:uid="{121BEC45-3263-4611-B6DD-8F67DCA3A0E3}"/>
  </bookViews>
  <sheets>
    <sheet name="작성가이드 (2)" sheetId="8" r:id="rId1"/>
    <sheet name="경제성분석" sheetId="9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___IRR2" hidden="1">[1]공정!$AH$25:$AH$37</definedName>
    <definedName name="__123Graph_A" localSheetId="1" hidden="1">[1]목표세부명세!#REF!</definedName>
    <definedName name="__123Graph_A" hidden="1">[1]목표세부명세!#REF!</definedName>
    <definedName name="__123Graph_B" localSheetId="1" hidden="1">[1]목표세부명세!#REF!</definedName>
    <definedName name="__123Graph_B" hidden="1">[1]목표세부명세!#REF!</definedName>
    <definedName name="__FM2" localSheetId="1">BlankMacro1</definedName>
    <definedName name="__FM2">BlankMacro1</definedName>
    <definedName name="__IRR2" hidden="1">[2]공정!$AH$25:$AH$37</definedName>
    <definedName name="__PRN2" localSheetId="1">[3]내역서!#REF!</definedName>
    <definedName name="__PRN2">[3]내역서!#REF!</definedName>
    <definedName name="__PRN3" localSheetId="1">[3]내역서!#REF!</definedName>
    <definedName name="__PRN3">[3]내역서!#REF!</definedName>
    <definedName name="__PRN4" localSheetId="1">[3]내역서!#REF!</definedName>
    <definedName name="__PRN4">[3]내역서!#REF!</definedName>
    <definedName name="__PRN6" localSheetId="1">[3]내역서!#REF!</definedName>
    <definedName name="__PRN6">[3]내역서!#REF!</definedName>
    <definedName name="__PRN7" localSheetId="1">[3]내역서!#REF!</definedName>
    <definedName name="__PRN7">[3]내역서!#REF!</definedName>
    <definedName name="_1">#N/A</definedName>
    <definedName name="_12G_0Extr" localSheetId="1">#REF!</definedName>
    <definedName name="_12G_0Extr">#REF!</definedName>
    <definedName name="_12G_0Extract" localSheetId="1">#REF!</definedName>
    <definedName name="_12G_0Extract">#REF!</definedName>
    <definedName name="_16G_0Extract" localSheetId="1">#REF!</definedName>
    <definedName name="_16G_0Extract">#REF!</definedName>
    <definedName name="_1st_Yr_Turn_over_rate" localSheetId="1">[4]Assumption!#REF!</definedName>
    <definedName name="_1st_Yr_Turn_over_rate">[4]Assumption!#REF!</definedName>
    <definedName name="_1st_Yr_V" localSheetId="1">[4]Assumption!#REF!</definedName>
    <definedName name="_1st_Yr_V">[4]Assumption!#REF!</definedName>
    <definedName name="_1st_Yr_Vacancy" localSheetId="1">[4]Assumption!#REF!</definedName>
    <definedName name="_1st_Yr_Vacancy">[4]Assumption!#REF!</definedName>
    <definedName name="_2">#N/A</definedName>
    <definedName name="_3">#N/A</definedName>
    <definedName name="_3_3_0Crite" localSheetId="1">#REF!</definedName>
    <definedName name="_3_3_0Crite">#REF!</definedName>
    <definedName name="_4">#N/A</definedName>
    <definedName name="_4_3_0Crite" localSheetId="1">#REF!</definedName>
    <definedName name="_4_3_0Crite">#REF!</definedName>
    <definedName name="_5">#N/A</definedName>
    <definedName name="_6">#N/A</definedName>
    <definedName name="_6_3_0Criteria" localSheetId="1">#REF!</definedName>
    <definedName name="_6_3_0Criteria">#REF!</definedName>
    <definedName name="_8_3_0Criteria" localSheetId="1">#REF!</definedName>
    <definedName name="_8_3_0Criteria">#REF!</definedName>
    <definedName name="_9G_0Extr" localSheetId="1">#REF!</definedName>
    <definedName name="_9G_0Extr">#REF!</definedName>
    <definedName name="_Fill" localSheetId="1" hidden="1">[4]손익!#REF!</definedName>
    <definedName name="_Fill" hidden="1">[4]손익!#REF!</definedName>
    <definedName name="_IRR2" hidden="1">[2]공정!$AH$25:$AH$37</definedName>
    <definedName name="_JV1" localSheetId="1">#REF!</definedName>
    <definedName name="_JV1">#REF!</definedName>
    <definedName name="_JV2" localSheetId="1">#REF!</definedName>
    <definedName name="_JV2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Order1" hidden="1">0</definedName>
    <definedName name="_Order2" hidden="1">0</definedName>
    <definedName name="_PL7" hidden="1">{#N/A,#N/A,TRUE,"대 차 대 조 표"}</definedName>
    <definedName name="_Sort" localSheetId="1" hidden="1">[5]내역서!#REF!</definedName>
    <definedName name="_Sort" hidden="1">[5]내역서!#REF!</definedName>
    <definedName name="_SUP1" localSheetId="1">#REF!</definedName>
    <definedName name="_SUP1">#REF!</definedName>
    <definedName name="_SUP2" localSheetId="1">#REF!</definedName>
    <definedName name="_SUP2">#REF!</definedName>
    <definedName name="¸AAa.º≫" localSheetId="1">#REF!</definedName>
    <definedName name="¸AAa.º≫">#REF!</definedName>
    <definedName name="¿¡´ⓒ¸R.º≫" localSheetId="1">#REF!</definedName>
    <definedName name="¿¡´ⓒ¸R.º≫">#REF!</definedName>
    <definedName name="¿μ¼o" localSheetId="1">[6]대차대조표!#REF!</definedName>
    <definedName name="¿μ¼o">[6]대차대조표!#REF!</definedName>
    <definedName name="¿μºn" localSheetId="1">[6]대차대조표!#REF!</definedName>
    <definedName name="¿μºn">[6]대차대조표!#REF!</definedName>
    <definedName name="¤¡¤¡" localSheetId="1">[7]영업.일1!#REF!</definedName>
    <definedName name="¤¡¤¡">[7]영업.일1!#REF!</definedName>
    <definedName name="¤I" localSheetId="1">[8]일반관리비!#REF!</definedName>
    <definedName name="¤I">[8]일반관리비!#REF!</definedName>
    <definedName name="\2" localSheetId="1">#REF!</definedName>
    <definedName name="\2">#REF!</definedName>
    <definedName name="\a">#N/A</definedName>
    <definedName name="\b">#N/A</definedName>
    <definedName name="\q">#N/A</definedName>
    <definedName name="\r">#N/A</definedName>
    <definedName name="\s">#N/A</definedName>
    <definedName name="±Þ·a.º≫" localSheetId="1">#REF!</definedName>
    <definedName name="±Þ·a.º≫">#REF!</definedName>
    <definedName name="≫oC°¿ø°¡.º≫" localSheetId="1">#REF!</definedName>
    <definedName name="≫oC°¿ø°¡.º≫">#REF!</definedName>
    <definedName name="°¡Au" localSheetId="1">[9]손익!#REF!</definedName>
    <definedName name="°¡Au">[9]손익!#REF!</definedName>
    <definedName name="°æºn.º≫" localSheetId="1">#REF!</definedName>
    <definedName name="°æºn.º≫">#REF!</definedName>
    <definedName name="°øAe°æºn" localSheetId="1">#REF!</definedName>
    <definedName name="°øAe°æºn">#REF!</definedName>
    <definedName name="½AC°" localSheetId="1">[9]손익!#REF!</definedName>
    <definedName name="½AC°">[9]손익!#REF!</definedName>
    <definedName name="A">#N/A</definedName>
    <definedName name="A?Ae" localSheetId="1">[9]손익!#REF!</definedName>
    <definedName name="A?Ae">[9]손익!#REF!</definedName>
    <definedName name="aa" localSheetId="1">'[10]Initial Input Variable'!#REF!</definedName>
    <definedName name="aa">'[10]Initial Input Variable'!#REF!</definedName>
    <definedName name="aaa" localSheetId="1">#REF!</definedName>
    <definedName name="aaa">#REF!</definedName>
    <definedName name="aaaa" localSheetId="1">'[11]인원계획-미화'!#REF!</definedName>
    <definedName name="aaaa">'[11]인원계획-미화'!#REF!</definedName>
    <definedName name="abc" localSheetId="1">#REF!</definedName>
    <definedName name="abc">#REF!</definedName>
    <definedName name="abs" localSheetId="1">#REF!</definedName>
    <definedName name="abs">#REF!</definedName>
    <definedName name="AC·u" localSheetId="1">[9]손익!#REF!</definedName>
    <definedName name="AC·u">[9]손익!#REF!</definedName>
    <definedName name="Access_Button" hidden="1">"종합사번1999년_99년02월_퇴사__List"</definedName>
    <definedName name="AccessDatabase" hidden="1">"C:\My Documents\사번\종합사번1999년.mdb"</definedName>
    <definedName name="Acquisition_Cost" localSheetId="1">#REF!</definedName>
    <definedName name="Acquisition_Cost">#REF!</definedName>
    <definedName name="Add_AcqCost" localSheetId="1">#REF!</definedName>
    <definedName name="Add_AcqCost">#REF!</definedName>
    <definedName name="Add_ExitCost" localSheetId="1">#REF!</definedName>
    <definedName name="Add_ExitCost">#REF!</definedName>
    <definedName name="Add_HedgeCost" localSheetId="1">#REF!</definedName>
    <definedName name="Add_HedgeCost">#REF!</definedName>
    <definedName name="Add_OperatingExp" localSheetId="1">#REF!</definedName>
    <definedName name="Add_OperatingExp">#REF!</definedName>
    <definedName name="Add_OtherInc" localSheetId="1">#REF!</definedName>
    <definedName name="Add_OtherInc">#REF!</definedName>
    <definedName name="Add_RentalInc" localSheetId="1">#REF!</definedName>
    <definedName name="Add_RentalInc">#REF!</definedName>
    <definedName name="Additional_Notes" localSheetId="1">#REF!</definedName>
    <definedName name="Additional_Notes">#REF!</definedName>
    <definedName name="Æ?º°¼O½C" localSheetId="1">[6]대차대조표!#REF!</definedName>
    <definedName name="Æ?º°¼O½C">[6]대차대조표!#REF!</definedName>
    <definedName name="Æ?º°AIAI" localSheetId="1">[6]대차대조표!#REF!</definedName>
    <definedName name="Æ?º°AIAI">[6]대차대조표!#REF!</definedName>
    <definedName name="agent.gross.margin.base" localSheetId="1">#REF!</definedName>
    <definedName name="agent.gross.margin.base">#REF!</definedName>
    <definedName name="agent.has.factor" localSheetId="1">#REF!</definedName>
    <definedName name="agent.has.factor">#REF!</definedName>
    <definedName name="agent.level1.factor" localSheetId="1">#REF!</definedName>
    <definedName name="agent.level1.factor">#REF!</definedName>
    <definedName name="agent.level1.sales.margin" localSheetId="1">#REF!</definedName>
    <definedName name="agent.level1.sales.margin">#REF!</definedName>
    <definedName name="agent.sales.margin.factor" localSheetId="1">#REF!</definedName>
    <definedName name="agent.sales.margin.factor">#REF!</definedName>
    <definedName name="Alt">'[12]Cash Flow'!$A$2</definedName>
    <definedName name="AMC_Fee">[4]Assumption!$B$8</definedName>
    <definedName name="AMC_Promote_Fee">[4]Assumption!$B$11</definedName>
    <definedName name="Annual_Allowance" localSheetId="1">#REF!</definedName>
    <definedName name="Annual_Allowance">#REF!</definedName>
    <definedName name="AnnUtilSvgs" localSheetId="1">#REF!</definedName>
    <definedName name="AnnUtilSvgs">#REF!</definedName>
    <definedName name="anscount" hidden="1">2</definedName>
    <definedName name="Approved_Gross_Area" localSheetId="1">#REF!</definedName>
    <definedName name="Approved_Gross_Area">#REF!</definedName>
    <definedName name="Area_Chonsei" localSheetId="1">#REF!</definedName>
    <definedName name="Area_Chonsei">#REF!</definedName>
    <definedName name="Area_Office" localSheetId="1">#REF!</definedName>
    <definedName name="Area_Office">#REF!</definedName>
    <definedName name="Area_Residential" localSheetId="1">#REF!</definedName>
    <definedName name="Area_Residential">#REF!</definedName>
    <definedName name="Area_Retail" localSheetId="1">#REF!</definedName>
    <definedName name="Area_Retail">#REF!</definedName>
    <definedName name="Area_Western" localSheetId="1">#REF!</definedName>
    <definedName name="Area_Western">#REF!</definedName>
    <definedName name="asd" localSheetId="1">#REF!</definedName>
    <definedName name="asd">#REF!</definedName>
    <definedName name="ased" localSheetId="1">#REF!</definedName>
    <definedName name="ased">#REF!</definedName>
    <definedName name="Asset_MgmtFee" localSheetId="1">#REF!</definedName>
    <definedName name="Asset_MgmtFee">#REF!</definedName>
    <definedName name="AUTOEXEC" localSheetId="1">#REF!</definedName>
    <definedName name="AUTOEXEC">#REF!</definedName>
    <definedName name="AVEDBT" localSheetId="1">#REF!</definedName>
    <definedName name="AVEDBT">#REF!</definedName>
    <definedName name="b" localSheetId="1">[13]노무비!#REF!</definedName>
    <definedName name="b">[13]노무비!#REF!</definedName>
    <definedName name="b_master">[14]マスタ!$N$1:$AH$25</definedName>
    <definedName name="ballast.material" localSheetId="1">#REF!</definedName>
    <definedName name="ballast.material">#REF!</definedName>
    <definedName name="Base_Data_Input_Page" localSheetId="1">#REF!</definedName>
    <definedName name="Base_Data_Input_Page">#REF!</definedName>
    <definedName name="bb" localSheetId="1">'[10]Initial Input Variable'!#REF!</definedName>
    <definedName name="bb">'[10]Initial Input Variable'!#REF!</definedName>
    <definedName name="bcrclcl100rt" localSheetId="1">[8]일반관리비!#REF!</definedName>
    <definedName name="bcrclcl100rt">[8]일반관리비!#REF!</definedName>
    <definedName name="bcrclcl100rtrkrk" localSheetId="1">[8]일반관리비!#REF!</definedName>
    <definedName name="bcrclcl100rtrkrk">[8]일반관리비!#REF!</definedName>
    <definedName name="Benefits_Realized" localSheetId="1">#REF!</definedName>
    <definedName name="Benefits_Realized">#REF!</definedName>
    <definedName name="bitch" localSheetId="1">#REF!</definedName>
    <definedName name="bitch">#REF!</definedName>
    <definedName name="bl.labor.time1" localSheetId="1">#REF!</definedName>
    <definedName name="bl.labor.time1">#REF!</definedName>
    <definedName name="bl.labor.time2" localSheetId="1">#REF!</definedName>
    <definedName name="bl.labor.time2">#REF!</definedName>
    <definedName name="BLDGSQFT" localSheetId="1">#REF!</definedName>
    <definedName name="BLDGSQFT">#REF!</definedName>
    <definedName name="BoldSelectedFIMs" localSheetId="1">#REF!</definedName>
    <definedName name="BoldSelectedFIMs">#REF!</definedName>
    <definedName name="Borrow_Cost" localSheetId="1">#REF!</definedName>
    <definedName name="Borrow_Cost">#REF!</definedName>
    <definedName name="BottomColumnTwo" localSheetId="1">#REF!</definedName>
    <definedName name="BottomColumnTwo">#REF!</definedName>
    <definedName name="BS계정" localSheetId="1">#REF!</definedName>
    <definedName name="BS계정">#REF!</definedName>
    <definedName name="Budget" localSheetId="1">#REF!</definedName>
    <definedName name="Budget">#REF!</definedName>
    <definedName name="burn">'[15]burn hrs'!$B$4:$E$55</definedName>
    <definedName name="Buy_Price" localSheetId="1">#REF!</definedName>
    <definedName name="Buy_Price">#REF!</definedName>
    <definedName name="CapEx_A" localSheetId="1">#REF!</definedName>
    <definedName name="CapEx_A">#REF!</definedName>
    <definedName name="CapEx_B" localSheetId="1">#REF!</definedName>
    <definedName name="CapEx_B">#REF!</definedName>
    <definedName name="CapEx_C" localSheetId="1">#REF!</definedName>
    <definedName name="CapEx_C">#REF!</definedName>
    <definedName name="CapEx_D" localSheetId="1">#REF!</definedName>
    <definedName name="CapEx_D">#REF!</definedName>
    <definedName name="CapEx_E" localSheetId="1">#REF!</definedName>
    <definedName name="CapEx_E">#REF!</definedName>
    <definedName name="CapEx_F" localSheetId="1">#REF!</definedName>
    <definedName name="CapEx_F">#REF!</definedName>
    <definedName name="CapEx_G" localSheetId="1">#REF!</definedName>
    <definedName name="CapEx_G">#REF!</definedName>
    <definedName name="CapEx_H" localSheetId="1">#REF!</definedName>
    <definedName name="CapEx_H">#REF!</definedName>
    <definedName name="Capital_Reserve">[4]Assumption!$B$10</definedName>
    <definedName name="Carpark_Revenue" localSheetId="1">#REF!</definedName>
    <definedName name="Carpark_Revenue">#REF!</definedName>
    <definedName name="Cash___ROI_Statement" localSheetId="1">#REF!</definedName>
    <definedName name="Cash___ROI_Statement">#REF!</definedName>
    <definedName name="CASHCREDIT" localSheetId="1">#REF!</definedName>
    <definedName name="CASHCREDIT">#REF!</definedName>
    <definedName name="CASHFLOW" localSheetId="1">#REF!</definedName>
    <definedName name="CASHFLOW">#REF!</definedName>
    <definedName name="CashflowStt" localSheetId="1">#REF!</definedName>
    <definedName name="CashflowStt">#REF!</definedName>
    <definedName name="CATV" localSheetId="1">[16]내역!#REF!</definedName>
    <definedName name="CATV">[16]내역!#REF!</definedName>
    <definedName name="CBTU" localSheetId="1">'[17]FIM-9.2'!#REF!</definedName>
    <definedName name="CBTU">'[17]FIM-9.2'!#REF!</definedName>
    <definedName name="cc" localSheetId="1">'[10]Initial Input Variable'!#REF!</definedName>
    <definedName name="cc">'[10]Initial Input Variable'!#REF!</definedName>
    <definedName name="CCTV" localSheetId="1">[16]내역!#REF!</definedName>
    <definedName name="CCTV">[16]내역!#REF!</definedName>
    <definedName name="CELLNOTE10" localSheetId="1">[18]노무비!#REF!</definedName>
    <definedName name="CELLNOTE10">[18]노무비!#REF!</definedName>
    <definedName name="CELLNOTE4" localSheetId="1">[19]노무비!#REF!</definedName>
    <definedName name="CELLNOTE4">[19]노무비!#REF!</definedName>
    <definedName name="CELLNOTE5" localSheetId="1">[18]노무비!#REF!</definedName>
    <definedName name="CELLNOTE5">[18]노무비!#REF!</definedName>
    <definedName name="CELLNOTE6" localSheetId="1">[19]노무비!#REF!</definedName>
    <definedName name="CELLNOTE6">[19]노무비!#REF!</definedName>
    <definedName name="CELLNOTE8" localSheetId="1">[19]노무비!#REF!</definedName>
    <definedName name="CELLNOTE8">[19]노무비!#REF!</definedName>
    <definedName name="cfdd" localSheetId="1">[18]노무비!#REF!</definedName>
    <definedName name="cfdd">[18]노무비!#REF!</definedName>
    <definedName name="CFM" localSheetId="1">#REF!</definedName>
    <definedName name="CFM">#REF!</definedName>
    <definedName name="chassis.cost" localSheetId="1">#REF!</definedName>
    <definedName name="chassis.cost">#REF!</definedName>
    <definedName name="chassis.labor.time" localSheetId="1">#REF!</definedName>
    <definedName name="chassis.labor.time">#REF!</definedName>
    <definedName name="chassis.material" localSheetId="1">#REF!</definedName>
    <definedName name="chassis.material">#REF!</definedName>
    <definedName name="Chiller_Type" localSheetId="1">#REF!</definedName>
    <definedName name="Chiller_Type">#REF!</definedName>
    <definedName name="Chonsei_Interest_Rate" localSheetId="1">#REF!</definedName>
    <definedName name="Chonsei_Interest_Rate">#REF!</definedName>
    <definedName name="Chonsei_Unit" localSheetId="1">#REF!</definedName>
    <definedName name="Chonsei_Unit">#REF!</definedName>
    <definedName name="CHPY">'[20]ECM Sum'!$P$9</definedName>
    <definedName name="CHWPEFF" localSheetId="1">'[20]ECM Sum'!#REF!</definedName>
    <definedName name="CHWPEFF">'[20]ECM Sum'!#REF!</definedName>
    <definedName name="CHWPHP" localSheetId="1">#REF!</definedName>
    <definedName name="CHWPHP">#REF!</definedName>
    <definedName name="CHWPLOAD" localSheetId="1">'[20]ECM Sum'!#REF!</definedName>
    <definedName name="CHWPLOAD">'[20]ECM Sum'!#REF!</definedName>
    <definedName name="Citi_Rent_Growth">[21]Assumption!$B$6</definedName>
    <definedName name="Clng_Load">'[22]General Facility Input'!$B$27</definedName>
    <definedName name="cm대비" localSheetId="1">#REF!</definedName>
    <definedName name="cm대비">#REF!</definedName>
    <definedName name="CODE">[23]List!$C$3:$C$69</definedName>
    <definedName name="code_combinations_in_use" localSheetId="1">#REF!</definedName>
    <definedName name="code_combinations_in_use">#REF!</definedName>
    <definedName name="comp">[24]comparables!$A$4:$DU$250</definedName>
    <definedName name="Compensation_Revenue" localSheetId="1">#REF!</definedName>
    <definedName name="Compensation_Revenue">#REF!</definedName>
    <definedName name="Composite_Land_Tax" localSheetId="1">#REF!</definedName>
    <definedName name="Composite_Land_Tax">#REF!</definedName>
    <definedName name="ConstructionCost" localSheetId="1">#REF!</definedName>
    <definedName name="ConstructionCost">#REF!</definedName>
    <definedName name="CorpTax_Coeff" localSheetId="1">#REF!</definedName>
    <definedName name="CorpTax_Coeff">#REF!</definedName>
    <definedName name="cost" localSheetId="1">#REF!</definedName>
    <definedName name="cost">#REF!</definedName>
    <definedName name="Cost_of_Vacancy_of_Sales_and_Service_Employees" localSheetId="1">#REF!</definedName>
    <definedName name="Cost_of_Vacancy_of_Sales_and_Service_Employees">#REF!</definedName>
    <definedName name="CostData">[25]CostData!$A:$BL</definedName>
    <definedName name="Costs_of_Sales">[4]Assumption!$B$6</definedName>
    <definedName name="country" localSheetId="1">#REF!</definedName>
    <definedName name="country">#REF!</definedName>
    <definedName name="CR" localSheetId="1">#REF!</definedName>
    <definedName name="CR">#REF!</definedName>
    <definedName name="CRa" localSheetId="1">#REF!</definedName>
    <definedName name="CRa">#REF!</definedName>
    <definedName name="CRb" localSheetId="1">#REF!</definedName>
    <definedName name="CRb">#REF!</definedName>
    <definedName name="CRC_CorpTax_Coeff" localSheetId="1">#REF!</definedName>
    <definedName name="CRC_CorpTax_Coeff">#REF!</definedName>
    <definedName name="CRC_Special_Capital_Gain_Tax" localSheetId="1">#REF!</definedName>
    <definedName name="CRC_Special_Capital_Gain_Tax">#REF!</definedName>
    <definedName name="CRC_Tax_Base_above100" localSheetId="1">#REF!</definedName>
    <definedName name="CRC_Tax_Base_above100">#REF!</definedName>
    <definedName name="CRC_Tax_Base_below100" localSheetId="1">#REF!</definedName>
    <definedName name="CRC_Tax_Base_below100">#REF!</definedName>
    <definedName name="CRC_Tax_Rental_Above100" localSheetId="1">#REF!</definedName>
    <definedName name="CRC_Tax_Rental_Above100">#REF!</definedName>
    <definedName name="CRC_Tax_Rental_below100" localSheetId="1">#REF!</definedName>
    <definedName name="CRC_Tax_Rental_below100">#REF!</definedName>
    <definedName name="CRC_Tax_Withhold_Capital_Gains" localSheetId="1">#REF!</definedName>
    <definedName name="CRC_Tax_Withhold_Capital_Gains">#REF!</definedName>
    <definedName name="CRC_Tax_Withhold_Dividends" localSheetId="1">#REF!</definedName>
    <definedName name="CRC_Tax_Withhold_Dividends">#REF!</definedName>
    <definedName name="Currency" localSheetId="1">#REF!</definedName>
    <definedName name="Currency">#REF!</definedName>
    <definedName name="Current_Month" localSheetId="1">#REF!</definedName>
    <definedName name="Current_Month">#REF!</definedName>
    <definedName name="Current_Month_SvcCharge" localSheetId="1">#REF!</definedName>
    <definedName name="Current_Month_SvcCharge">#REF!</definedName>
    <definedName name="Current_Year" localSheetId="1">#REF!</definedName>
    <definedName name="Current_Year">#REF!</definedName>
    <definedName name="CurrentCell" localSheetId="1">#REF!</definedName>
    <definedName name="CurrentCell">#REF!</definedName>
    <definedName name="cust.address" localSheetId="1">#REF!</definedName>
    <definedName name="cust.address">#REF!</definedName>
    <definedName name="cust.agent" localSheetId="1">#REF!</definedName>
    <definedName name="cust.agent">#REF!</definedName>
    <definedName name="cust.city" localSheetId="1">#REF!</definedName>
    <definedName name="cust.city">#REF!</definedName>
    <definedName name="cust.company" localSheetId="1">#REF!</definedName>
    <definedName name="cust.company">#REF!</definedName>
    <definedName name="cust.county" localSheetId="1">#REF!</definedName>
    <definedName name="cust.county">#REF!</definedName>
    <definedName name="cust.date" localSheetId="1">#REF!</definedName>
    <definedName name="cust.date">#REF!</definedName>
    <definedName name="cust.fax" localSheetId="1">#REF!</definedName>
    <definedName name="cust.fax">#REF!</definedName>
    <definedName name="cust.first.name" localSheetId="1">#REF!</definedName>
    <definedName name="cust.first.name">#REF!</definedName>
    <definedName name="cust.header.1" localSheetId="1">#REF!</definedName>
    <definedName name="cust.header.1">#REF!</definedName>
    <definedName name="cust.header.2" localSheetId="1">#REF!</definedName>
    <definedName name="cust.header.2">#REF!</definedName>
    <definedName name="cust.header.3" localSheetId="1">#REF!</definedName>
    <definedName name="cust.header.3">#REF!</definedName>
    <definedName name="cust.job" localSheetId="1">#REF!</definedName>
    <definedName name="cust.job">#REF!</definedName>
    <definedName name="cust.job.add" localSheetId="1">#REF!</definedName>
    <definedName name="cust.job.add">#REF!</definedName>
    <definedName name="cust.job.burn.hours" localSheetId="1">#REF!</definedName>
    <definedName name="cust.job.burn.hours">#REF!</definedName>
    <definedName name="cust.job.city" localSheetId="1">#REF!</definedName>
    <definedName name="cust.job.city">#REF!</definedName>
    <definedName name="cust.job.state" localSheetId="1">#REF!</definedName>
    <definedName name="cust.job.state">#REF!</definedName>
    <definedName name="cust.job.zip" localSheetId="1">#REF!</definedName>
    <definedName name="cust.job.zip">#REF!</definedName>
    <definedName name="cust.kwh" localSheetId="1">'[26]Project Breakdown'!#REF!</definedName>
    <definedName name="cust.kwh">'[26]Project Breakdown'!#REF!</definedName>
    <definedName name="cust.last.name" localSheetId="1">#REF!</definedName>
    <definedName name="cust.last.name">#REF!</definedName>
    <definedName name="cust.phone" localSheetId="1">#REF!</definedName>
    <definedName name="cust.phone">#REF!</definedName>
    <definedName name="cust.rebate" localSheetId="1">#REF!</definedName>
    <definedName name="cust.rebate">#REF!</definedName>
    <definedName name="cust.salutation" localSheetId="1">#REF!</definedName>
    <definedName name="cust.salutation">#REF!</definedName>
    <definedName name="cust.state" localSheetId="1">#REF!</definedName>
    <definedName name="cust.state">#REF!</definedName>
    <definedName name="cust.title" localSheetId="1">#REF!</definedName>
    <definedName name="cust.title">#REF!</definedName>
    <definedName name="cust.zip" localSheetId="1">#REF!</definedName>
    <definedName name="cust.zip">#REF!</definedName>
    <definedName name="Customer_Param">"Dialog1"</definedName>
    <definedName name="CYCLE" localSheetId="1">'[17]FIM-9.2'!#REF!</definedName>
    <definedName name="CYCLE">'[17]FIM-9.2'!#REF!</definedName>
    <definedName name="d">[27]Building!$L$6:$L$7</definedName>
    <definedName name="DANGA" localSheetId="1">#REF!,#REF!</definedName>
    <definedName name="DANGA">#REF!,#REF!</definedName>
    <definedName name="_xlnm.Database" localSheetId="1">#REF!</definedName>
    <definedName name="_xlnm.Database">#REF!</definedName>
    <definedName name="Davinci_AnnFee_ofBuyAcq" localSheetId="1">#REF!</definedName>
    <definedName name="Davinci_AnnFee_ofBuyAcq">#REF!</definedName>
    <definedName name="Davinci_AnnFee_ofGrossRev" localSheetId="1">#REF!</definedName>
    <definedName name="Davinci_AnnFee_ofGrossRev">#REF!</definedName>
    <definedName name="dd" localSheetId="1">'[10]Initial Input Variable'!#REF!</definedName>
    <definedName name="dd">'[10]Initial Input Variable'!#REF!</definedName>
    <definedName name="dddd" localSheetId="1">[19]노무비!#REF!</definedName>
    <definedName name="dddd">[19]노무비!#REF!</definedName>
    <definedName name="DEAL_" localSheetId="1">#REF!</definedName>
    <definedName name="DEAL_">#REF!</definedName>
    <definedName name="Deal_Name">[4]Assumption!$B$3</definedName>
    <definedName name="Debt_BreakFee" localSheetId="1">#REF!</definedName>
    <definedName name="Debt_BreakFee">#REF!</definedName>
    <definedName name="Debt_Ratio" localSheetId="1">#REF!</definedName>
    <definedName name="Debt_Ratio">#REF!</definedName>
    <definedName name="deduction">[24]Deduction!$A$2:$G$250</definedName>
    <definedName name="default.gross.margin" localSheetId="1">#REF!</definedName>
    <definedName name="default.gross.margin">#REF!</definedName>
    <definedName name="default.sales.margin" localSheetId="1">#REF!</definedName>
    <definedName name="default.sales.margin">#REF!</definedName>
    <definedName name="deposit" localSheetId="1">#REF!</definedName>
    <definedName name="deposit">#REF!</definedName>
    <definedName name="Depreciation" localSheetId="1">#REF!</definedName>
    <definedName name="Depreciation">#REF!</definedName>
    <definedName name="dhdhdh" localSheetId="1">'[11]인원계획-미화'!#REF!</definedName>
    <definedName name="dhdhdh">'[11]인원계획-미화'!#REF!</definedName>
    <definedName name="Direct_Savings_from_ASP_strategy" localSheetId="1">#REF!</definedName>
    <definedName name="Direct_Savings_from_ASP_strategy">#REF!</definedName>
    <definedName name="Discount_Factor" localSheetId="1">#REF!</definedName>
    <definedName name="Discount_Factor">#REF!</definedName>
    <definedName name="Discount_Period" localSheetId="1">#REF!</definedName>
    <definedName name="Discount_Period">#REF!</definedName>
    <definedName name="Discounted_Cash_Flow" localSheetId="1">#REF!</definedName>
    <definedName name="Discounted_Cash_Flow">#REF!</definedName>
    <definedName name="disposal.cost" localSheetId="1">'[26]Project Breakdown'!#REF!</definedName>
    <definedName name="disposal.cost">'[26]Project Breakdown'!#REF!</definedName>
    <definedName name="disposal.cost.ballast" localSheetId="1">#REF!</definedName>
    <definedName name="disposal.cost.ballast">#REF!</definedName>
    <definedName name="disposal.cost.lamp.foot" localSheetId="1">#REF!</definedName>
    <definedName name="disposal.cost.lamp.foot">#REF!</definedName>
    <definedName name="DJQAN" hidden="1">{#N/A,#N/A,TRUE,"대 차 대 조 표"}</definedName>
    <definedName name="Do_you_wish_to_include_timeliness_and_adequacy_calculation?" localSheetId="1">#REF!</definedName>
    <definedName name="Do_you_wish_to_include_timeliness_and_adequacy_calculation?">#REF!</definedName>
    <definedName name="Dongjin" localSheetId="1">'[28]20141010 그래프'!Dongjin</definedName>
    <definedName name="Dongjin">'[28]20141010 그래프'!Dongjin</definedName>
    <definedName name="dsaldasdl" localSheetId="1">#REF!</definedName>
    <definedName name="dsaldasdl">#REF!</definedName>
    <definedName name="DUPA" localSheetId="1">#REF!</definedName>
    <definedName name="DUPA">#REF!</definedName>
    <definedName name="DUPA.XLS" localSheetId="1">#REF!</definedName>
    <definedName name="DUPA.XLS">#REF!</definedName>
    <definedName name="dwqerdqw" localSheetId="1">#REF!</definedName>
    <definedName name="dwqerdqw">#REF!</definedName>
    <definedName name="dyna" localSheetId="1">#REF!</definedName>
    <definedName name="dyna">#REF!</definedName>
    <definedName name="Dyna_Process" localSheetId="1">#REF!</definedName>
    <definedName name="Dyna_Process">#REF!</definedName>
    <definedName name="E">'[29]Macro Codes'!$K$5</definedName>
    <definedName name="ECOF">[4]Assumption!$B$16</definedName>
    <definedName name="ECONBTU" localSheetId="1">'[17]FIM-9.5'!#REF!</definedName>
    <definedName name="ECONBTU">'[17]FIM-9.5'!#REF!</definedName>
    <definedName name="ee" localSheetId="1">'[10]Initial Input Variable'!#REF!</definedName>
    <definedName name="ee">'[10]Initial Input Variable'!#REF!</definedName>
    <definedName name="Elec_Cost_no_kW">'[22]General Facility Input'!$B$15</definedName>
    <definedName name="ELECCOST" localSheetId="1">'[20]ECM Sum'!#REF!</definedName>
    <definedName name="ELECCOST">'[20]ECM Sum'!#REF!</definedName>
    <definedName name="emergency.bl.cost" localSheetId="1">#REF!</definedName>
    <definedName name="emergency.bl.cost">#REF!</definedName>
    <definedName name="emergency.bl.labor.time" localSheetId="1">#REF!</definedName>
    <definedName name="emergency.bl.labor.time">#REF!</definedName>
    <definedName name="end.of.fixture.entry" localSheetId="1">#REF!</definedName>
    <definedName name="end.of.fixture.entry">#REF!</definedName>
    <definedName name="Enter_number" localSheetId="1">#REF!</definedName>
    <definedName name="Enter_number">#REF!</definedName>
    <definedName name="EntryYield" localSheetId="1">#REF!</definedName>
    <definedName name="EntryYield">#REF!</definedName>
    <definedName name="EntryYield_GoalSeek" localSheetId="1">#REF!</definedName>
    <definedName name="EntryYield_GoalSeek">#REF!</definedName>
    <definedName name="esc" localSheetId="1">#REF!</definedName>
    <definedName name="esc">#REF!</definedName>
    <definedName name="escalation" localSheetId="1">#REF!</definedName>
    <definedName name="escalation">#REF!</definedName>
    <definedName name="Escalation_Rate">[4]Assumption!$B$22</definedName>
    <definedName name="ETR">'[29]Macro Codes'!$E$17</definedName>
    <definedName name="ex">[30]Area!$AA$3</definedName>
    <definedName name="ex.bl.disposal.cost" localSheetId="1">#REF!</definedName>
    <definedName name="ex.bl.disposal.cost">#REF!</definedName>
    <definedName name="ex.bl.pcb" localSheetId="1">#REF!</definedName>
    <definedName name="ex.bl.pcb">#REF!</definedName>
    <definedName name="ex.bl.per.fx" localSheetId="1">'[26]Project Breakdown'!#REF!</definedName>
    <definedName name="ex.bl.per.fx">'[26]Project Breakdown'!#REF!</definedName>
    <definedName name="ex.bl.type" localSheetId="1">#REF!</definedName>
    <definedName name="ex.bl.type">#REF!</definedName>
    <definedName name="ex.fx.desc" localSheetId="1">#REF!</definedName>
    <definedName name="ex.fx.desc">#REF!</definedName>
    <definedName name="ex.fx.length" localSheetId="1">#REF!</definedName>
    <definedName name="ex.fx.length">#REF!</definedName>
    <definedName name="ex.fx.qty" localSheetId="1">'[26]Project Breakdown'!#REF!</definedName>
    <definedName name="ex.fx.qty">'[26]Project Breakdown'!#REF!</definedName>
    <definedName name="ex.fx.size" localSheetId="1">#REF!</definedName>
    <definedName name="ex.fx.size">#REF!</definedName>
    <definedName name="ex.fx.type" localSheetId="1">#REF!</definedName>
    <definedName name="ex.fx.type">#REF!</definedName>
    <definedName name="ex.hours" localSheetId="1">#REF!</definedName>
    <definedName name="ex.hours">#REF!</definedName>
    <definedName name="ex.lp.disposal.cost" localSheetId="1">#REF!</definedName>
    <definedName name="ex.lp.disposal.cost">#REF!</definedName>
    <definedName name="ex.lp.lamp.disposal" localSheetId="1">#REF!</definedName>
    <definedName name="ex.lp.lamp.disposal">#REF!</definedName>
    <definedName name="ex.lp.life" localSheetId="1">'[26]Project Breakdown'!#REF!</definedName>
    <definedName name="ex.lp.life">'[26]Project Breakdown'!#REF!</definedName>
    <definedName name="ex.lp.qty" localSheetId="1">'[26]Project Breakdown'!#REF!</definedName>
    <definedName name="ex.lp.qty">'[26]Project Breakdown'!#REF!</definedName>
    <definedName name="ex.lp.replace.cost" localSheetId="1">'[26]Project Breakdown'!#REF!</definedName>
    <definedName name="ex.lp.replace.cost">'[26]Project Breakdown'!#REF!</definedName>
    <definedName name="ex.lp.type" localSheetId="1">#REF!</definedName>
    <definedName name="ex.lp.type">#REF!</definedName>
    <definedName name="ex.manual.watts" localSheetId="1">#REF!</definedName>
    <definedName name="ex.manual.watts">#REF!</definedName>
    <definedName name="ex.pcb.bl.per.fx" localSheetId="1">#REF!</definedName>
    <definedName name="ex.pcb.bl.per.fx">#REF!</definedName>
    <definedName name="ex.watts" localSheetId="1">'[26]Project Breakdown'!#REF!</definedName>
    <definedName name="ex.watts">'[26]Project Breakdown'!#REF!</definedName>
    <definedName name="Exchange_Rate">[4]Assumption!$B$4</definedName>
    <definedName name="Exit_Cap">[4]Assumption!$B$5</definedName>
    <definedName name="Exit_Cost" localSheetId="1">#REF!</definedName>
    <definedName name="Exit_Cost">#REF!</definedName>
    <definedName name="Exit_Date" localSheetId="1">#REF!</definedName>
    <definedName name="Exit_Date">#REF!</definedName>
    <definedName name="Exit_Price" localSheetId="1">#REF!</definedName>
    <definedName name="Exit_Price">#REF!</definedName>
    <definedName name="Exit_Reversion" localSheetId="1">#REF!</definedName>
    <definedName name="Exit_Reversion">#REF!</definedName>
    <definedName name="Exit_Term" localSheetId="1">#REF!</definedName>
    <definedName name="Exit_Term">#REF!</definedName>
    <definedName name="ExpandOutputs" localSheetId="1">'[28]20141010 그래프'!ExpandOutputs</definedName>
    <definedName name="ExpandOutputs">'[28]20141010 그래프'!ExpandOutputs</definedName>
    <definedName name="ExpandVPeriods" localSheetId="1">'[28]20141010 그래프'!ExpandVPeriods</definedName>
    <definedName name="ExpandVPeriods">'[28]20141010 그래프'!ExpandVPeriods</definedName>
    <definedName name="Expenses" localSheetId="1">#REF!</definedName>
    <definedName name="Expenses">#REF!</definedName>
    <definedName name="ExportFile" localSheetId="1">'[28]20141010 그래프'!ExportFile</definedName>
    <definedName name="ExportFile">'[28]20141010 그래프'!ExportFile</definedName>
    <definedName name="External_Renovation" localSheetId="1">#REF!</definedName>
    <definedName name="External_Renovation">#REF!</definedName>
    <definedName name="External_Time_to_Start__Total" localSheetId="1">#REF!</definedName>
    <definedName name="External_Time_to_Start__Total">#REF!</definedName>
    <definedName name="fewfwfw" localSheetId="1">#REF!</definedName>
    <definedName name="fewfwfw">#REF!</definedName>
    <definedName name="ff" localSheetId="1">'[10]Initial Input Variable'!#REF!</definedName>
    <definedName name="ff">'[10]Initial Input Variable'!#REF!</definedName>
    <definedName name="Financing_Fee" localSheetId="1">#REF!</definedName>
    <definedName name="Financing_Fee">#REF!</definedName>
    <definedName name="first_month" localSheetId="1">#REF!</definedName>
    <definedName name="first_month">#REF!</definedName>
    <definedName name="FirstFinYearEnd">[31]재무가정!$H$13</definedName>
    <definedName name="fixt.ballasts.per" localSheetId="1">'[26]Project Breakdown'!#REF!</definedName>
    <definedName name="fixt.ballasts.per">'[26]Project Breakdown'!#REF!</definedName>
    <definedName name="fixt.ballasts.per.cost" localSheetId="1">#REF!</definedName>
    <definedName name="fixt.ballasts.per.cost">#REF!</definedName>
    <definedName name="fixt.chassis.per.cost" localSheetId="1">#REF!</definedName>
    <definedName name="fixt.chassis.per.cost">#REF!</definedName>
    <definedName name="fixt.desig" localSheetId="1">#REF!</definedName>
    <definedName name="fixt.desig">#REF!</definedName>
    <definedName name="fixt.desig.tbl" localSheetId="1">#REF!</definedName>
    <definedName name="fixt.desig.tbl">#REF!</definedName>
    <definedName name="fixt.ex.desc" localSheetId="1">#REF!</definedName>
    <definedName name="fixt.ex.desc">#REF!</definedName>
    <definedName name="fixt.formulas" localSheetId="1">#REF!</definedName>
    <definedName name="fixt.formulas">#REF!</definedName>
    <definedName name="fixt.gross.margin" localSheetId="1">#REF!</definedName>
    <definedName name="fixt.gross.margin">#REF!</definedName>
    <definedName name="fixt.installed.price" localSheetId="1">'[26]Project Breakdown'!#REF!</definedName>
    <definedName name="fixt.installed.price">'[26]Project Breakdown'!#REF!</definedName>
    <definedName name="fixt.labor.254" localSheetId="1">#REF!</definedName>
    <definedName name="fixt.labor.254">#REF!</definedName>
    <definedName name="fixt.labor.cost" localSheetId="1">#REF!</definedName>
    <definedName name="fixt.labor.cost">#REF!</definedName>
    <definedName name="fixt.labor.high" localSheetId="1">#REF!</definedName>
    <definedName name="fixt.labor.high">#REF!</definedName>
    <definedName name="fixt.labor.OH" localSheetId="1">#REF!</definedName>
    <definedName name="fixt.labor.OH">#REF!</definedName>
    <definedName name="fixt.labor.sell" localSheetId="1">#REF!</definedName>
    <definedName name="fixt.labor.sell">#REF!</definedName>
    <definedName name="fixt.labor.std" localSheetId="1">#REF!</definedName>
    <definedName name="fixt.labor.std">#REF!</definedName>
    <definedName name="fixt.labor.time" localSheetId="1">#REF!</definedName>
    <definedName name="fixt.labor.time">#REF!</definedName>
    <definedName name="fixt.lamps.per.cost" localSheetId="1">#REF!</definedName>
    <definedName name="fixt.lamps.per.cost">#REF!</definedName>
    <definedName name="fixt.material.cost" localSheetId="1">#REF!</definedName>
    <definedName name="fixt.material.cost">#REF!</definedName>
    <definedName name="fixt.material.sell" localSheetId="1">#REF!</definedName>
    <definedName name="fixt.material.sell">#REF!</definedName>
    <definedName name="fixt.other.per.cost" localSheetId="1">#REF!</definedName>
    <definedName name="fixt.other.per.cost">#REF!</definedName>
    <definedName name="fixt.pr.desc" localSheetId="1">#REF!</definedName>
    <definedName name="fixt.pr.desc">#REF!</definedName>
    <definedName name="fixt.qty" localSheetId="1">#REF!</definedName>
    <definedName name="fixt.qty">#REF!</definedName>
    <definedName name="fixt.qty.high.ceil" localSheetId="1">#REF!</definedName>
    <definedName name="fixt.qty.high.ceil">#REF!</definedName>
    <definedName name="fixt.qty.high.total" localSheetId="1">#REF!</definedName>
    <definedName name="fixt.qty.high.total">#REF!</definedName>
    <definedName name="fixt.qty.std.ceil" localSheetId="1">#REF!</definedName>
    <definedName name="fixt.qty.std.ceil">#REF!</definedName>
    <definedName name="fixt.qty.std.total" localSheetId="1">#REF!</definedName>
    <definedName name="fixt.qty.std.total">#REF!</definedName>
    <definedName name="fixt.qty.total" localSheetId="1">#REF!</definedName>
    <definedName name="fixt.qty.total">#REF!</definedName>
    <definedName name="fixt.rebate" localSheetId="1">#REF!</definedName>
    <definedName name="fixt.rebate">#REF!</definedName>
    <definedName name="fixt.rebate.total" localSheetId="1">#REF!</definedName>
    <definedName name="fixt.rebate.total">#REF!</definedName>
    <definedName name="fixt.reflector" localSheetId="1">#REF!</definedName>
    <definedName name="fixt.reflector">#REF!</definedName>
    <definedName name="fixt.reflectors.per.cost" localSheetId="1">#REF!</definedName>
    <definedName name="fixt.reflectors.per.cost">#REF!</definedName>
    <definedName name="fixt.sales.margin" localSheetId="1">#REF!</definedName>
    <definedName name="fixt.sales.margin">#REF!</definedName>
    <definedName name="fixt.setup.labor.time" localSheetId="1">#REF!</definedName>
    <definedName name="fixt.setup.labor.time">#REF!</definedName>
    <definedName name="fixt.sk" localSheetId="1">#REF!</definedName>
    <definedName name="fixt.sk">#REF!</definedName>
    <definedName name="fixt.subtotal" localSheetId="1">#REF!</definedName>
    <definedName name="fixt.subtotal">#REF!</definedName>
    <definedName name="fixt.tax" localSheetId="1">#REF!</definedName>
    <definedName name="fixt.tax">#REF!</definedName>
    <definedName name="fixt.whips.per" localSheetId="1">#REF!</definedName>
    <definedName name="fixt.whips.per">#REF!</definedName>
    <definedName name="fixt.whips.per.cost" localSheetId="1">#REF!</definedName>
    <definedName name="fixt.whips.per.cost">#REF!</definedName>
    <definedName name="fixture" localSheetId="1">#REF!</definedName>
    <definedName name="fixture">#REF!</definedName>
    <definedName name="fixture.db" localSheetId="1">#REF!</definedName>
    <definedName name="fixture.db">#REF!</definedName>
    <definedName name="FLOORHT" localSheetId="1">#REF!</definedName>
    <definedName name="FLOORHT">#REF!</definedName>
    <definedName name="Floors" localSheetId="1">#REF!</definedName>
    <definedName name="Floors">#REF!</definedName>
    <definedName name="FM계약일할" hidden="1">{#N/A,#N/A,TRUE,"대 차 대 조 표"}</definedName>
    <definedName name="GALP" localSheetId="1">[4]Assumption!#REF!</definedName>
    <definedName name="GALP">[4]Assumption!#REF!</definedName>
    <definedName name="GE_Share">[4]Assumption!$B$18</definedName>
    <definedName name="GECC_Share">[32]Assumption!$B$18</definedName>
    <definedName name="GFA">'[33]2004SS'!$I$1</definedName>
    <definedName name="GFA_Before" localSheetId="1">#REF!</definedName>
    <definedName name="GFA_Before">#REF!</definedName>
    <definedName name="GFACJ">'[33]2004CJ'!$I$1</definedName>
    <definedName name="gg" localSheetId="1">'[10]Initial Input Variable'!#REF!</definedName>
    <definedName name="gg">'[10]Initial Input Variable'!#REF!</definedName>
    <definedName name="GKSTKFKA" localSheetId="1">#REF!</definedName>
    <definedName name="GKSTKFKA">#REF!</definedName>
    <definedName name="gm.fixt.qty" localSheetId="1">#REF!</definedName>
    <definedName name="gm.fixt.qty">#REF!</definedName>
    <definedName name="GONGJONG" localSheetId="1">#REF!</definedName>
    <definedName name="GONGJONG">#REF!</definedName>
    <definedName name="gross.margin" localSheetId="1">#REF!</definedName>
    <definedName name="gross.margin">#REF!</definedName>
    <definedName name="HEATCOST" localSheetId="1">#REF!</definedName>
    <definedName name="HEATCOST">#REF!</definedName>
    <definedName name="Hedge_Cost" localSheetId="1">#REF!</definedName>
    <definedName name="Hedge_Cost">#REF!</definedName>
    <definedName name="hgc" hidden="1">{#N/A,#N/A,TRUE,"대 차 대 조 표"}</definedName>
    <definedName name="hh" localSheetId="1">'[10]Initial Input Variable'!#REF!</definedName>
    <definedName name="hh">'[10]Initial Input Variable'!#REF!</definedName>
    <definedName name="hhh" localSheetId="1">'[11]인원계획-미화'!#REF!</definedName>
    <definedName name="hhh">'[11]인원계획-미화'!#REF!</definedName>
    <definedName name="hhhhhhhh" localSheetId="1">[19]노무비!#REF!</definedName>
    <definedName name="hhhhhhhh">[19]노무비!#REF!</definedName>
    <definedName name="HHPY" localSheetId="1">#REF!</definedName>
    <definedName name="HHPY">#REF!</definedName>
    <definedName name="HideAnnualEnergySavings" localSheetId="1">[0]!Module1.HideAnnualEnergySavings</definedName>
    <definedName name="HideAnnualEnergySavings">[0]!Module1.HideAnnualEnergySavings</definedName>
    <definedName name="HideOpsSavingsDetail" localSheetId="1">[0]!Module1.HideOpsSavingsDetail</definedName>
    <definedName name="HideOpsSavingsDetail">[0]!Module1.HideOpsSavingsDetail</definedName>
    <definedName name="Hold_Year" localSheetId="1">#REF!</definedName>
    <definedName name="Hold_Year">#REF!</definedName>
    <definedName name="HRSOCC" localSheetId="1">#REF!</definedName>
    <definedName name="HRSOCC">#REF!</definedName>
    <definedName name="HTML_CodePage" hidden="1">949</definedName>
    <definedName name="HTML_Control" hidden="1">{"'통신지'!$A$1:$J$41"}</definedName>
    <definedName name="HTML_Description" hidden="1">""</definedName>
    <definedName name="HTML_Email" hidden="1">""</definedName>
    <definedName name="HTML_Header" hidden="1">"통신지"</definedName>
    <definedName name="HTML_LastUpdate" hidden="1">"00-01-12"</definedName>
    <definedName name="HTML_LineAfter" hidden="1">FALSE</definedName>
    <definedName name="HTML_LineBefore" hidden="1">FALSE</definedName>
    <definedName name="HTML_Name" hidden="1">"나형재"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"업무일정"</definedName>
    <definedName name="HTSP" localSheetId="1">#REF!</definedName>
    <definedName name="HTSP">#REF!</definedName>
    <definedName name="HTSPUNOC" localSheetId="1">#REF!</definedName>
    <definedName name="HTSPUNOC">#REF!</definedName>
    <definedName name="Human_Capital_Income_Statement" localSheetId="1">#REF!</definedName>
    <definedName name="Human_Capital_Income_Statement">#REF!</definedName>
    <definedName name="Human_Capital_Return_On_Investment" localSheetId="1">#REF!</definedName>
    <definedName name="Human_Capital_Return_On_Investment">#REF!</definedName>
    <definedName name="HVACHRS" localSheetId="1">'[20]ECM Sum'!#REF!</definedName>
    <definedName name="HVACHRS">'[20]ECM Sum'!#REF!</definedName>
    <definedName name="id">[34]Id!$A$3:$BD$202</definedName>
    <definedName name="ii" localSheetId="1">'[10]Initial Input Variable'!#REF!</definedName>
    <definedName name="ii">'[10]Initial Input Variable'!#REF!</definedName>
    <definedName name="imported.from" localSheetId="1">#REF!</definedName>
    <definedName name="imported.from">#REF!</definedName>
    <definedName name="ImportFile" localSheetId="1">'[28]20141010 그래프'!ImportFile</definedName>
    <definedName name="ImportFile">'[28]20141010 그래프'!ImportFile</definedName>
    <definedName name="income" localSheetId="1">#REF!</definedName>
    <definedName name="income">#REF!</definedName>
    <definedName name="IncomeData">[25]IncomeData!$A:$FB</definedName>
    <definedName name="install_term" localSheetId="1">#REF!</definedName>
    <definedName name="install_term">#REF!</definedName>
    <definedName name="installed.cost" localSheetId="1">#REF!</definedName>
    <definedName name="installed.cost">#REF!</definedName>
    <definedName name="Installment_1" localSheetId="1">#REF!</definedName>
    <definedName name="Installment_1">#REF!</definedName>
    <definedName name="Installment_2" localSheetId="1">#REF!</definedName>
    <definedName name="Installment_2">#REF!</definedName>
    <definedName name="Installment_3" localSheetId="1">#REF!</definedName>
    <definedName name="Installment_3">#REF!</definedName>
    <definedName name="Installment_4" localSheetId="1">#REF!</definedName>
    <definedName name="Installment_4">#REF!</definedName>
    <definedName name="Installment_5" localSheetId="1">#REF!</definedName>
    <definedName name="Installment_5">#REF!</definedName>
    <definedName name="INSTRUCTIONS" localSheetId="1">#REF!</definedName>
    <definedName name="INSTRUCTIONS">#REF!</definedName>
    <definedName name="Intangible_Benefits_Summary" localSheetId="1">#REF!</definedName>
    <definedName name="Intangible_Benefits_Summary">#REF!</definedName>
    <definedName name="Interest_Reserve" localSheetId="1">#REF!</definedName>
    <definedName name="Interest_Reserve">#REF!</definedName>
    <definedName name="Internal_Renovation" localSheetId="1">#REF!</definedName>
    <definedName name="Internal_Renovation">#REF!</definedName>
    <definedName name="is.other.item" localSheetId="1">#REF!</definedName>
    <definedName name="is.other.item">#REF!</definedName>
    <definedName name="item.tbl" localSheetId="1">#REF!</definedName>
    <definedName name="item.tbl">#REF!</definedName>
    <definedName name="Japan_IncTax" localSheetId="1">#REF!</definedName>
    <definedName name="Japan_IncTax">#REF!</definedName>
    <definedName name="Japan_WHT" localSheetId="1">#REF!</definedName>
    <definedName name="Japan_WHT">#REF!</definedName>
    <definedName name="jj" localSheetId="1">'[10]Initial Input Variable'!#REF!</definedName>
    <definedName name="jj">'[10]Initial Input Variable'!#REF!</definedName>
    <definedName name="jkljk" hidden="1">{#N/A,#N/A,FALSE,"이력서&amp;자기소개서"}</definedName>
    <definedName name="job.material.only" localSheetId="1">#REF!</definedName>
    <definedName name="job.material.only">#REF!</definedName>
    <definedName name="job.OH.high.ceil" localSheetId="1">#REF!</definedName>
    <definedName name="job.OH.high.ceil">#REF!</definedName>
    <definedName name="job.OH.std.ceil" localSheetId="1">#REF!</definedName>
    <definedName name="job.OH.std.ceil">#REF!</definedName>
    <definedName name="just.fixt.qty" localSheetId="1">#REF!</definedName>
    <definedName name="just.fixt.qty">#REF!</definedName>
    <definedName name="KA">[35]MOTOR!$B$61:$E$68</definedName>
    <definedName name="Key_AcqCost" localSheetId="1">#REF!</definedName>
    <definedName name="Key_AcqCost">#REF!</definedName>
    <definedName name="Key_BuyPrice_Option" localSheetId="1">#REF!</definedName>
    <definedName name="Key_BuyPrice_Option">#REF!</definedName>
    <definedName name="Key_CapEx" localSheetId="1">#REF!</definedName>
    <definedName name="Key_CapEx">#REF!</definedName>
    <definedName name="Key_DebtRatio" localSheetId="1">#REF!</definedName>
    <definedName name="Key_DebtRatio">#REF!</definedName>
    <definedName name="Key_ExitCap" localSheetId="1">#REF!</definedName>
    <definedName name="Key_ExitCap">#REF!</definedName>
    <definedName name="Key_ExitCost" localSheetId="1">#REF!</definedName>
    <definedName name="Key_ExitCost">#REF!</definedName>
    <definedName name="Key_ExitPrice_Opion" localSheetId="1">#REF!</definedName>
    <definedName name="Key_ExitPrice_Opion">#REF!</definedName>
    <definedName name="Key_Hedge" localSheetId="1">#REF!</definedName>
    <definedName name="Key_Hedge">#REF!</definedName>
    <definedName name="Key_IRR" localSheetId="1">#REF!</definedName>
    <definedName name="Key_IRR">#REF!</definedName>
    <definedName name="Key_OtherAdminCost" localSheetId="1">#REF!</definedName>
    <definedName name="Key_OtherAdminCost">#REF!</definedName>
    <definedName name="Key_SecDeposit" localSheetId="1">#REF!</definedName>
    <definedName name="Key_SecDeposit">#REF!</definedName>
    <definedName name="Key_Tax" localSheetId="1">#REF!</definedName>
    <definedName name="Key_Tax">#REF!</definedName>
    <definedName name="kit.labor.time" localSheetId="1">#REF!</definedName>
    <definedName name="kit.labor.time">#REF!</definedName>
    <definedName name="kk" localSheetId="1">'[10]Initial Input Variable'!#REF!</definedName>
    <definedName name="kk">'[10]Initial Input Variable'!#REF!</definedName>
    <definedName name="kkkkk" localSheetId="1">'[36]인원계획-미화'!#REF!</definedName>
    <definedName name="kkkkk">'[36]인원계획-미화'!#REF!</definedName>
    <definedName name="kl" localSheetId="1">[19]노무비!#REF!</definedName>
    <definedName name="kl">[19]노무비!#REF!</definedName>
    <definedName name="labor.factor" localSheetId="1">#REF!</definedName>
    <definedName name="labor.factor">#REF!</definedName>
    <definedName name="labor.OH.high.ceil.factor" localSheetId="1">#REF!</definedName>
    <definedName name="labor.OH.high.ceil.factor">#REF!</definedName>
    <definedName name="labor.OH.std.ceil" localSheetId="1">#REF!</definedName>
    <definedName name="labor.OH.std.ceil">#REF!</definedName>
    <definedName name="labor.rate" localSheetId="1">#REF!</definedName>
    <definedName name="labor.rate">#REF!</definedName>
    <definedName name="lamp.labor.time" localSheetId="1">#REF!</definedName>
    <definedName name="lamp.labor.time">#REF!</definedName>
    <definedName name="lamp.material" localSheetId="1">#REF!</definedName>
    <definedName name="lamp.material">#REF!</definedName>
    <definedName name="lampholder.kit.cost" localSheetId="1">#REF!</definedName>
    <definedName name="lampholder.kit.cost">#REF!</definedName>
    <definedName name="land" localSheetId="1">#REF!</definedName>
    <definedName name="land">#REF!</definedName>
    <definedName name="Land_Area" localSheetId="1">[4]Assumption!#REF!</definedName>
    <definedName name="Land_Area">[4]Assumption!#REF!</definedName>
    <definedName name="Land_Value" localSheetId="1">#REF!</definedName>
    <definedName name="Land_Value">#REF!</definedName>
    <definedName name="Last_Quarter" localSheetId="1">#REF!</definedName>
    <definedName name="Last_Quarter">#REF!</definedName>
    <definedName name="Leasing_Commission_New" localSheetId="1">#REF!</definedName>
    <definedName name="Leasing_Commission_New">#REF!</definedName>
    <definedName name="Leasing_Commission_Renewal" localSheetId="1">#REF!</definedName>
    <definedName name="Leasing_Commission_Renewal">#REF!</definedName>
    <definedName name="Legal_Fee" localSheetId="1">#REF!</definedName>
    <definedName name="Legal_Fee">#REF!</definedName>
    <definedName name="Link_Acquisition" localSheetId="1">#REF!</definedName>
    <definedName name="Link_Acquisition">#REF!</definedName>
    <definedName name="Link_Capex" localSheetId="1">#REF!</definedName>
    <definedName name="Link_Capex">#REF!</definedName>
    <definedName name="Link_Debt" localSheetId="1">#REF!</definedName>
    <definedName name="Link_Debt">#REF!</definedName>
    <definedName name="Link_Exit" localSheetId="1">#REF!</definedName>
    <definedName name="Link_Exit">#REF!</definedName>
    <definedName name="Link_Exp_Growth" localSheetId="1">#REF!</definedName>
    <definedName name="Link_Exp_Growth">#REF!</definedName>
    <definedName name="Link_Expense" localSheetId="1">#REF!</definedName>
    <definedName name="Link_Expense">#REF!</definedName>
    <definedName name="Link_Grth" localSheetId="1">#REF!</definedName>
    <definedName name="Link_Grth">#REF!</definedName>
    <definedName name="Link_HedgeCost" localSheetId="1">#REF!</definedName>
    <definedName name="Link_HedgeCost">#REF!</definedName>
    <definedName name="Link_Home" localSheetId="1">#REF!</definedName>
    <definedName name="Link_Home">#REF!</definedName>
    <definedName name="Link_PropInfo" localSheetId="1">#REF!</definedName>
    <definedName name="Link_PropInfo">#REF!</definedName>
    <definedName name="Link_Refurbishment" localSheetId="1">#REF!</definedName>
    <definedName name="Link_Refurbishment">#REF!</definedName>
    <definedName name="Link_Rev_Growth" localSheetId="1">#REF!</definedName>
    <definedName name="Link_Rev_Growth">#REF!</definedName>
    <definedName name="Link_Revenue" localSheetId="1">#REF!</definedName>
    <definedName name="Link_Revenue">#REF!</definedName>
    <definedName name="Link_Tax" localSheetId="1">#REF!</definedName>
    <definedName name="Link_Tax">#REF!</definedName>
    <definedName name="Link_Tenancy" localSheetId="1">#REF!</definedName>
    <definedName name="Link_Tenancy">#REF!</definedName>
    <definedName name="ll" localSheetId="1">'[10]Initial Input Variable'!#REF!</definedName>
    <definedName name="ll">'[10]Initial Input Variable'!#REF!</definedName>
    <definedName name="LLREI_Financing_Fee" localSheetId="1">#REF!</definedName>
    <definedName name="LLREI_Financing_Fee">#REF!</definedName>
    <definedName name="LOOKBACK" localSheetId="1">#REF!</definedName>
    <definedName name="LOOKBACK">#REF!</definedName>
    <definedName name="lp.per.bl1" localSheetId="1">#REF!</definedName>
    <definedName name="lp.per.bl1">#REF!</definedName>
    <definedName name="lp.per.bl2" localSheetId="1">#REF!</definedName>
    <definedName name="lp.per.bl2">#REF!</definedName>
    <definedName name="M_Expense" localSheetId="1">[4]Assumption!#REF!</definedName>
    <definedName name="M_Expense">[4]Assumption!#REF!</definedName>
    <definedName name="Macro10" localSheetId="1">[37]!Macro10</definedName>
    <definedName name="Macro10">[37]!Macro10</definedName>
    <definedName name="Macro12" localSheetId="1">[37]!Macro12</definedName>
    <definedName name="Macro12">[37]!Macro12</definedName>
    <definedName name="Macro13" localSheetId="1">[37]!Macro13</definedName>
    <definedName name="Macro13">[37]!Macro13</definedName>
    <definedName name="Macro14" localSheetId="1">[37]!Macro14</definedName>
    <definedName name="Macro14">[37]!Macro14</definedName>
    <definedName name="Macro2" localSheetId="1">[37]!Macro2</definedName>
    <definedName name="Macro2">[37]!Macro2</definedName>
    <definedName name="Macro5" localSheetId="1">[37]!Macro5</definedName>
    <definedName name="Macro5">[37]!Macro5</definedName>
    <definedName name="Macro6" localSheetId="1">[37]!Macro6</definedName>
    <definedName name="Macro6">[37]!Macro6</definedName>
    <definedName name="Macro7" localSheetId="1">[37]!Macro7</definedName>
    <definedName name="Macro7">[37]!Macro7</definedName>
    <definedName name="Macro8" localSheetId="1">[37]!Macro8</definedName>
    <definedName name="Macro8">[37]!Macro8</definedName>
    <definedName name="Macro9" localSheetId="1">[37]!Macro9</definedName>
    <definedName name="Macro9">[37]!Macro9</definedName>
    <definedName name="Main" localSheetId="1">#REF!</definedName>
    <definedName name="Main">#REF!</definedName>
    <definedName name="MAINPART" localSheetId="1">#REF!</definedName>
    <definedName name="MAINPART">#REF!</definedName>
    <definedName name="Mar" localSheetId="1">[38]노무비!#REF!</definedName>
    <definedName name="Mar">[38]노무비!#REF!</definedName>
    <definedName name="Market" localSheetId="1">#REF!</definedName>
    <definedName name="Market">#REF!</definedName>
    <definedName name="master">[14]マスタ!$D$1:$L$34</definedName>
    <definedName name="material.manifest" localSheetId="1">#REF!</definedName>
    <definedName name="material.manifest">#REF!</definedName>
    <definedName name="me">"Button 5"</definedName>
    <definedName name="mf" localSheetId="1">#REF!</definedName>
    <definedName name="mf">#REF!</definedName>
    <definedName name="Mkt_Rent" localSheetId="1">[4]Assumption!#REF!</definedName>
    <definedName name="Mkt_Rent">[4]Assumption!#REF!</definedName>
    <definedName name="Mkt_Rent_Growth">[4]Assumption!$B$20</definedName>
    <definedName name="mm" localSheetId="1">'[10]Initial Input Variable'!#REF!</definedName>
    <definedName name="mm">'[10]Initial Input Variable'!#REF!</definedName>
    <definedName name="MONEY" localSheetId="1">#REF!,#REF!</definedName>
    <definedName name="MONEY">#REF!,#REF!</definedName>
    <definedName name="Monthly_Maintenance_Fee__000won_py" localSheetId="1">[4]Assumption!#REF!</definedName>
    <definedName name="Monthly_Maintenance_Fee__000won_py">[4]Assumption!#REF!</definedName>
    <definedName name="Monthly_Rent" localSheetId="1">#REF!</definedName>
    <definedName name="Monthly_Rent">#REF!</definedName>
    <definedName name="Most_Lease_Expire_Date" localSheetId="1">#REF!</definedName>
    <definedName name="Most_Lease_Expire_Date">#REF!</definedName>
    <definedName name="nn" localSheetId="1">'[10]Initial Input Variable'!#REF!</definedName>
    <definedName name="nn">'[10]Initial Input Variable'!#REF!</definedName>
    <definedName name="No">[25]Summary!$D$1</definedName>
    <definedName name="No._Parking" localSheetId="1">[4]Assumption!#REF!</definedName>
    <definedName name="No._Parking">[4]Assumption!#REF!</definedName>
    <definedName name="NPV" localSheetId="1">#REF!</definedName>
    <definedName name="NPV">#REF!</definedName>
    <definedName name="NRA" localSheetId="1">[4]Assumption!#REF!</definedName>
    <definedName name="NRA">[4]Assumption!#REF!</definedName>
    <definedName name="O¤eE_UYØ¿¿ø" localSheetId="1">[6]대차대조표!#REF!</definedName>
    <definedName name="O¤eE_UYØ¿¿ø">[6]대차대조표!#REF!</definedName>
    <definedName name="º≫≫c¼OAI" localSheetId="1">[6]대차대조표!#REF!</definedName>
    <definedName name="º≫≫c¼OAI">[6]대차대조표!#REF!</definedName>
    <definedName name="office">[13]anaysis_sheet!$A$2:$CV$297</definedName>
    <definedName name="old.ps.version" localSheetId="1">#REF!</definedName>
    <definedName name="old.ps.version">#REF!</definedName>
    <definedName name="OLGA" localSheetId="1">#REF!</definedName>
    <definedName name="OLGA">#REF!</definedName>
    <definedName name="omit.gross.margin" localSheetId="1">#REF!</definedName>
    <definedName name="omit.gross.margin">#REF!</definedName>
    <definedName name="omit.tax" localSheetId="1">#REF!</definedName>
    <definedName name="omit.tax">#REF!</definedName>
    <definedName name="oo" localSheetId="1">'[10]Initial Input Variable'!#REF!</definedName>
    <definedName name="oo">'[10]Initial Input Variable'!#REF!</definedName>
    <definedName name="Operating_Expense_Factor" localSheetId="1">#REF!</definedName>
    <definedName name="Operating_Expense_Factor">#REF!</definedName>
    <definedName name="OpnTerm">[39]재무가정!$H$21</definedName>
    <definedName name="other">[24]other!$A$4:$CB$250</definedName>
    <definedName name="other.material" localSheetId="1">#REF!</definedName>
    <definedName name="other.material">#REF!</definedName>
    <definedName name="Other_Revenue" localSheetId="1">#REF!</definedName>
    <definedName name="Other_Revenue">#REF!</definedName>
    <definedName name="P_Income" localSheetId="1">[4]Assumption!#REF!</definedName>
    <definedName name="P_Income">[4]Assumption!#REF!</definedName>
    <definedName name="Parking_No" localSheetId="1">#REF!</definedName>
    <definedName name="Parking_No">#REF!</definedName>
    <definedName name="payback.time" localSheetId="1">'[26]Project Breakdown'!#REF!</definedName>
    <definedName name="payback.time">'[26]Project Breakdown'!#REF!</definedName>
    <definedName name="Payback__years" localSheetId="1">#REF!</definedName>
    <definedName name="Payback__years">#REF!</definedName>
    <definedName name="Payouts" localSheetId="1">#REF!</definedName>
    <definedName name="Payouts">#REF!</definedName>
    <definedName name="Per_SF" localSheetId="1">#REF!</definedName>
    <definedName name="Per_SF">#REF!</definedName>
    <definedName name="Per_SM" localSheetId="1">#REF!</definedName>
    <definedName name="Per_SM">#REF!</definedName>
    <definedName name="Per_US" localSheetId="1">#REF!</definedName>
    <definedName name="Per_US">#REF!</definedName>
    <definedName name="PeriodToFind" localSheetId="1">#REF!</definedName>
    <definedName name="PeriodToFind">#REF!</definedName>
    <definedName name="PMC_Fee">[4]Assumption!$B$7</definedName>
    <definedName name="ppp" localSheetId="1" hidden="1">#REF!</definedName>
    <definedName name="ppp" hidden="1">#REF!</definedName>
    <definedName name="pr.bl.cost1" localSheetId="1">#REF!</definedName>
    <definedName name="pr.bl.cost1">#REF!</definedName>
    <definedName name="pr.bl.cost2" localSheetId="1">#REF!</definedName>
    <definedName name="pr.bl.cost2">#REF!</definedName>
    <definedName name="pr.bl.per.fx.forced" localSheetId="1">#REF!</definedName>
    <definedName name="pr.bl.per.fx.forced">#REF!</definedName>
    <definedName name="pr.bl.qty1" localSheetId="1">#REF!</definedName>
    <definedName name="pr.bl.qty1">#REF!</definedName>
    <definedName name="pr.bl.qty2" localSheetId="1">#REF!</definedName>
    <definedName name="pr.bl.qty2">#REF!</definedName>
    <definedName name="pr.bl.type1" localSheetId="1">#REF!</definedName>
    <definedName name="pr.bl.type1">#REF!</definedName>
    <definedName name="pr.bl.type2" localSheetId="1">#REF!</definedName>
    <definedName name="pr.bl.type2">#REF!</definedName>
    <definedName name="pr.delamp.kit" localSheetId="1">#REF!</definedName>
    <definedName name="pr.delamp.kit">#REF!</definedName>
    <definedName name="pr.emergency.bl" localSheetId="1">#REF!</definedName>
    <definedName name="pr.emergency.bl">#REF!</definedName>
    <definedName name="pr.fx.desc" localSheetId="1">#REF!</definedName>
    <definedName name="pr.fx.desc">#REF!</definedName>
    <definedName name="pr.fx.qty.bl2" localSheetId="1">#REF!</definedName>
    <definedName name="pr.fx.qty.bl2">#REF!</definedName>
    <definedName name="pr.fx.size" localSheetId="1">#REF!</definedName>
    <definedName name="pr.fx.size">#REF!</definedName>
    <definedName name="pr.fx.size.type" localSheetId="1">'[26]Project Breakdown'!#REF!</definedName>
    <definedName name="pr.fx.size.type">'[26]Project Breakdown'!#REF!</definedName>
    <definedName name="pr.high.ceiling" localSheetId="1">#REF!</definedName>
    <definedName name="pr.high.ceiling">#REF!</definedName>
    <definedName name="pr.hours" localSheetId="1">'[26]Project Breakdown'!#REF!</definedName>
    <definedName name="pr.hours">'[26]Project Breakdown'!#REF!</definedName>
    <definedName name="pr.lens.cost" localSheetId="1">#REF!</definedName>
    <definedName name="pr.lens.cost">#REF!</definedName>
    <definedName name="pr.louver.cost" localSheetId="1">#REF!</definedName>
    <definedName name="pr.louver.cost">#REF!</definedName>
    <definedName name="pr.lp.cost" localSheetId="1">#REF!</definedName>
    <definedName name="pr.lp.cost">#REF!</definedName>
    <definedName name="pr.lp.dont.price" localSheetId="1">#REF!</definedName>
    <definedName name="pr.lp.dont.price">#REF!</definedName>
    <definedName name="pr.lp.life" localSheetId="1">'[26]Project Breakdown'!#REF!</definedName>
    <definedName name="pr.lp.life">'[26]Project Breakdown'!#REF!</definedName>
    <definedName name="pr.lp.qty" localSheetId="1">'[26]Project Breakdown'!#REF!</definedName>
    <definedName name="pr.lp.qty">'[26]Project Breakdown'!#REF!</definedName>
    <definedName name="pr.lp.replace.cost" localSheetId="1">'[26]Project Breakdown'!#REF!</definedName>
    <definedName name="pr.lp.replace.cost">'[26]Project Breakdown'!#REF!</definedName>
    <definedName name="pr.lp.type" localSheetId="1">#REF!</definedName>
    <definedName name="pr.lp.type">#REF!</definedName>
    <definedName name="pr.manual.watts" localSheetId="1">#REF!</definedName>
    <definedName name="pr.manual.watts">#REF!</definedName>
    <definedName name="pr.material.only" localSheetId="1">#REF!</definedName>
    <definedName name="pr.material.only">#REF!</definedName>
    <definedName name="pr.new.chassis" localSheetId="1">#REF!</definedName>
    <definedName name="pr.new.chassis">#REF!</definedName>
    <definedName name="pr.refl.cost" localSheetId="1">#REF!</definedName>
    <definedName name="pr.refl.cost">#REF!</definedName>
    <definedName name="pr.refl.overhead" localSheetId="1">#REF!</definedName>
    <definedName name="pr.refl.overhead">#REF!</definedName>
    <definedName name="pr.tandem" localSheetId="1">#REF!</definedName>
    <definedName name="pr.tandem">#REF!</definedName>
    <definedName name="pr.volt" localSheetId="1">#REF!</definedName>
    <definedName name="pr.volt">#REF!</definedName>
    <definedName name="pr.watts" localSheetId="1">'[26]Project Breakdown'!#REF!</definedName>
    <definedName name="pr.watts">'[26]Project Breakdown'!#REF!</definedName>
    <definedName name="pr.whipless" localSheetId="1">#REF!</definedName>
    <definedName name="pr.whipless">#REF!</definedName>
    <definedName name="precise.installed.price" localSheetId="1">#REF!</definedName>
    <definedName name="precise.installed.price">#REF!</definedName>
    <definedName name="price.sheet.version" localSheetId="1">#REF!</definedName>
    <definedName name="price.sheet.version">#REF!</definedName>
    <definedName name="_xlnm.Print_Area" localSheetId="1">경제성분석!$A$3:$A$41</definedName>
    <definedName name="_xlnm.Print_Area">#REF!</definedName>
    <definedName name="PRINT_AREA_MI" localSheetId="1">#REF!</definedName>
    <definedName name="PRINT_AREA_MI">#REF!</definedName>
    <definedName name="PRINT_AREA_MI1" localSheetId="1">#REF!</definedName>
    <definedName name="PRINT_AREA_MI1">#REF!</definedName>
    <definedName name="Print_Cash_Flow_Schedule" localSheetId="1">#REF!</definedName>
    <definedName name="Print_Cash_Flow_Schedule">#REF!</definedName>
    <definedName name="PRN" localSheetId="1">#REF!</definedName>
    <definedName name="PRN">#REF!</definedName>
    <definedName name="Profits_Tax_HK" localSheetId="1">#REF!</definedName>
    <definedName name="Profits_Tax_HK">#REF!</definedName>
    <definedName name="ProImportExport.ImportFile" localSheetId="1">'[28]20141010 그래프'!ProImportExport.ImportFile</definedName>
    <definedName name="ProImportExport.ImportFile">'[28]20141010 그래프'!ProImportExport.ImportFile</definedName>
    <definedName name="ProImportExport.SaveNewFile" localSheetId="1">'[28]20141010 그래프'!ProImportExport.SaveNewFile</definedName>
    <definedName name="ProImportExport.SaveNewFile">'[28]20141010 그래프'!ProImportExport.SaveNewFile</definedName>
    <definedName name="project.cost" localSheetId="1">'[26]Project Breakdown'!#REF!</definedName>
    <definedName name="project.cost">'[26]Project Breakdown'!#REF!</definedName>
    <definedName name="project.cost.net" localSheetId="1">'[26]Project Breakdown'!#REF!</definedName>
    <definedName name="project.cost.net">'[26]Project Breakdown'!#REF!</definedName>
    <definedName name="project.gross.margin" localSheetId="1">#REF!</definedName>
    <definedName name="project.gross.margin">#REF!</definedName>
    <definedName name="project.net.cost" localSheetId="1">#REF!</definedName>
    <definedName name="project.net.cost">#REF!</definedName>
    <definedName name="project.sales.margin" localSheetId="1">#REF!</definedName>
    <definedName name="project.sales.margin">#REF!</definedName>
    <definedName name="Project_Name" localSheetId="1">#REF!</definedName>
    <definedName name="Project_Name">#REF!</definedName>
    <definedName name="ProjectName">{"Client Name or Project Name"}</definedName>
    <definedName name="promote" localSheetId="1">#REF!</definedName>
    <definedName name="promote">#REF!</definedName>
    <definedName name="PROPACTG1" localSheetId="1">#REF!</definedName>
    <definedName name="PROPACTG1">#REF!</definedName>
    <definedName name="PROPACTG2" localSheetId="1">#REF!</definedName>
    <definedName name="PROPACTG2">#REF!</definedName>
    <definedName name="PROPECON" localSheetId="1">#REF!</definedName>
    <definedName name="PROPECON">#REF!</definedName>
    <definedName name="Property_Tax" localSheetId="1">#REF!</definedName>
    <definedName name="Property_Tax">#REF!</definedName>
    <definedName name="Property_Units" localSheetId="1">#REF!</definedName>
    <definedName name="Property_Units">#REF!</definedName>
    <definedName name="Property_Value" localSheetId="1">#REF!</definedName>
    <definedName name="Property_Value">#REF!</definedName>
    <definedName name="PropertyData">[25]PropertyData!$A:$CU</definedName>
    <definedName name="py">[40]Tenants!$C$59</definedName>
    <definedName name="Pyung_to_SF">[4]Assumption!$B$12</definedName>
    <definedName name="Q_실적2" localSheetId="1">#REF!</definedName>
    <definedName name="Q_실적2">#REF!</definedName>
    <definedName name="QK" localSheetId="1">[19]노무비!#REF!</definedName>
    <definedName name="QK">[19]노무비!#REF!</definedName>
    <definedName name="Query1" localSheetId="1">#REF!</definedName>
    <definedName name="Query1">#REF!</definedName>
    <definedName name="qw" localSheetId="1">[19]노무비!#REF!</definedName>
    <definedName name="qw">[19]노무비!#REF!</definedName>
    <definedName name="qwe" localSheetId="1">#REF!</definedName>
    <definedName name="qwe">#REF!</definedName>
    <definedName name="RBM_DB01_T_SEIHIM" localSheetId="1">#REF!</definedName>
    <definedName name="RBM_DB01_T_SEIHIM">#REF!</definedName>
    <definedName name="rebate.total" localSheetId="1">'[26]Project Breakdown'!#REF!</definedName>
    <definedName name="rebate.total">'[26]Project Breakdown'!#REF!</definedName>
    <definedName name="RECORD" localSheetId="1">[9]손익!#REF!</definedName>
    <definedName name="RECORD">[9]손익!#REF!</definedName>
    <definedName name="Reduce_Turnover_of_Top_Performers" localSheetId="1">#REF!</definedName>
    <definedName name="Reduce_Turnover_of_Top_Performers">#REF!</definedName>
    <definedName name="Reduce_Turnover_Timely_Compensation_Review_Increase_Utilization" localSheetId="1">#REF!</definedName>
    <definedName name="Reduce_Turnover_Timely_Compensation_Review_Increase_Utilization">#REF!</definedName>
    <definedName name="refinance">[41]Assumptions!$P$20:$AF$21</definedName>
    <definedName name="refl.OH.per.fixt" localSheetId="1">#REF!</definedName>
    <definedName name="refl.OH.per.fixt">#REF!</definedName>
    <definedName name="refl.qty" localSheetId="1">#REF!</definedName>
    <definedName name="refl.qty">#REF!</definedName>
    <definedName name="refl.total" localSheetId="1">#REF!</definedName>
    <definedName name="refl.total">#REF!</definedName>
    <definedName name="reflector.labor.time" localSheetId="1">#REF!</definedName>
    <definedName name="reflector.labor.time">#REF!</definedName>
    <definedName name="reflector.material" localSheetId="1">#REF!</definedName>
    <definedName name="reflector.material">#REF!</definedName>
    <definedName name="Refurbish_Begin" localSheetId="1">#REF!</definedName>
    <definedName name="Refurbish_Begin">#REF!</definedName>
    <definedName name="Refurbish_End" localSheetId="1">#REF!</definedName>
    <definedName name="Refurbish_End">#REF!</definedName>
    <definedName name="Refurbishment" localSheetId="1">#REF!</definedName>
    <definedName name="Refurbishment">#REF!</definedName>
    <definedName name="rent" localSheetId="1">#REF!</definedName>
    <definedName name="rent">#REF!</definedName>
    <definedName name="Rental_Deposit" localSheetId="1">#REF!</definedName>
    <definedName name="Rental_Deposit">#REF!</definedName>
    <definedName name="Rental_Deposit_Unit" localSheetId="1">#REF!</definedName>
    <definedName name="Rental_Deposit_Unit">#REF!</definedName>
    <definedName name="Rentroll" localSheetId="1">'[10]Initial Input Variable'!#REF!</definedName>
    <definedName name="Rentroll">'[10]Initial Input Variable'!#REF!</definedName>
    <definedName name="Replacement_Cost" localSheetId="1">#REF!</definedName>
    <definedName name="Replacement_Cost">#REF!</definedName>
    <definedName name="Replacement_Cost_Percent" localSheetId="1">#REF!</definedName>
    <definedName name="Replacement_Cost_Percent">#REF!</definedName>
    <definedName name="Reroll" localSheetId="1">'[36]인원계획-미화'!#REF!</definedName>
    <definedName name="Reroll">'[36]인원계획-미화'!#REF!</definedName>
    <definedName name="return.year.1" localSheetId="1">'[26]Project Breakdown'!#REF!</definedName>
    <definedName name="return.year.1">'[26]Project Breakdown'!#REF!</definedName>
    <definedName name="rewr" hidden="1">{#N/A,#N/A,FALSE,"이력서&amp;자기소개서"}</definedName>
    <definedName name="RK" localSheetId="1">BlankMacro1</definedName>
    <definedName name="RK">BlankMacro1</definedName>
    <definedName name="rla" localSheetId="1">BlankMacro1</definedName>
    <definedName name="rla">BlankMacro1</definedName>
    <definedName name="ROI" localSheetId="1">#REF!</definedName>
    <definedName name="ROI">#REF!</definedName>
    <definedName name="ROICREDIT" localSheetId="1">#REF!</definedName>
    <definedName name="ROICREDIT">#REF!</definedName>
    <definedName name="ROIIRR" localSheetId="1">#REF!</definedName>
    <definedName name="ROIIRR">#REF!</definedName>
    <definedName name="rounded.labor.sell" localSheetId="1">#REF!</definedName>
    <definedName name="rounded.labor.sell">#REF!</definedName>
    <definedName name="rounded.material.sell" localSheetId="1">#REF!</definedName>
    <definedName name="rounded.material.sell">#REF!</definedName>
    <definedName name="rounded.tax" localSheetId="1">#REF!</definedName>
    <definedName name="rounded.tax">#REF!</definedName>
    <definedName name="rr" localSheetId="1">#REF!</definedName>
    <definedName name="rr">#REF!</definedName>
    <definedName name="S1_">#N/A</definedName>
    <definedName name="sales.tax" localSheetId="1">#REF!</definedName>
    <definedName name="sales.tax">#REF!</definedName>
    <definedName name="Salesable_Area" localSheetId="1">#REF!</definedName>
    <definedName name="Salesable_Area">#REF!</definedName>
    <definedName name="Sample1" localSheetId="1">[42]Template!#REF!</definedName>
    <definedName name="Sample1">[42]Template!#REF!</definedName>
    <definedName name="SaveNewFile" localSheetId="1">'[28]20141010 그래프'!SaveNewFile</definedName>
    <definedName name="SaveNewFile">'[28]20141010 그래프'!SaveNewFile</definedName>
    <definedName name="savings.annual" localSheetId="1">'[26]Project Breakdown'!#REF!</definedName>
    <definedName name="savings.annual">'[26]Project Breakdown'!#REF!</definedName>
    <definedName name="savings.net.pv" localSheetId="1">'[26]Project Breakdown'!#REF!</definedName>
    <definedName name="savings.net.pv">'[26]Project Breakdown'!#REF!</definedName>
    <definedName name="SChonsei" localSheetId="1">#REF!</definedName>
    <definedName name="SChonsei">#REF!</definedName>
    <definedName name="sdf" localSheetId="1">[43]노무비!#REF!</definedName>
    <definedName name="sdf">[43]노무비!#REF!</definedName>
    <definedName name="sencount" hidden="1">1</definedName>
    <definedName name="Sensistivity_BuyPrice" localSheetId="1">#REF!</definedName>
    <definedName name="Sensistivity_BuyPrice">#REF!</definedName>
    <definedName name="Sensistivity_Exit_Price" localSheetId="1">#REF!</definedName>
    <definedName name="Sensistivity_Exit_Price">#REF!</definedName>
    <definedName name="Sensistivity_Hold_Period" localSheetId="1">#REF!</definedName>
    <definedName name="Sensistivity_Hold_Period">#REF!</definedName>
    <definedName name="Sensitivity_Borrow_Cost" localSheetId="1">#REF!</definedName>
    <definedName name="Sensitivity_Borrow_Cost">#REF!</definedName>
    <definedName name="Sensitivity_Debt_Ratio" localSheetId="1">#REF!</definedName>
    <definedName name="Sensitivity_Debt_Ratio">#REF!</definedName>
    <definedName name="Sensitivity_Exit" localSheetId="1">#REF!</definedName>
    <definedName name="Sensitivity_Exit">#REF!</definedName>
    <definedName name="Sensitivity_Term" localSheetId="1">#REF!</definedName>
    <definedName name="Sensitivity_Term">#REF!</definedName>
    <definedName name="Separation_Rate" localSheetId="1">#REF!</definedName>
    <definedName name="Separation_Rate">#REF!</definedName>
    <definedName name="Service_Charge_Collection" localSheetId="1">#REF!</definedName>
    <definedName name="Service_Charge_Collection">#REF!</definedName>
    <definedName name="SHL_Interest" localSheetId="1">#REF!</definedName>
    <definedName name="SHL_Interest">#REF!</definedName>
    <definedName name="SHL_Ratio" localSheetId="1">#REF!</definedName>
    <definedName name="SHL_Ratio">#REF!</definedName>
    <definedName name="SHL_Tax" localSheetId="1">#REF!</definedName>
    <definedName name="SHL_Tax">#REF!</definedName>
    <definedName name="Shorten_Compensation_Planning_Cycle_time_for_Compensation_Group" localSheetId="1">#REF!</definedName>
    <definedName name="Shorten_Compensation_Planning_Cycle_time_for_Compensation_Group">#REF!</definedName>
    <definedName name="Sigma">'[44]Initial Input Variable'!$C$19+('[44]Initial Input Variable'!$C$20-'[44]Initial Input Variable'!$C$18)</definedName>
    <definedName name="SiiL_BuildCondition">'[45]Macro Codes'!$A$43:$A$46</definedName>
    <definedName name="SiiL_ConstructType">'[45]Macro Codes'!$A$28:$A$31</definedName>
    <definedName name="SiiL_DCF">'[45]Macro Codes'!$H$5:$H$13</definedName>
    <definedName name="SiiL_LoanStruct">'[45]Macro Codes'!$A$20:$A$21</definedName>
    <definedName name="SiiL_Market">'[45]Macro Codes'!$I$5:$I$13</definedName>
    <definedName name="SiiL_RelToBor">'[45]Macro Codes'!$A$25:$A$26</definedName>
    <definedName name="SiiL_VarWorkSheet">'[45]Macro Codes'!$G$5:$G$13</definedName>
    <definedName name="SiiL_YesNo">'[45]Macro Codes'!$A$53:$A$54</definedName>
    <definedName name="Site_Area" localSheetId="1">#REF!</definedName>
    <definedName name="Site_Area">#REF!</definedName>
    <definedName name="Sm_per_Pyong" localSheetId="1">#REF!</definedName>
    <definedName name="Sm_per_Pyong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localSheetId="1" hidden="1">#REF!</definedName>
    <definedName name="solver_lhs1" hidden="1">#REF!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hs1" localSheetId="1" hidden="1">#REF!*1.5</definedName>
    <definedName name="solver_rhs1" hidden="1">#REF!*1.5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" localSheetId="1">#REF!</definedName>
    <definedName name="Sort">#REF!</definedName>
    <definedName name="source">[12]Source!$3:$20</definedName>
    <definedName name="Special_Capital_Gain_Tax" localSheetId="1">#REF!</definedName>
    <definedName name="Special_Capital_Gain_Tax">#REF!</definedName>
    <definedName name="sqft">[30]Area!$F$46</definedName>
    <definedName name="ss" localSheetId="1">#REF!</definedName>
    <definedName name="ss">#REF!</definedName>
    <definedName name="SS_CAPEX">{"Client Name or Project Name"}</definedName>
    <definedName name="sss" localSheetId="1">#REF!</definedName>
    <definedName name="sss">#REF!</definedName>
    <definedName name="ssss" localSheetId="1">[19]노무비!#REF!</definedName>
    <definedName name="ssss">[19]노무비!#REF!</definedName>
    <definedName name="ST_interest">[4]Assumption!$B$13</definedName>
    <definedName name="Stabilized_Vacancy">[4]Assumption!$B$19</definedName>
    <definedName name="stacking" localSheetId="1">'[28]20141010 그래프'!stacking</definedName>
    <definedName name="stacking">'[28]20141010 그래프'!stacking</definedName>
    <definedName name="status" localSheetId="1">#REF!</definedName>
    <definedName name="status">#REF!</definedName>
    <definedName name="Steam_Loss_Chart" localSheetId="1">'[17]FIM-7.1'!#REF!</definedName>
    <definedName name="Steam_Loss_Chart">'[17]FIM-7.1'!#REF!</definedName>
    <definedName name="SubDic" localSheetId="1">#REF!</definedName>
    <definedName name="SubDic">#REF!</definedName>
    <definedName name="T_PropertyType">'[45]Macro Codes'!$D$5:$D$13</definedName>
    <definedName name="T_TERMS" localSheetId="1">#REF!</definedName>
    <definedName name="T_TERMS">#REF!</definedName>
    <definedName name="T_Type" localSheetId="1">#REF!</definedName>
    <definedName name="T_Type">#REF!</definedName>
    <definedName name="T_TypeNumber2">'[45]Macro Codes'!$E$5:$E$13</definedName>
    <definedName name="tax" localSheetId="1">#REF!</definedName>
    <definedName name="tax">#REF!</definedName>
    <definedName name="Tax_Base_above100" localSheetId="1">#REF!</definedName>
    <definedName name="Tax_Base_above100">#REF!</definedName>
    <definedName name="Tax_Base_below100" localSheetId="1">#REF!</definedName>
    <definedName name="Tax_Base_below100">#REF!</definedName>
    <definedName name="Tax_Rate">[4]Assumption!$B$17</definedName>
    <definedName name="Tax_Rental_Above100" localSheetId="1">#REF!</definedName>
    <definedName name="Tax_Rental_Above100">#REF!</definedName>
    <definedName name="Tax_Rental_below100" localSheetId="1">#REF!</definedName>
    <definedName name="Tax_Rental_below100">#REF!</definedName>
    <definedName name="Tax_Withhold_Capital_Gains" localSheetId="1">#REF!</definedName>
    <definedName name="Tax_Withhold_Capital_Gains">#REF!</definedName>
    <definedName name="Tax_Withhold_Dividends" localSheetId="1">#REF!</definedName>
    <definedName name="Tax_Withhold_Dividends">#REF!</definedName>
    <definedName name="TChonsei" localSheetId="1">#REF!</definedName>
    <definedName name="TChonsei">#REF!</definedName>
    <definedName name="TDeposit" localSheetId="1">#REF!</definedName>
    <definedName name="TDeposit">#REF!</definedName>
    <definedName name="TenantData" localSheetId="1">#REF!</definedName>
    <definedName name="TenantData">#REF!</definedName>
    <definedName name="Term" localSheetId="1">#REF!</definedName>
    <definedName name="Term">#REF!</definedName>
    <definedName name="This_Quarter" localSheetId="1">#REF!</definedName>
    <definedName name="This_Quarter">#REF!</definedName>
    <definedName name="tlf" localSheetId="1" hidden="1">#REF!</definedName>
    <definedName name="tlf" hidden="1">#REF!</definedName>
    <definedName name="TodaysDate">[45]Input!$C$11</definedName>
    <definedName name="Total_Compensation_Expense" localSheetId="1">#REF!</definedName>
    <definedName name="Total_Compensation_Expense">#REF!</definedName>
    <definedName name="Total_Contracted_Gross_Area" localSheetId="1">#REF!</definedName>
    <definedName name="Total_Contracted_Gross_Area">#REF!</definedName>
    <definedName name="Total_Labor_Cost_Revenue" localSheetId="1">#REF!</definedName>
    <definedName name="Total_Labor_Cost_Revenue">#REF!</definedName>
    <definedName name="TRent" localSheetId="1">#REF!</definedName>
    <definedName name="TRent">#REF!</definedName>
    <definedName name="Trust_Fee">[4]Assumption!$B$9</definedName>
    <definedName name="tt" localSheetId="1">#REF!</definedName>
    <definedName name="tt">#REF!</definedName>
    <definedName name="ttxx" localSheetId="1">#REF!</definedName>
    <definedName name="ttxx">#REF!</definedName>
    <definedName name="ttxxxx" localSheetId="1">#REF!</definedName>
    <definedName name="ttxxxx">#REF!</definedName>
    <definedName name="ttxxxxx" localSheetId="1">#REF!</definedName>
    <definedName name="ttxxxxx">#REF!</definedName>
    <definedName name="txx" localSheetId="1">#REF!</definedName>
    <definedName name="txx">#REF!</definedName>
    <definedName name="Unit" localSheetId="1">#REF!</definedName>
    <definedName name="Unit">#REF!</definedName>
    <definedName name="UNOCVENT" localSheetId="1">#REF!</definedName>
    <definedName name="UNOCVENT">#REF!</definedName>
    <definedName name="UST">'[15]Ultimate System Table'!$B$4:$J$895</definedName>
    <definedName name="VENTPER" localSheetId="1">#REF!</definedName>
    <definedName name="VENTPER">#REF!</definedName>
    <definedName name="wer" localSheetId="1">#REF!</definedName>
    <definedName name="wer">#REF!</definedName>
    <definedName name="whip.cost" localSheetId="1">#REF!</definedName>
    <definedName name="whip.cost">#REF!</definedName>
    <definedName name="whip.labor.time" localSheetId="1">#REF!</definedName>
    <definedName name="whip.labor.time">#REF!</definedName>
    <definedName name="whip.material" localSheetId="1">#REF!</definedName>
    <definedName name="whip.material">#REF!</definedName>
    <definedName name="working.lp.qty" localSheetId="1">#REF!</definedName>
    <definedName name="working.lp.qty">#REF!</definedName>
    <definedName name="wrn.대차._.대조표." hidden="1">{#N/A,#N/A,TRUE,"대 차 대 조 표"}</definedName>
    <definedName name="wrn.이력서._.자기소개서." hidden="1">{#N/A,#N/A,FALSE,"이력서&amp;자기소개서"}</definedName>
    <definedName name="wwwwwwww" localSheetId="1">[18]노무비!#REF!</definedName>
    <definedName name="wwwwwwww">[18]노무비!#REF!</definedName>
    <definedName name="X_typenumber0">'[45]Macro Codes'!$C$5</definedName>
    <definedName name="x_TypeNumber1">'[45]Macro Codes'!$E$17</definedName>
    <definedName name="x_TypeNumber2">'[45]Macro Codes'!$E$18</definedName>
    <definedName name="x_TypeWorksheet">'[45]Macro Codes'!$E$15</definedName>
    <definedName name="x_UOM">'[45]Macro Codes'!$K$11</definedName>
    <definedName name="X_WIPFlag">'[45]Macro Codes'!$K$5</definedName>
    <definedName name="xxx" localSheetId="1">#REF!</definedName>
    <definedName name="xxx">#REF!</definedName>
    <definedName name="Year" localSheetId="1">#REF!</definedName>
    <definedName name="Year">#REF!</definedName>
    <definedName name="Year_To_WesternStyle" localSheetId="1">#REF!</definedName>
    <definedName name="Year_To_WesternStyle">#REF!</definedName>
    <definedName name="YesNo">[46]Building!$O$6:$O$7</definedName>
    <definedName name="zzz" hidden="1">{#N/A,#N/A,FALSE,"이력서&amp;자기소개서"}</definedName>
    <definedName name="シュミレーションシート名" localSheetId="1">'[47](Monthly)'!#REF!</definedName>
    <definedName name="シュミレーションシート名">'[47](Monthly)'!#REF!</definedName>
    <definedName name="ビルコード" localSheetId="1">'[47](Monthly)'!#REF!</definedName>
    <definedName name="ビルコード">'[47](Monthly)'!#REF!</definedName>
    <definedName name="ビル名" localSheetId="1">'[47](Monthly)'!#REF!</definedName>
    <definedName name="ビル名">'[47](Monthly)'!#REF!</definedName>
    <definedName name="ㄱ" localSheetId="1">#REF!</definedName>
    <definedName name="ㄱ">#REF!</definedName>
    <definedName name="ㄱㄱ" localSheetId="1">[7]영업.일1!#REF!</definedName>
    <definedName name="ㄱㄱ">[7]영업.일1!#REF!</definedName>
    <definedName name="가" localSheetId="1">#REF!</definedName>
    <definedName name="가">#REF!</definedName>
    <definedName name="稼動賃料" localSheetId="1">#REF!</definedName>
    <definedName name="稼動賃料">#REF!</definedName>
    <definedName name="가락NOI">OFFSET([48]DATA_Garak!$F$44,0,0,1,COUNTA([48]DATA_Garak!$F$44:$Q$44))</definedName>
    <definedName name="가락가치">OFFSET([48]DATA_Garak!$F$98,0,0,1,COUNTA([48]DATA_Garak!$F$98:$Q$98))</definedName>
    <definedName name="가락공실">OFFSET([48]DATA_Garak!$F$106,0,0,1,COUNT([48]DATA_Garak!$F$106:$N$106))</definedName>
    <definedName name="가락수익률">OFFSET([48]DATA_Garak!$F$55,0,0,1,COUNTA([48]DATA_Garak!$F$55:$Q$55))</definedName>
    <definedName name="가락수입">OFFSET([48]DATA_Garak!$F$26,0,0,1,COUNTA([48]DATA_Garak!$F$26:$Q$26))</definedName>
    <definedName name="가락지출">OFFSET([48]DATA_Garak!$F$43,0,0,1,COUNTA([48]DATA_Garak!$F$43:$Q$43))</definedName>
    <definedName name="가전" localSheetId="1">[9]손익!#REF!</definedName>
    <definedName name="가전">[9]손익!#REF!</definedName>
    <definedName name="가치" localSheetId="1">#REF!</definedName>
    <definedName name="가치">#REF!</definedName>
    <definedName name="갱신임료수준" localSheetId="1">#REF!</definedName>
    <definedName name="갱신임료수준">#REF!</definedName>
    <definedName name="건강보험">1.97%</definedName>
    <definedName name="결론">[24]Conclusion!$A$4:$AA$250</definedName>
    <definedName name="경비.본" localSheetId="1">#REF!</definedName>
    <definedName name="경비.본">#REF!</definedName>
    <definedName name="계약" localSheetId="1">#REF!</definedName>
    <definedName name="계약">#REF!</definedName>
    <definedName name="계약금액" localSheetId="1">#REF!</definedName>
    <definedName name="계약금액">#REF!</definedName>
    <definedName name="계획총자산" localSheetId="1">#REF!</definedName>
    <definedName name="계획총자산">#REF!</definedName>
    <definedName name="고" hidden="1">{"'통신지'!$A$1:$J$41"}</definedName>
    <definedName name="고고" hidden="1">{"'통신지'!$A$1:$J$41"}</definedName>
    <definedName name="고용보험">1.3%</definedName>
    <definedName name="공실계획">OFFSET([48]DATA_Total!$F$121,0,0,1,COUNTA([48]DATA_Total!$F$121:$Q$121))</definedName>
    <definedName name="공실률">'[10]Initial Input Variable'!$C$19+('[10]Initial Input Variable'!$C$20-'[10]Initial Input Variable'!$C$18)</definedName>
    <definedName name="空室面積" localSheetId="1">#REF!</definedName>
    <definedName name="空室面積">#REF!</definedName>
    <definedName name="공정" localSheetId="1">#REF!</definedName>
    <definedName name="공정">#REF!</definedName>
    <definedName name="공통" localSheetId="1">#REF!</definedName>
    <definedName name="공통">#REF!</definedName>
    <definedName name="공통경비" localSheetId="1">#REF!</definedName>
    <definedName name="공통경비">#REF!</definedName>
    <definedName name="科目" localSheetId="1">#REF!</definedName>
    <definedName name="科目">#REF!</definedName>
    <definedName name="科目リスト">[49]準備ｼｰﾄ!$C$6:$C$34</definedName>
    <definedName name="科目リスト2">[50]ﾘｽﾄ!$D$3:$D$25</definedName>
    <definedName name="관급" localSheetId="1">#REF!,#REF!,#REF!</definedName>
    <definedName name="관급">#REF!,#REF!,#REF!</definedName>
    <definedName name="광자" localSheetId="1">#REF!</definedName>
    <definedName name="광자">#REF!</definedName>
    <definedName name="광주" localSheetId="1">#REF!</definedName>
    <definedName name="광주">#REF!</definedName>
    <definedName name="광주NOI">OFFSET([48]DATA_Kwangju!$F$44,0,0,1,COUNTA([48]DATA_Kwangju!$F$44:$Q$44))</definedName>
    <definedName name="광주가치">OFFSET([48]DATA_Kwangju!$F$98,0,0,1,COUNTA([48]DATA_Kwangju!$F$98:$Q$98))</definedName>
    <definedName name="광주공실">OFFSET([48]DATA_Kwangju!$F$106,0,0,1,COUNT([48]DATA_Kwangju!$F$106:$N$106))</definedName>
    <definedName name="광주수익률">OFFSET([48]DATA_Kwangju!$F$55,0,0,1,COUNTA([48]DATA_Kwangju!$F$55:$Q$55))</definedName>
    <definedName name="광주수입">OFFSET([48]DATA_Kwangju!$F$26,0,0,1,COUNTA([48]DATA_Kwangju!$F$26:$Q$26))</definedName>
    <definedName name="광주지출">OFFSET([48]DATA_Kwangju!$F$43,0,0,1,COUNTA([48]DATA_Kwangju!$F$43:$Q$43))</definedName>
    <definedName name="교환2001견적" localSheetId="1">#REF!</definedName>
    <definedName name="교환2001견적">#REF!</definedName>
    <definedName name="교환비교" localSheetId="1">#REF!</definedName>
    <definedName name="교환비교">#REF!</definedName>
    <definedName name="九段住戸" localSheetId="1">#REF!</definedName>
    <definedName name="九段住戸">#REF!</definedName>
    <definedName name="구역" localSheetId="1">#REF!</definedName>
    <definedName name="구역">#REF!</definedName>
    <definedName name="국민연금">4.5%</definedName>
    <definedName name="그래프" localSheetId="1">#REF!</definedName>
    <definedName name="그래프">#REF!</definedName>
    <definedName name="근태현황_98본사_중원_9월__List" localSheetId="1">#REF!</definedName>
    <definedName name="근태현황_98본사_중원_9월__List">#REF!</definedName>
    <definedName name="금리1" localSheetId="1">'[10]Initial Input Variable'!#REF!</definedName>
    <definedName name="금리1">'[10]Initial Input Variable'!#REF!</definedName>
    <definedName name="급료" localSheetId="1">#REF!</definedName>
    <definedName name="급료">#REF!</definedName>
    <definedName name="급료.본" localSheetId="1">#REF!</definedName>
    <definedName name="급료.본">#REF!</definedName>
    <definedName name="期修シート名" localSheetId="1">'[47](Monthly)'!#REF!</definedName>
    <definedName name="期修シート名">'[47](Monthly)'!#REF!</definedName>
    <definedName name="기존_대출" localSheetId="1">'[10]Initial Input Variable'!#REF!</definedName>
    <definedName name="기존_대출">'[10]Initial Input Variable'!#REF!</definedName>
    <definedName name="기존_보증금" localSheetId="1">'[10]Initial Input Variable'!#REF!</definedName>
    <definedName name="기존_보증금">'[10]Initial Input Variable'!#REF!</definedName>
    <definedName name="기준보증금률" localSheetId="1">#REF!</definedName>
    <definedName name="기준보증금률">#REF!</definedName>
    <definedName name="기준표">[51]Sheet1!$B$17:$E$22</definedName>
    <definedName name="ㄴㄴㄴ" hidden="1">{#N/A,#N/A,TRUE,"대 차 대 조 표"}</definedName>
    <definedName name="낙_관" localSheetId="1">'[10]Initial Input Variable'!#REF!</definedName>
    <definedName name="낙_관">'[10]Initial Input Variable'!#REF!</definedName>
    <definedName name="내역서" hidden="1">{#N/A,#N/A,TRUE,"대 차 대 조 표"}</definedName>
    <definedName name="년간임료상승률" localSheetId="1">#REF!</definedName>
    <definedName name="년간임료상승률">#REF!</definedName>
    <definedName name="年度" localSheetId="1">'[47](Monthly)'!#REF!</definedName>
    <definedName name="年度">'[47](Monthly)'!#REF!</definedName>
    <definedName name="년도별예산추정" localSheetId="1">BlankMacro1</definedName>
    <definedName name="년도별예산추정">BlankMacro1</definedName>
    <definedName name="年修シート名" localSheetId="1">'[47](Monthly)'!#REF!</definedName>
    <definedName name="年修シート名">'[47](Monthly)'!#REF!</definedName>
    <definedName name="년차" localSheetId="1">#REF!</definedName>
    <definedName name="년차">#REF!</definedName>
    <definedName name="ㄷㄷㄷㄷㅈㅈㅈㅈ" hidden="1">{"'통신지'!$A$1:$J$41"}</definedName>
    <definedName name="단가">[24]결정단가!$A$4:$D$250</definedName>
    <definedName name="단가비교표" localSheetId="1">#REF!,#REF!</definedName>
    <definedName name="단가비교표">#REF!,#REF!</definedName>
    <definedName name="단가표" localSheetId="1">#REF!</definedName>
    <definedName name="단가표">#REF!</definedName>
    <definedName name="단위">'[52]S&amp;R'!$F$51</definedName>
    <definedName name="單位_百萬원" localSheetId="1">[6]대차대조표!#REF!</definedName>
    <definedName name="單位_百萬원">[6]대차대조표!#REF!</definedName>
    <definedName name="당년총자산" localSheetId="1">#REF!</definedName>
    <definedName name="당년총자산">#REF!</definedName>
    <definedName name="당월공실" localSheetId="1">OFFSET([48]DATA_Total!#REF!,0,COUNTA([48]DATA_Total!#REF!),9,0)</definedName>
    <definedName name="당월공실">OFFSET([48]DATA_Total!#REF!,0,COUNTA([48]DATA_Total!#REF!),9,0)</definedName>
    <definedName name="大科目" localSheetId="1">#REF!</definedName>
    <definedName name="大科目">#REF!</definedName>
    <definedName name="大科目名" localSheetId="1">#REF!</definedName>
    <definedName name="大科目名">#REF!</definedName>
    <definedName name="대구" hidden="1">{#N/A,#N/A,TRUE,"대 차 대 조 표"}</definedName>
    <definedName name="대전NOI">OFFSET([48]DATA_Daejeon!$F$44,0,0,1,COUNTA([48]DATA_Daejeon!$F$44:$Q$44))</definedName>
    <definedName name="대전가치">OFFSET([48]DATA_Daejeon!$F$98,0,0,1,COUNTA([48]DATA_Daejeon!$F$98:$Q$98))</definedName>
    <definedName name="대전공실">OFFSET([48]DATA_Daejeon!$F$106,0,0,1,COUNT([48]DATA_Daejeon!$F$106:$N$106))</definedName>
    <definedName name="대전수익률">OFFSET([48]DATA_Daejeon!$F$55,0,0,1,COUNTA([48]DATA_Daejeon!$F$55:$Q$55))</definedName>
    <definedName name="대전수입">OFFSET([48]DATA_Daejeon!$F$26,0,0,1,COUNTA([48]DATA_Daejeon!$F$26:$Q$26))</definedName>
    <definedName name="대전지출">OFFSET([48]DATA_Daejeon!$F$43,0,0,1,COUNTA([48]DATA_Daejeon!$F$43:$Q$43))</definedName>
    <definedName name="대흥" hidden="1">{#N/A,#N/A,TRUE,"대 차 대 조 표"}</definedName>
    <definedName name="동원" localSheetId="1">#REF!</definedName>
    <definedName name="동원">#REF!</definedName>
    <definedName name="돼지" hidden="1">{#N/A,#N/A,TRUE,"대 차 대 조 표"}</definedName>
    <definedName name="ㄹㄹㄷㄹ" hidden="1">{#N/A,#N/A,TRUE,"대 차 대 조 표"}</definedName>
    <definedName name="리리리" localSheetId="1">#REF!,#REF!,#REF!</definedName>
    <definedName name="리리리">#REF!,#REF!,#REF!</definedName>
    <definedName name="ㅁㅁ" localSheetId="1" hidden="1">[53]내역서!#REF!</definedName>
    <definedName name="ㅁㅁ" hidden="1">[53]내역서!#REF!</definedName>
    <definedName name="매" localSheetId="1">#REF!</definedName>
    <definedName name="매">#REF!</definedName>
    <definedName name="매출" localSheetId="1">#REF!</definedName>
    <definedName name="매출">#REF!</definedName>
    <definedName name="매출.본" localSheetId="1">#REF!</definedName>
    <definedName name="매출.본">#REF!</definedName>
    <definedName name="매출00" localSheetId="1">#REF!</definedName>
    <definedName name="매출00">#REF!</definedName>
    <definedName name="매출99" localSheetId="1">#REF!</definedName>
    <definedName name="매출99">#REF!</definedName>
    <definedName name="매출신표" localSheetId="1">#REF!</definedName>
    <definedName name="매출신표">#REF!</definedName>
    <definedName name="매출진표" localSheetId="1">#REF!</definedName>
    <definedName name="매출진표">#REF!</definedName>
    <definedName name="매출채권보고" localSheetId="1">#REF!</definedName>
    <definedName name="매출채권보고">#REF!</definedName>
    <definedName name="매출채권분석" localSheetId="1">#REF!</definedName>
    <definedName name="매출채권분석">#REF!</definedName>
    <definedName name="매출채권분석2" localSheetId="1">#REF!</definedName>
    <definedName name="매출채권분석2">#REF!</definedName>
    <definedName name="모히ㅏㅗㅁ나ㅣ한밓" localSheetId="1">#REF!</definedName>
    <definedName name="모히ㅏㅗㅁ나ㅣ한밓">#REF!</definedName>
    <definedName name="목차2" localSheetId="1">#REF!</definedName>
    <definedName name="목차2">#REF!</definedName>
    <definedName name="몰" localSheetId="1">'[11]인원계획-미화'!#REF!</definedName>
    <definedName name="몰">'[11]인원계획-미화'!#REF!</definedName>
    <definedName name="몰라" localSheetId="1">#REF!</definedName>
    <definedName name="몰라">#REF!</definedName>
    <definedName name="미화" hidden="1">{#N/A,#N/A,FALSE,"이력서&amp;자기소개서"}</definedName>
    <definedName name="미화2" hidden="1">{#N/A,#N/A,FALSE,"이력서&amp;자기소개서"}</definedName>
    <definedName name="백만원">[54]리츠!$D$36</definedName>
    <definedName name="법인세율">[55]주요기준!$3:$3</definedName>
    <definedName name="별도합산" localSheetId="1">#REF!</definedName>
    <definedName name="별도합산">#REF!</definedName>
    <definedName name="별도합산세" localSheetId="1">#REF!</definedName>
    <definedName name="별도합산세">#REF!</definedName>
    <definedName name="별도합산세율" localSheetId="1">#REF!</definedName>
    <definedName name="별도합산세율">#REF!</definedName>
    <definedName name="보보봅" localSheetId="1">'[56]인원계획-미화'!#REF!</definedName>
    <definedName name="보보봅">'[56]인원계획-미화'!#REF!</definedName>
    <definedName name="보안복">170000</definedName>
    <definedName name="보증금환급률" localSheetId="1">#REF!</definedName>
    <definedName name="보증금환급률">#REF!</definedName>
    <definedName name="복리후생비" localSheetId="1">#REF!</definedName>
    <definedName name="복리후생비">#REF!</definedName>
    <definedName name="본사손익" localSheetId="1">[6]대차대조표!#REF!</definedName>
    <definedName name="본사손익">[6]대차대조표!#REF!</definedName>
    <definedName name="分類" localSheetId="1">#REF!</definedName>
    <definedName name="分類">#REF!</definedName>
    <definedName name="분리과세" localSheetId="1">#REF!</definedName>
    <definedName name="분리과세">#REF!</definedName>
    <definedName name="분리과세세율" localSheetId="1">#REF!</definedName>
    <definedName name="분리과세세율">#REF!</definedName>
    <definedName name="분리과세액" localSheetId="1">#REF!</definedName>
    <definedName name="분리과세액">#REF!</definedName>
    <definedName name="비교" hidden="1">{#N/A,#N/A,FALSE,"이력서&amp;자기소개서"}</definedName>
    <definedName name="사당NOI">OFFSET([48]DATA_Sadang!$F$44,0,0,1,COUNTA([48]DATA_Sadang!$F$44:$Q$44))</definedName>
    <definedName name="사당가치">OFFSET([48]DATA_Sadang!$F$98,0,0,1,COUNTA([48]DATA_Sadang!$F$98:$Q$98))</definedName>
    <definedName name="사당공실">OFFSET([48]DATA_Sadang!$F$106,0,0,1,COUNT([48]DATA_Sadang!$F$106:$N$106))</definedName>
    <definedName name="사당수익률">OFFSET([48]DATA_Sadang!$F$55,0,0,1,COUNTA([48]DATA_Sadang!$F$55:$Q$55))</definedName>
    <definedName name="사당수입">OFFSET([48]DATA_Sadang!$F$26,0,0,1,COUNTA([48]DATA_Sadang!$F$26:$Q$26))</definedName>
    <definedName name="사당지출">OFFSET([48]DATA_Sadang!$F$43,0,0,1,COUNTA([48]DATA_Sadang!$F$43:$Q$43))</definedName>
    <definedName name="사업부문" localSheetId="1">#REF!</definedName>
    <definedName name="사업부문">#REF!</definedName>
    <definedName name="사전" localSheetId="1">#REF!</definedName>
    <definedName name="사전">#REF!</definedName>
    <definedName name="사진" localSheetId="1">#REF!</definedName>
    <definedName name="사진">#REF!</definedName>
    <definedName name="산재보험">1.3%</definedName>
    <definedName name="상가매매0115">[57]상가매매0115!$A$1:$L$379</definedName>
    <definedName name="상가임대0115">[57]상가임대0115!$A$1:$Q$1377</definedName>
    <definedName name="상여" localSheetId="1">#REF!</definedName>
    <definedName name="상여">#REF!</definedName>
    <definedName name="상여금" localSheetId="1">#REF!</definedName>
    <definedName name="상여금">#REF!</definedName>
    <definedName name="上原住戸">[58]賃料等一覧!$A$5:$S$25</definedName>
    <definedName name="상품원가.본" localSheetId="1">#REF!</definedName>
    <definedName name="상품원가.본">#REF!</definedName>
    <definedName name="새이름" localSheetId="1">#REF!</definedName>
    <definedName name="새이름">#REF!</definedName>
    <definedName name="서초" hidden="1">{#N/A,#N/A,TRUE,"대 차 대 조 표"}</definedName>
    <definedName name="서초2" hidden="1">{#N/A,#N/A,TRUE,"대 차 대 조 표"}</definedName>
    <definedName name="서초해동" hidden="1">{#N/A,#N/A,TRUE,"대 차 대 조 표"}</definedName>
    <definedName name="세금" localSheetId="1">#REF!</definedName>
    <definedName name="세금">#REF!</definedName>
    <definedName name="세금1" localSheetId="1">#REF!</definedName>
    <definedName name="세금1">#REF!</definedName>
    <definedName name="세금유형" localSheetId="1">#REF!</definedName>
    <definedName name="세금유형">#REF!</definedName>
    <definedName name="세금종류" localSheetId="1">#REF!</definedName>
    <definedName name="세금종류">#REF!</definedName>
    <definedName name="세부내역서1" hidden="1">{#N/A,#N/A,TRUE,"대 차 대 조 표"}</definedName>
    <definedName name="세율" localSheetId="1">#REF!</definedName>
    <definedName name="세율">#REF!</definedName>
    <definedName name="셀노트4" localSheetId="1">[59]노무비!#REF!</definedName>
    <definedName name="셀노트4">[59]노무비!#REF!</definedName>
    <definedName name="소방공사" localSheetId="1">[16]내역!#REF!</definedName>
    <definedName name="소방공사">[16]내역!#REF!</definedName>
    <definedName name="소유자분_보증금" localSheetId="1">'[10]Initial Input Variable'!#REF!</definedName>
    <definedName name="소유자분_보증금">'[10]Initial Input Variable'!#REF!</definedName>
    <definedName name="손익계산서">[60]재무가정!$H$13</definedName>
    <definedName name="손익표" localSheetId="1">#REF!</definedName>
    <definedName name="손익표">#REF!</definedName>
    <definedName name="솔" hidden="1">{#N/A,#N/A,TRUE,"대 차 대 조 표"}</definedName>
    <definedName name="수송" localSheetId="1">BlankMacro1</definedName>
    <definedName name="수송">BlankMacro1</definedName>
    <definedName name="収入_支出" localSheetId="1">#REF!</definedName>
    <definedName name="収入_支出">#REF!</definedName>
    <definedName name="승계_대출" localSheetId="1">'[10]Initial Input Variable'!#REF!</definedName>
    <definedName name="승계_대출">'[10]Initial Input Variable'!#REF!</definedName>
    <definedName name="시산" localSheetId="1">'[61]인원계획-미화'!#REF!</definedName>
    <definedName name="시산">'[61]인원계획-미화'!#REF!</definedName>
    <definedName name="식품" localSheetId="1">[9]손익!#REF!</definedName>
    <definedName name="식품">[9]손익!#REF!</definedName>
    <definedName name="신고분장" hidden="1">{"'통신지'!$A$1:$J$41"}</definedName>
    <definedName name="신규_대출" localSheetId="1">'[10]Initial Input Variable'!#REF!</definedName>
    <definedName name="신규_대출">'[10]Initial Input Variable'!#REF!</definedName>
    <definedName name="실제급여" hidden="1">{#N/A,#N/A,TRUE,"대 차 대 조 표"}</definedName>
    <definedName name="씨엔에이치" hidden="1">{#N/A,#N/A,TRUE,"대 차 대 조 표"}</definedName>
    <definedName name="ㅇㄹ" localSheetId="1">BlankMacro1</definedName>
    <definedName name="ㅇㄹ">BlankMacro1</definedName>
    <definedName name="ㅇㅇㄴ" localSheetId="1">BlankMacro1</definedName>
    <definedName name="ㅇㅇㄴ">BlankMacro1</definedName>
    <definedName name="ㅇㅇㅇㅇㅇ" hidden="1">{#N/A,#N/A,TRUE,"대 차 대 조 표"}</definedName>
    <definedName name="ㅇ효오" localSheetId="1">[62]식음료!#REF!</definedName>
    <definedName name="ㅇ효오">[62]식음료!#REF!</definedName>
    <definedName name="암사" hidden="1">{#N/A,#N/A,TRUE,"대 차 대 조 표"}</definedName>
    <definedName name="앙" hidden="1">{#N/A,#N/A,FALSE,"이력서&amp;자기소개서"}</definedName>
    <definedName name="양재NOI">OFFSET([48]DATA_Yangjae!$F$44,0,0,1,COUNTA([48]DATA_Yangjae!$F$44:$Q$44))</definedName>
    <definedName name="양재가치">OFFSET([48]DATA_Yangjae!$F$98,0,0,1,COUNTA([48]DATA_Yangjae!$F$98:$Q$98))</definedName>
    <definedName name="양재공실">OFFSET([48]DATA_Yangjae!$F$106,0,0,1,COUNT([48]DATA_Yangjae!$F$106:$N$106))</definedName>
    <definedName name="양재수익률">OFFSET([48]DATA_Yangjae!$F$55,0,0,1,COUNTA([48]DATA_Yangjae!$F$55:$Q$55))</definedName>
    <definedName name="양재수입">OFFSET([48]DATA_Yangjae!$F$26,0,0,1,COUNTA([48]DATA_Yangjae!$F$26:$Q$26))</definedName>
    <definedName name="양재지출">OFFSET([48]DATA_Yangjae!$F$43,0,0,1,COUNTA([48]DATA_Yangjae!$F$43:$Q$43))</definedName>
    <definedName name="업무계획표" hidden="1">{#N/A,#N/A,TRUE,"대 차 대 조 표"}</definedName>
    <definedName name="업무계획표01" hidden="1">{#N/A,#N/A,TRUE,"대 차 대 조 표"}</definedName>
    <definedName name="에너지비용산출근거" localSheetId="1">BlankMacro1</definedName>
    <definedName name="에너지비용산출근거">BlankMacro1</definedName>
    <definedName name="에누리.본" localSheetId="1">#REF!</definedName>
    <definedName name="에누리.본">#REF!</definedName>
    <definedName name="여의도NOI">OFFSET([48]DATA_Yoido!$F$44,0,0,1,COUNTA([48]DATA_Yoido!$F$44:$Q$44))</definedName>
    <definedName name="여의도가치">OFFSET([48]DATA_Yoido!$F$98,0,0,1,COUNTA([48]DATA_Yoido!$F$98:$Q$98))</definedName>
    <definedName name="여의도수익률">OFFSET([48]DATA_Yoido!$F$55,0,0,1,COUNTA([48]DATA_Yoido!$F$55:$Q$55))</definedName>
    <definedName name="여의도수입">OFFSET([48]DATA_Yoido!$F$26,0,0,1,COUNTA([48]DATA_Yoido!$F$26:$Q$26))</definedName>
    <definedName name="여의도지출">OFFSET([48]DATA_Yoido!$F$43,0,0,1,COUNTA([48]DATA_Yoido!$F$43:$Q$43))</definedName>
    <definedName name="역삼4월" hidden="1">{#N/A,#N/A,TRUE,"대 차 대 조 표"}</definedName>
    <definedName name="역삼5월" hidden="1">{#N/A,#N/A,TRUE,"대 차 대 조 표"}</definedName>
    <definedName name="역삼5월청구" hidden="1">{#N/A,#N/A,TRUE,"대 차 대 조 표"}</definedName>
    <definedName name="역삼계" hidden="1">{#N/A,#N/A,TRUE,"대 차 대 조 표"}</definedName>
    <definedName name="연봉" localSheetId="1">'[63]인원계획-미화'!#REF!</definedName>
    <definedName name="연봉">'[63]인원계획-미화'!#REF!</definedName>
    <definedName name="연차" localSheetId="1">#REF!</definedName>
    <definedName name="연차">#REF!</definedName>
    <definedName name="연차수당" localSheetId="1">#REF!</definedName>
    <definedName name="연차수당">#REF!</definedName>
    <definedName name="영비" localSheetId="1">[6]대차대조표!#REF!</definedName>
    <definedName name="영비">[6]대차대조표!#REF!</definedName>
    <definedName name="영수" localSheetId="1">[6]대차대조표!#REF!</definedName>
    <definedName name="영수">[6]대차대조표!#REF!</definedName>
    <definedName name="요약" localSheetId="1">#REF!</definedName>
    <definedName name="요약">#REF!</definedName>
    <definedName name="운영비">20690</definedName>
    <definedName name="울산NOI">OFFSET([48]DATA_Ulsan!$F$44,0,0,1,COUNTA([48]DATA_Ulsan!$F$44:$Q$44))</definedName>
    <definedName name="울산가치">OFFSET([48]DATA_Ulsan!$F$98,0,0,1,COUNTA([48]DATA_Ulsan!$F$98:$Q$98))</definedName>
    <definedName name="울산공실">OFFSET([48]DATA_Ulsan!$F$106,0,0,1,COUNT([48]DATA_Ulsan!$F$106:$N$106))</definedName>
    <definedName name="울산수익률">OFFSET([48]DATA_Ulsan!$F$55,0,0,1,COUNTA([48]DATA_Ulsan!$F$55:$Q$55))</definedName>
    <definedName name="울산수입">OFFSET([48]DATA_Ulsan!$F$26,0,0,1,COUNTA([48]DATA_Ulsan!$F$26:$Q$26))</definedName>
    <definedName name="울산지출">OFFSET([48]DATA_Ulsan!$F$43,0,0,1,COUNTA([48]DATA_Ulsan!$F$43:$Q$43))</definedName>
    <definedName name="월">OFFSET([48]DATA_Total!$F$1,0,0,1,COUNTA([48]DATA_Total!$F$1:$Q$1))</definedName>
    <definedName name="유통" localSheetId="1">[9]손익!#REF!</definedName>
    <definedName name="유통">[9]손익!#REF!</definedName>
    <definedName name="유통계획매출" localSheetId="1">#REF!</definedName>
    <definedName name="유통계획매출">#REF!</definedName>
    <definedName name="유통누계매출" localSheetId="1">#REF!</definedName>
    <definedName name="유통누계매출">#REF!</definedName>
    <definedName name="유통재추정매출" localSheetId="1">#REF!</definedName>
    <definedName name="유통재추정매출">#REF!</definedName>
    <definedName name="유통전년매출" localSheetId="1">#REF!</definedName>
    <definedName name="유통전년매출">#REF!</definedName>
    <definedName name="유효" localSheetId="1">[62]식음료!#REF!</definedName>
    <definedName name="유효">[62]식음료!#REF!</definedName>
    <definedName name="의류" localSheetId="1">[9]손익!#REF!</definedName>
    <definedName name="의류">[9]손익!#REF!</definedName>
    <definedName name="이익" localSheetId="1">#REF!</definedName>
    <definedName name="이익">#REF!</definedName>
    <definedName name="이자율" localSheetId="1">#REF!</definedName>
    <definedName name="이자율">#REF!</definedName>
    <definedName name="이자율3" localSheetId="1">#REF!</definedName>
    <definedName name="이자율3">#REF!</definedName>
    <definedName name="이재" localSheetId="1">#REF!</definedName>
    <definedName name="이재">#REF!</definedName>
    <definedName name="인건비" localSheetId="1">#REF!</definedName>
    <definedName name="인건비">#REF!</definedName>
    <definedName name="인상률안분" localSheetId="1">'[64]OPREV(대한)'!#REF!</definedName>
    <definedName name="인상률안분">'[64]OPREV(대한)'!#REF!</definedName>
    <definedName name="인원" localSheetId="1">#REF!</definedName>
    <definedName name="인원">#REF!</definedName>
    <definedName name="인천NOI">OFFSET([48]DATA_Incheon!$F$44,0,0,1,COUNTA([48]DATA_Incheon!$F$44:$Q$44))</definedName>
    <definedName name="인천가치">OFFSET([48]DATA_Incheon!$F$98,0,0,1,COUNTA([48]DATA_Incheon!$F$98:$Q$98))</definedName>
    <definedName name="인천공실">OFFSET([48]DATA_Incheon!$F$106,0,0,1,COUNT([48]DATA_Incheon!$F$106:$N$106))</definedName>
    <definedName name="인천수익률">OFFSET([48]DATA_Incheon!$F$55,0,0,1,COUNTA([48]DATA_Incheon!$F$55:$Q$55))</definedName>
    <definedName name="인천수입">OFFSET([48]DATA_Incheon!$F$26,0,0,1,COUNTA([48]DATA_Incheon!$F$26:$Q$26))</definedName>
    <definedName name="인천지출">OFFSET([48]DATA_Incheon!$F$43,0,0,1,COUNTA([48]DATA_Incheon!$F$43:$Q$43))</definedName>
    <definedName name="인테리어" localSheetId="1">[65]식음료!#REF!</definedName>
    <definedName name="인테리어">[65]식음료!#REF!</definedName>
    <definedName name="인테리어상각년수" localSheetId="1">[65]식음료!#REF!</definedName>
    <definedName name="인테리어상각년수">[65]식음료!#REF!</definedName>
    <definedName name="일위" localSheetId="1">#REF!,#REF!</definedName>
    <definedName name="일위">#REF!,#REF!</definedName>
    <definedName name="임금채권">0.05%</definedName>
    <definedName name="賃貸総面積" localSheetId="1">#REF!</definedName>
    <definedName name="賃貸総面積">#REF!</definedName>
    <definedName name="임대현황" localSheetId="1">[59]노무비!#REF!</definedName>
    <definedName name="임대현황">[59]노무비!#REF!</definedName>
    <definedName name="임용태">#N/A</definedName>
    <definedName name="入力データ">'[66]入力用(家賃)'!$A$1:$BG$50</definedName>
    <definedName name="ㅈㄷ" localSheetId="1">#REF!</definedName>
    <definedName name="ㅈㄷ">#REF!</definedName>
    <definedName name="ㅈㄷㄱ" localSheetId="1">#REF!</definedName>
    <definedName name="ㅈㄷㄱ">#REF!</definedName>
    <definedName name="ㅈㄷㅈㄷ" hidden="1">{"'통신지'!$A$1:$J$41"}</definedName>
    <definedName name="자료" localSheetId="1">#REF!</definedName>
    <definedName name="자료">#REF!</definedName>
    <definedName name="자본" localSheetId="1">#REF!</definedName>
    <definedName name="자본">#REF!</definedName>
    <definedName name="자산_가치_상승률" localSheetId="1">'[10]Initial Input Variable'!#REF!</definedName>
    <definedName name="자산_가치_상승률">'[10]Initial Input Variable'!#REF!</definedName>
    <definedName name="작업" localSheetId="1">#REF!</definedName>
    <definedName name="작업">#REF!</definedName>
    <definedName name="작업복">35000</definedName>
    <definedName name="재성" localSheetId="1">#REF!</definedName>
    <definedName name="재성">#REF!</definedName>
    <definedName name="적수" localSheetId="1">#REF!</definedName>
    <definedName name="적수">#REF!</definedName>
    <definedName name="전기1골구" localSheetId="1">[16]내역!#REF!</definedName>
    <definedName name="전기1골구">[16]내역!#REF!</definedName>
    <definedName name="전기2공구" localSheetId="1">[16]내역!#REF!</definedName>
    <definedName name="전기2공구">[16]내역!#REF!</definedName>
    <definedName name="전기3공구" localSheetId="1">[16]내역!#REF!</definedName>
    <definedName name="전기3공구">[16]내역!#REF!</definedName>
    <definedName name="전년총자산" localSheetId="1">#REF!</definedName>
    <definedName name="전년총자산">#REF!</definedName>
    <definedName name="전주NOI">OFFSET([48]DATA_Jeonju!$F$44,0,0,1,COUNTA([48]DATA_Jeonju!$F$44:$Q$44))</definedName>
    <definedName name="전주가치">OFFSET([48]DATA_Jeonju!$F$98,0,0,1,COUNTA([48]DATA_Jeonju!$F$98:$Q$98))</definedName>
    <definedName name="전주공실">OFFSET([48]DATA_Jeonju!$F$106,0,0,1,COUNT([48]DATA_Jeonju!$F$106:$N$106))</definedName>
    <definedName name="전주수익률">OFFSET([48]DATA_Jeonju!$F$55,0,0,1,COUNTA([48]DATA_Jeonju!$F$55:$Q$55))</definedName>
    <definedName name="전주수입">OFFSET([48]DATA_Jeonju!$F$26,0,0,1,COUNTA([48]DATA_Jeonju!$F$26:$Q$26))</definedName>
    <definedName name="전주지출">OFFSET([48]DATA_Jeonju!$F$43,0,0,1,COUNTA([48]DATA_Jeonju!$F$43:$Q$43))</definedName>
    <definedName name="전체NOI">OFFSET([48]DATA_Total!$F$44,0,0,1,COUNTA([48]DATA_Total!$F$44:$Q$44))</definedName>
    <definedName name="전체공실">OFFSET([48]DATA_Total!$F$117,0,0,1,COUNTA([48]DATA_Total!$F$117:$Q$117))</definedName>
    <definedName name="전체수익률">OFFSET([48]DATA_Total!$F$54,0,0,1,COUNTA([48]DATA_Total!$F$54:$Q$54))</definedName>
    <definedName name="전체수입">OFFSET([48]DATA_Total!$F$26,0,0,1,COUNTA([48]DATA_Total!$F$26:$Q$26))</definedName>
    <definedName name="전체지출">OFFSET([48]DATA_Total!$F$43,0,0,1,COUNTA([48]DATA_Total!$F$43:$Q$43))</definedName>
    <definedName name="정리" hidden="1">{#N/A,#N/A,TRUE,"대 차 대 조 표"}</definedName>
    <definedName name="제안금액_2안" localSheetId="1">[3]내역서!#REF!</definedName>
    <definedName name="제안금액_2안">[3]내역서!#REF!</definedName>
    <definedName name="제품원가.본" localSheetId="1">#REF!</definedName>
    <definedName name="제품원가.본">#REF!</definedName>
    <definedName name="종합분석" localSheetId="1">[6]대차대조표!#REF!</definedName>
    <definedName name="종합분석">[6]대차대조표!#REF!</definedName>
    <definedName name="종합합산" localSheetId="1">#REF!</definedName>
    <definedName name="종합합산">#REF!</definedName>
    <definedName name="종합합산세" localSheetId="1">#REF!</definedName>
    <definedName name="종합합산세">#REF!</definedName>
    <definedName name="종합합산세율" localSheetId="1">#REF!</definedName>
    <definedName name="종합합산세율">#REF!</definedName>
    <definedName name="주방시설" localSheetId="1">[65]식음료!#REF!</definedName>
    <definedName name="주방시설">[65]식음료!#REF!</definedName>
    <definedName name="주방시설상각년수" localSheetId="1">[65]식음료!#REF!</definedName>
    <definedName name="주방시설상각년수">[65]식음료!#REF!</definedName>
    <definedName name="駐車場">'[66]入力用(駐車)'!$A$1:$T$30</definedName>
    <definedName name="中科目" localSheetId="1">#REF!</definedName>
    <definedName name="中科目">#REF!</definedName>
    <definedName name="中科目名" localSheetId="1">#REF!</definedName>
    <definedName name="中科目名">#REF!</definedName>
    <definedName name="중앙" localSheetId="1">'[67]인원계획-미화'!#REF!</definedName>
    <definedName name="중앙">'[67]인원계획-미화'!#REF!</definedName>
    <definedName name="지급이자율">[68]주요기준!$4:$4</definedName>
    <definedName name="지원동" hidden="1">{#N/A,#N/A,TRUE,"대 차 대 조 표"}</definedName>
    <definedName name="지정" localSheetId="1">#REF!</definedName>
    <definedName name="지정">#REF!</definedName>
    <definedName name="차원">'[69]1Month+Sheet2!'!$C$15</definedName>
    <definedName name="첨부자료" localSheetId="1">#REF!</definedName>
    <definedName name="첨부자료">#REF!</definedName>
    <definedName name="체육관" hidden="1">{#N/A,#N/A,TRUE,"대 차 대 조 표"}</definedName>
    <definedName name="総共益費" localSheetId="1">#REF!</definedName>
    <definedName name="総共益費">#REF!</definedName>
    <definedName name="총괄" localSheetId="1">#REF!</definedName>
    <definedName name="총괄">#REF!</definedName>
    <definedName name="総賃料" localSheetId="1">#REF!</definedName>
    <definedName name="総賃料">#REF!</definedName>
    <definedName name="취득일" localSheetId="1">#REF!</definedName>
    <definedName name="취득일">#REF!</definedName>
    <definedName name="층별" localSheetId="1">#REF!</definedName>
    <definedName name="층별">#REF!</definedName>
    <definedName name="층별임대" localSheetId="1">#REF!</definedName>
    <definedName name="층별임대">#REF!</definedName>
    <definedName name="층별효용" localSheetId="1">#REF!</definedName>
    <definedName name="층별효용">#REF!</definedName>
    <definedName name="ㅋㅋㅋㅋ" hidden="1">{#N/A,#N/A,TRUE,"대 차 대 조 표"}</definedName>
    <definedName name="코크랩총괄예산" hidden="1">{#N/A,#N/A,FALSE,"이력서&amp;자기소개서"}</definedName>
    <definedName name="템플리트모듈1" localSheetId="1">BlankMacro1</definedName>
    <definedName name="템플리트모듈1">BlankMacro1</definedName>
    <definedName name="템플리트모듈2" localSheetId="1">BlankMacro1</definedName>
    <definedName name="템플리트모듈2">BlankMacro1</definedName>
    <definedName name="템플리트모듈3" localSheetId="1">BlankMacro1</definedName>
    <definedName name="템플리트모듈3">BlankMacro1</definedName>
    <definedName name="템플리트모듈4" localSheetId="1">BlankMacro1</definedName>
    <definedName name="템플리트모듈4">BlankMacro1</definedName>
    <definedName name="템플리트모듈5" localSheetId="1">BlankMacro1</definedName>
    <definedName name="템플리트모듈5">BlankMacro1</definedName>
    <definedName name="템플리트모듈6" localSheetId="1">BlankMacro1</definedName>
    <definedName name="템플리트모듈6">BlankMacro1</definedName>
    <definedName name="토목1" localSheetId="1">#REF!</definedName>
    <definedName name="토목1">#REF!</definedName>
    <definedName name="통신1공구" localSheetId="1">[16]내역!#REF!</definedName>
    <definedName name="통신1공구">[16]내역!#REF!</definedName>
    <definedName name="통신2공구" localSheetId="1">[16]내역!#REF!</definedName>
    <definedName name="통신2공구">[16]내역!#REF!</definedName>
    <definedName name="통합본관" localSheetId="1" hidden="1">#REF!</definedName>
    <definedName name="통합본관" hidden="1">#REF!</definedName>
    <definedName name="특별손실" localSheetId="1">[6]대차대조표!#REF!</definedName>
    <definedName name="특별손실">[6]대차대조표!#REF!</definedName>
    <definedName name="특별이익" localSheetId="1">[6]대차대조표!#REF!</definedName>
    <definedName name="특별이익">[6]대차대조표!#REF!</definedName>
    <definedName name="평">[34]Intro2!$J$17</definedName>
    <definedName name="平均坪単価" localSheetId="1">#REF!</definedName>
    <definedName name="平均坪単価">#REF!</definedName>
    <definedName name="포스코" hidden="1">{#N/A,#N/A,TRUE,"대 차 대 조 표"}</definedName>
    <definedName name="품질" localSheetId="1">[9]손익!#REF!</definedName>
    <definedName name="품질">[9]손익!#REF!</definedName>
    <definedName name="ㅎ" localSheetId="1">#REF!</definedName>
    <definedName name="ㅎ">#REF!</definedName>
    <definedName name="하" localSheetId="1">#REF!</definedName>
    <definedName name="하">#REF!</definedName>
    <definedName name="하나" localSheetId="1">#REF!</definedName>
    <definedName name="하나">#REF!</definedName>
    <definedName name="하하">#N/A</definedName>
    <definedName name="하하1" localSheetId="1">[70]노무비!#REF!</definedName>
    <definedName name="하하1">[70]노무비!#REF!</definedName>
    <definedName name="하하2" localSheetId="1">[71]노무비!#REF!</definedName>
    <definedName name="하하2">[71]노무비!#REF!</definedName>
    <definedName name="하하3" localSheetId="1">[70]노무비!#REF!</definedName>
    <definedName name="하하3">[70]노무비!#REF!</definedName>
    <definedName name="하하4">[72]재무가정!$H$13</definedName>
    <definedName name="한" localSheetId="1">#REF!</definedName>
    <definedName name="한">#REF!</definedName>
    <definedName name="한사람" localSheetId="1">#REF!</definedName>
    <definedName name="한사람">#REF!</definedName>
    <definedName name="할인" localSheetId="1">#REF!</definedName>
    <definedName name="할인">#REF!</definedName>
    <definedName name="항목별경비" localSheetId="1">#REF!</definedName>
    <definedName name="항목별경비">#REF!</definedName>
    <definedName name="형모" localSheetId="1">#REF!</definedName>
    <definedName name="형모">#REF!</definedName>
    <definedName name="형모1" localSheetId="1">#REF!</definedName>
    <definedName name="형모1">#REF!</definedName>
    <definedName name="환산률" localSheetId="1">#REF!</definedName>
    <definedName name="환산률">#REF!</definedName>
    <definedName name="ㅏㅏ" hidden="1">{#N/A,#N/A,FALSE,"이력서&amp;자기소개서"}</definedName>
    <definedName name="ㅜ" localSheetId="1">[8]일반관리비!#REF!</definedName>
    <definedName name="ㅜ">[8]일반관리비!#REF!</definedName>
    <definedName name="ㅣ814" localSheetId="1">#REF!</definedName>
    <definedName name="ㅣ814">#REF!</definedName>
    <definedName name="ㅣ833" localSheetId="1">#REF!</definedName>
    <definedName name="ㅣ833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9" l="1"/>
  <c r="G2" i="9" l="1"/>
  <c r="H1" i="9"/>
  <c r="I1" i="9" s="1"/>
  <c r="I2" i="9" l="1"/>
  <c r="J1" i="9"/>
  <c r="H2" i="9"/>
  <c r="J2" i="9" l="1"/>
  <c r="K1" i="9"/>
  <c r="K2" i="9" s="1"/>
  <c r="G16" i="9" l="1"/>
  <c r="G17" i="9"/>
  <c r="G33" i="9" l="1"/>
  <c r="F30" i="9"/>
  <c r="F32" i="9" s="1"/>
  <c r="L18" i="9"/>
  <c r="L16" i="9"/>
  <c r="L15" i="9"/>
  <c r="L14" i="9"/>
  <c r="G12" i="9"/>
  <c r="G24" i="9" s="1"/>
  <c r="L10" i="9"/>
  <c r="L9" i="9"/>
  <c r="L7" i="9"/>
  <c r="L6" i="9"/>
  <c r="G5" i="9"/>
  <c r="G21" i="9" s="1"/>
  <c r="E35" i="9" l="1"/>
  <c r="G29" i="9"/>
  <c r="L24" i="9"/>
  <c r="G11" i="9"/>
  <c r="G19" i="9" s="1"/>
  <c r="G22" i="9" s="1"/>
  <c r="G23" i="9" s="1"/>
  <c r="L12" i="9"/>
  <c r="L17" i="9"/>
  <c r="F31" i="9"/>
  <c r="L5" i="9"/>
  <c r="G30" i="9"/>
  <c r="G25" i="9"/>
  <c r="G31" i="9" l="1"/>
  <c r="G32" i="9" s="1"/>
  <c r="L21" i="9"/>
  <c r="L29" i="9"/>
  <c r="G20" i="9"/>
  <c r="L19" i="9"/>
  <c r="E36" i="9" s="1"/>
  <c r="L11" i="9"/>
  <c r="L25" i="9"/>
  <c r="G26" i="9"/>
  <c r="E39" i="9" l="1"/>
  <c r="L22" i="9"/>
  <c r="E37" i="9" s="1"/>
  <c r="L20" i="9"/>
  <c r="L30" i="9"/>
  <c r="G27" i="9"/>
  <c r="L32" i="9"/>
  <c r="L31" i="9"/>
  <c r="L23" i="9" l="1"/>
  <c r="L26" i="9"/>
  <c r="L27" i="9" s="1"/>
  <c r="E38" i="9" l="1"/>
</calcChain>
</file>

<file path=xl/sharedStrings.xml><?xml version="1.0" encoding="utf-8"?>
<sst xmlns="http://schemas.openxmlformats.org/spreadsheetml/2006/main" count="107" uniqueCount="100">
  <si>
    <r>
      <t>0</t>
    </r>
    <r>
      <rPr>
        <b/>
        <sz val="11"/>
        <color theme="1"/>
        <rFont val="맑은 고딕"/>
        <family val="3"/>
        <charset val="129"/>
      </rPr>
      <t>년</t>
    </r>
    <phoneticPr fontId="4" type="noConversion"/>
  </si>
  <si>
    <r>
      <t>1</t>
    </r>
    <r>
      <rPr>
        <b/>
        <sz val="11"/>
        <color theme="1"/>
        <rFont val="맑은 고딕"/>
        <family val="3"/>
        <charset val="129"/>
      </rPr>
      <t>년</t>
    </r>
    <phoneticPr fontId="4" type="noConversion"/>
  </si>
  <si>
    <r>
      <rPr>
        <b/>
        <sz val="11"/>
        <color theme="1"/>
        <rFont val="맑은 고딕"/>
        <family val="3"/>
        <charset val="129"/>
      </rPr>
      <t>매출액</t>
    </r>
    <phoneticPr fontId="4" type="noConversion"/>
  </si>
  <si>
    <r>
      <rPr>
        <b/>
        <sz val="11"/>
        <color theme="1"/>
        <rFont val="맑은 고딕"/>
        <family val="3"/>
        <charset val="129"/>
      </rPr>
      <t>매출원가</t>
    </r>
    <phoneticPr fontId="4" type="noConversion"/>
  </si>
  <si>
    <r>
      <rPr>
        <b/>
        <sz val="11"/>
        <color theme="1"/>
        <rFont val="맑은 고딕"/>
        <family val="3"/>
        <charset val="129"/>
      </rPr>
      <t>영업이익</t>
    </r>
    <phoneticPr fontId="4" type="noConversion"/>
  </si>
  <si>
    <t>Cash-In</t>
    <phoneticPr fontId="4" type="noConversion"/>
  </si>
  <si>
    <t>Cash-Out</t>
    <phoneticPr fontId="4" type="noConversion"/>
  </si>
  <si>
    <t>Net-Cash</t>
    <phoneticPr fontId="4" type="noConversion"/>
  </si>
  <si>
    <r>
      <t>NPV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3"/>
        <charset val="129"/>
      </rPr>
      <t>순현재가치</t>
    </r>
    <r>
      <rPr>
        <sz val="10"/>
        <color theme="1"/>
        <rFont val="Arial Narrow"/>
        <family val="2"/>
      </rPr>
      <t>)</t>
    </r>
    <phoneticPr fontId="4" type="noConversion"/>
  </si>
  <si>
    <r>
      <rPr>
        <b/>
        <sz val="11"/>
        <color theme="1"/>
        <rFont val="맑은 고딕"/>
        <family val="3"/>
        <charset val="129"/>
      </rPr>
      <t>영업이익률</t>
    </r>
    <phoneticPr fontId="4" type="noConversion"/>
  </si>
  <si>
    <t>IRR</t>
    <phoneticPr fontId="4" type="noConversion"/>
  </si>
  <si>
    <t>1. 매출</t>
    <phoneticPr fontId="4" type="noConversion"/>
  </si>
  <si>
    <t>2. 매출원가</t>
    <phoneticPr fontId="4" type="noConversion"/>
  </si>
  <si>
    <t>- 투자를 통해 발생되는 수익 항목별 작성</t>
    <phoneticPr fontId="4" type="noConversion"/>
  </si>
  <si>
    <t>총액</t>
    <phoneticPr fontId="4" type="noConversion"/>
  </si>
  <si>
    <t>순액</t>
    <phoneticPr fontId="4" type="noConversion"/>
  </si>
  <si>
    <t>고객에게 청구한 판매가액 총액을 수익으로 인식</t>
    <phoneticPr fontId="4" type="noConversion"/>
  </si>
  <si>
    <t>기준</t>
    <phoneticPr fontId="4" type="noConversion"/>
  </si>
  <si>
    <t>재화나 용역에 대한 위탁 및 중개 용역을 제공한 것이라면 고객에게 청구한 금액에서
공급자에게 지급할 금액을 차감한 잔액(순액)을 수익으로 인식</t>
    <phoneticPr fontId="4" type="noConversion"/>
  </si>
  <si>
    <t>당사 사례</t>
    <phoneticPr fontId="4" type="noConversion"/>
  </si>
  <si>
    <t>- 총액/순액 수익 인식 기준 판단 필요</t>
    <phoneticPr fontId="4" type="noConversion"/>
  </si>
  <si>
    <t>[판단 지표]</t>
    <phoneticPr fontId="4" type="noConversion"/>
  </si>
  <si>
    <t>① 주요지표 : 책임의 부담, 재고에 대한 위험부담</t>
    <phoneticPr fontId="4" type="noConversion"/>
  </si>
  <si>
    <t>② 보조지표 : 가격결정의 권한, 재고의 물리적 손상위험 부담, 신용위험 부담</t>
    <phoneticPr fontId="4" type="noConversion"/>
  </si>
  <si>
    <t>- 청소로봇, 안내로봇, 로봇카페 등</t>
    <phoneticPr fontId="4" type="noConversion"/>
  </si>
  <si>
    <t>- 운영센터 수광비 정산, 스낵서비스 등</t>
    <phoneticPr fontId="4" type="noConversion"/>
  </si>
  <si>
    <t>- 특정 비용이 매년 증가가 예상되는 경우 인상률 적용(인건비성 원가 등)</t>
    <phoneticPr fontId="4" type="noConversion"/>
  </si>
  <si>
    <t>※ 수익 인식 기준 상세 내용은 전사공지內 "신규 서비스의 회계 수익인식기준 검토자료 공유" 참조 및 회계팀 문의</t>
    <phoneticPr fontId="4" type="noConversion"/>
  </si>
  <si>
    <t>※ 감가상각비는 제외</t>
    <phoneticPr fontId="4" type="noConversion"/>
  </si>
  <si>
    <t>- 유입된 현금에서 유출된 현금 차감</t>
    <phoneticPr fontId="4" type="noConversion"/>
  </si>
  <si>
    <r>
      <t>9. NPV</t>
    </r>
    <r>
      <rPr>
        <sz val="11"/>
        <color theme="1"/>
        <rFont val="맑은 고딕"/>
        <family val="3"/>
        <charset val="129"/>
        <scheme val="minor"/>
      </rPr>
      <t>(Net Present Value, 순현재가치)</t>
    </r>
    <phoneticPr fontId="4" type="noConversion"/>
  </si>
  <si>
    <r>
      <t>8. Net-Cash</t>
    </r>
    <r>
      <rPr>
        <sz val="11"/>
        <color theme="1"/>
        <rFont val="맑은 고딕"/>
        <family val="3"/>
        <charset val="129"/>
        <scheme val="minor"/>
      </rPr>
      <t>(순현금)</t>
    </r>
    <phoneticPr fontId="4" type="noConversion"/>
  </si>
  <si>
    <r>
      <t>7. Cash-Out</t>
    </r>
    <r>
      <rPr>
        <sz val="11"/>
        <color theme="1"/>
        <rFont val="맑은 고딕"/>
        <family val="3"/>
        <charset val="129"/>
        <scheme val="minor"/>
      </rPr>
      <t>(현금 유출)</t>
    </r>
    <phoneticPr fontId="4" type="noConversion"/>
  </si>
  <si>
    <r>
      <t>6. Cash-In</t>
    </r>
    <r>
      <rPr>
        <sz val="11"/>
        <color theme="1"/>
        <rFont val="맑은 고딕"/>
        <family val="3"/>
        <charset val="129"/>
        <scheme val="minor"/>
      </rPr>
      <t>(현금 유입)</t>
    </r>
    <phoneticPr fontId="4" type="noConversion"/>
  </si>
  <si>
    <t>- NPV가 0보다 크면 경제성이 있는 것으로 볼 수 있음</t>
    <phoneticPr fontId="4" type="noConversion"/>
  </si>
  <si>
    <t xml:space="preserve">  ※ 현재가치로 환산 시 적용 할인율 = 9% (당사 WACC 기준)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</si>
  <si>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10. IRR</t>
    </r>
    <r>
      <rPr>
        <sz val="11"/>
        <color theme="1"/>
        <rFont val="맑은 고딕"/>
        <family val="3"/>
        <charset val="129"/>
        <scheme val="minor"/>
      </rPr>
      <t>(Internal Rate of Return, 내부수익률)</t>
    </r>
    <phoneticPr fontId="4" type="noConversion"/>
  </si>
  <si>
    <t>- IRR이 당사 기준 할인율(9%)보다 크면 경제성이 있는 것으로 볼 수 있음</t>
    <phoneticPr fontId="4" type="noConversion"/>
  </si>
  <si>
    <t xml:space="preserve">  ※ '23년 계획 기준 : 건물관리 7.8%, 구내통신 10.3% 등</t>
    <phoneticPr fontId="4" type="noConversion"/>
  </si>
  <si>
    <t>- 매출액 등 현금 유입 금액 합계</t>
    <phoneticPr fontId="4" type="noConversion"/>
  </si>
  <si>
    <t>- 매출원가, 판매관리비 등 현금 유출 금액 합계</t>
    <phoneticPr fontId="4" type="noConversion"/>
  </si>
  <si>
    <r>
      <rPr>
        <sz val="11"/>
        <rFont val="맑은 고딕"/>
        <family val="3"/>
        <charset val="129"/>
      </rPr>
      <t>렌탈</t>
    </r>
    <r>
      <rPr>
        <sz val="11"/>
        <rFont val="Arial Narrow"/>
        <family val="2"/>
      </rPr>
      <t xml:space="preserve"> </t>
    </r>
    <r>
      <rPr>
        <sz val="11"/>
        <rFont val="맑은 고딕"/>
        <family val="3"/>
        <charset val="129"/>
      </rPr>
      <t>판매</t>
    </r>
    <phoneticPr fontId="4" type="noConversion"/>
  </si>
  <si>
    <r>
      <rPr>
        <b/>
        <sz val="11"/>
        <color theme="1"/>
        <rFont val="맑은 고딕"/>
        <family val="3"/>
        <charset val="129"/>
      </rPr>
      <t>현금
흐름
분석</t>
    </r>
    <phoneticPr fontId="4" type="noConversion"/>
  </si>
  <si>
    <r>
      <rPr>
        <b/>
        <sz val="11"/>
        <color theme="1"/>
        <rFont val="맑은 고딕"/>
        <family val="3"/>
        <charset val="129"/>
      </rPr>
      <t>매출</t>
    </r>
    <r>
      <rPr>
        <b/>
        <sz val="11"/>
        <color theme="1"/>
        <rFont val="Arial Narrow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성장률</t>
    </r>
    <r>
      <rPr>
        <sz val="11"/>
        <color theme="1"/>
        <rFont val="Arial Narrow"/>
        <family val="2"/>
      </rPr>
      <t>(CAGR)</t>
    </r>
    <phoneticPr fontId="4" type="noConversion"/>
  </si>
  <si>
    <r>
      <rPr>
        <b/>
        <sz val="11"/>
        <color theme="1"/>
        <rFont val="맑은 고딕"/>
        <family val="3"/>
        <charset val="129"/>
      </rPr>
      <t>투자기간</t>
    </r>
    <r>
      <rPr>
        <sz val="11"/>
        <color theme="1"/>
        <rFont val="Arial Narrow"/>
        <family val="2"/>
      </rPr>
      <t>(</t>
    </r>
    <r>
      <rPr>
        <sz val="11"/>
        <color theme="1"/>
        <rFont val="맑은 고딕"/>
        <family val="3"/>
        <charset val="129"/>
      </rPr>
      <t>년</t>
    </r>
    <r>
      <rPr>
        <sz val="11"/>
        <color theme="1"/>
        <rFont val="Arial Narrow"/>
        <family val="2"/>
      </rPr>
      <t>)</t>
    </r>
    <phoneticPr fontId="4" type="noConversion"/>
  </si>
  <si>
    <t>유지보수</t>
    <phoneticPr fontId="4" type="noConversion"/>
  </si>
  <si>
    <t>- 진행 예정인 투자의 연도별 순현금흐름을 순현재가치(NPV)로 환산하였을 때 이를 '0'으로 만들어주는 할인율</t>
    <phoneticPr fontId="4" type="noConversion"/>
  </si>
  <si>
    <t>- 수익에 연계되어 발생하는 비용/원가 항목별 작성</t>
    <phoneticPr fontId="4" type="noConversion"/>
  </si>
  <si>
    <t>- 감가상각비 산출 시 투자 자산의 상각기간은 계약기간 또는 서비스기간 등으로 반영</t>
    <phoneticPr fontId="4" type="noConversion"/>
  </si>
  <si>
    <t>제품/서비스 판매</t>
    <phoneticPr fontId="4" type="noConversion"/>
  </si>
  <si>
    <t>사용/이용료</t>
    <phoneticPr fontId="4" type="noConversion"/>
  </si>
  <si>
    <t>…</t>
    <phoneticPr fontId="4" type="noConversion"/>
  </si>
  <si>
    <t>□ 투자 경제성 분석 작성 가이드</t>
    <phoneticPr fontId="4" type="noConversion"/>
  </si>
  <si>
    <t>- 최초 투자 시기부터 투자 완료시점까지 연도별 유출-유입 순현금을 각각 현재가치로 할인하여 합산</t>
    <phoneticPr fontId="4" type="noConversion"/>
  </si>
  <si>
    <t>비고</t>
    <phoneticPr fontId="4" type="noConversion"/>
  </si>
  <si>
    <t>감가상각비</t>
    <phoneticPr fontId="4" type="noConversion"/>
  </si>
  <si>
    <t>유형</t>
    <phoneticPr fontId="4" type="noConversion"/>
  </si>
  <si>
    <t>무형자산상각비</t>
    <phoneticPr fontId="4" type="noConversion"/>
  </si>
  <si>
    <r>
      <t xml:space="preserve">(단위 : </t>
    </r>
    <r>
      <rPr>
        <sz val="11"/>
        <color theme="1"/>
        <rFont val="맑은 고딕"/>
        <family val="3"/>
        <charset val="129"/>
      </rPr>
      <t>천원</t>
    </r>
    <r>
      <rPr>
        <sz val="11"/>
        <color theme="1"/>
        <rFont val="Arial Narrow"/>
        <family val="2"/>
      </rPr>
      <t>)</t>
    </r>
    <phoneticPr fontId="4" type="noConversion"/>
  </si>
  <si>
    <t>구분</t>
    <phoneticPr fontId="4" type="noConversion"/>
  </si>
  <si>
    <t>회계 계정</t>
    <phoneticPr fontId="4" type="noConversion"/>
  </si>
  <si>
    <t>매출/원가 항목</t>
    <phoneticPr fontId="4" type="noConversion"/>
  </si>
  <si>
    <r>
      <rPr>
        <b/>
        <sz val="11"/>
        <color theme="1"/>
        <rFont val="맑은 고딕"/>
        <family val="3"/>
        <charset val="129"/>
      </rPr>
      <t>합계</t>
    </r>
    <phoneticPr fontId="4" type="noConversion"/>
  </si>
  <si>
    <r>
      <rPr>
        <b/>
        <sz val="11"/>
        <color theme="1"/>
        <rFont val="맑은 고딕"/>
        <family val="3"/>
        <charset val="129"/>
      </rPr>
      <t>손익
분석</t>
    </r>
    <phoneticPr fontId="4" type="noConversion"/>
  </si>
  <si>
    <r>
      <rPr>
        <sz val="11"/>
        <rFont val="맑은 고딕"/>
        <family val="2"/>
        <charset val="129"/>
      </rPr>
      <t>용역매출</t>
    </r>
    <r>
      <rPr>
        <sz val="11"/>
        <rFont val="Arial Narrow"/>
        <family val="2"/>
      </rPr>
      <t>-</t>
    </r>
    <r>
      <rPr>
        <sz val="11"/>
        <rFont val="맑은 고딕"/>
        <family val="2"/>
        <charset val="129"/>
      </rPr>
      <t>관리용역료</t>
    </r>
    <phoneticPr fontId="4" type="noConversion"/>
  </si>
  <si>
    <t>지급수수료-고객청구소모품</t>
  </si>
  <si>
    <r>
      <rPr>
        <sz val="11"/>
        <color theme="1"/>
        <rFont val="맑은 고딕"/>
        <family val="2"/>
        <charset val="129"/>
      </rPr>
      <t>외주인건비</t>
    </r>
    <r>
      <rPr>
        <sz val="11"/>
        <color theme="1"/>
        <rFont val="Arial Narrow"/>
        <family val="2"/>
      </rPr>
      <t>-</t>
    </r>
    <r>
      <rPr>
        <sz val="11"/>
        <color theme="1"/>
        <rFont val="맑은 고딕"/>
        <family val="2"/>
        <charset val="129"/>
      </rPr>
      <t>시설</t>
    </r>
    <phoneticPr fontId="4" type="noConversion"/>
  </si>
  <si>
    <t>기타</t>
    <phoneticPr fontId="4" type="noConversion"/>
  </si>
  <si>
    <t>차입이자</t>
    <phoneticPr fontId="4" type="noConversion"/>
  </si>
  <si>
    <r>
      <rPr>
        <b/>
        <sz val="11"/>
        <color theme="1"/>
        <rFont val="맑은 고딕"/>
        <family val="3"/>
        <charset val="129"/>
      </rPr>
      <t>매출총이익</t>
    </r>
    <phoneticPr fontId="4" type="noConversion"/>
  </si>
  <si>
    <t xml:space="preserve">  (%)</t>
    <phoneticPr fontId="4" type="noConversion"/>
  </si>
  <si>
    <r>
      <t>간접비(</t>
    </r>
    <r>
      <rPr>
        <sz val="11"/>
        <color theme="1"/>
        <rFont val="맑은 고딕"/>
        <family val="2"/>
        <charset val="129"/>
      </rPr>
      <t>용</t>
    </r>
    <r>
      <rPr>
        <sz val="11"/>
        <color theme="1"/>
        <rFont val="Arial Narrow"/>
        <family val="2"/>
      </rPr>
      <t>+</t>
    </r>
    <r>
      <rPr>
        <sz val="11"/>
        <color theme="1"/>
        <rFont val="맑은 고딕"/>
        <family val="2"/>
        <charset val="129"/>
      </rPr>
      <t>판</t>
    </r>
    <r>
      <rPr>
        <sz val="11"/>
        <color theme="1"/>
        <rFont val="Arial Narrow"/>
        <family val="2"/>
      </rPr>
      <t>)</t>
    </r>
    <phoneticPr fontId="4" type="noConversion"/>
  </si>
  <si>
    <t>EBITDA</t>
    <phoneticPr fontId="4" type="noConversion"/>
  </si>
  <si>
    <r>
      <rPr>
        <sz val="11"/>
        <color theme="1"/>
        <rFont val="맑은 고딕"/>
        <family val="3"/>
        <charset val="129"/>
      </rPr>
      <t>할인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맑은 고딕"/>
        <family val="3"/>
        <charset val="129"/>
      </rPr>
      <t>계수</t>
    </r>
    <phoneticPr fontId="4" type="noConversion"/>
  </si>
  <si>
    <r>
      <rPr>
        <b/>
        <sz val="11"/>
        <color theme="1"/>
        <rFont val="맑은 고딕"/>
        <family val="3"/>
        <charset val="129"/>
      </rPr>
      <t>투자비</t>
    </r>
    <r>
      <rPr>
        <sz val="11"/>
        <color theme="1"/>
        <rFont val="Arial Narrow"/>
        <family val="2"/>
      </rPr>
      <t>(</t>
    </r>
    <r>
      <rPr>
        <sz val="11"/>
        <color theme="1"/>
        <rFont val="맑은 고딕"/>
        <family val="3"/>
        <charset val="129"/>
      </rPr>
      <t>천원</t>
    </r>
    <r>
      <rPr>
        <sz val="11"/>
        <color theme="1"/>
        <rFont val="Arial Narrow"/>
        <family val="2"/>
      </rPr>
      <t>)</t>
    </r>
    <phoneticPr fontId="4" type="noConversion"/>
  </si>
  <si>
    <r>
      <rPr>
        <b/>
        <sz val="11"/>
        <color theme="1"/>
        <rFont val="맑은 고딕"/>
        <family val="3"/>
        <charset val="129"/>
      </rPr>
      <t>매출총이익률</t>
    </r>
    <phoneticPr fontId="4" type="noConversion"/>
  </si>
  <si>
    <r>
      <rPr>
        <b/>
        <sz val="11"/>
        <color theme="1"/>
        <rFont val="맑은 고딕"/>
        <family val="2"/>
        <charset val="129"/>
      </rPr>
      <t>할인율</t>
    </r>
    <phoneticPr fontId="4" type="noConversion"/>
  </si>
  <si>
    <r>
      <t>EBITDA</t>
    </r>
    <r>
      <rPr>
        <b/>
        <sz val="11"/>
        <color theme="1"/>
        <rFont val="맑은 고딕"/>
        <family val="3"/>
        <charset val="129"/>
      </rPr>
      <t>율</t>
    </r>
    <phoneticPr fontId="4" type="noConversion"/>
  </si>
  <si>
    <t>차입이자율</t>
    <phoneticPr fontId="4" type="noConversion"/>
  </si>
  <si>
    <t>3. 간접비</t>
    <phoneticPr fontId="4" type="noConversion"/>
  </si>
  <si>
    <t>- 사업유형별 당해년도 간접비율(용+판) 적용</t>
    <phoneticPr fontId="4" type="noConversion"/>
  </si>
  <si>
    <t>4. 차입이자</t>
    <phoneticPr fontId="4" type="noConversion"/>
  </si>
  <si>
    <t xml:space="preserve">- 투자비 차입을 가정하여 차입이자율 반영    </t>
    <phoneticPr fontId="4" type="noConversion"/>
  </si>
  <si>
    <t xml:space="preserve">   ※ 민간 채권평가社 평균 금리 기준 적용(금융투자협회 제공)</t>
    <phoneticPr fontId="4" type="noConversion"/>
  </si>
  <si>
    <t xml:space="preserve">   ☞ https://www.kofiabond.or.kr/index.html → 시가평가 → 채권시가평가기준수익율 조회</t>
    <phoneticPr fontId="4" type="noConversion"/>
  </si>
  <si>
    <t>5. EBITDA</t>
    <phoneticPr fontId="4" type="noConversion"/>
  </si>
  <si>
    <t>- 이자비용(Interest), 법인세(Tax), 감가상각비(Depreciation), 무형자산상각비(Amortization)를 제외한 순이익</t>
    <phoneticPr fontId="4" type="noConversion"/>
  </si>
  <si>
    <r>
      <rPr>
        <b/>
        <sz val="13"/>
        <color theme="1"/>
        <rFont val="Segoe UI Symbol"/>
        <family val="3"/>
      </rPr>
      <t>□</t>
    </r>
    <r>
      <rPr>
        <b/>
        <sz val="13"/>
        <color theme="1"/>
        <rFont val="Arial Narrow"/>
        <family val="2"/>
      </rPr>
      <t xml:space="preserve"> </t>
    </r>
    <r>
      <rPr>
        <b/>
        <sz val="13"/>
        <color theme="1"/>
        <rFont val="맑은 고딕"/>
        <family val="2"/>
        <charset val="129"/>
      </rPr>
      <t>매출수반성</t>
    </r>
    <r>
      <rPr>
        <b/>
        <sz val="13"/>
        <color theme="1"/>
        <rFont val="Arial Narrow"/>
        <family val="2"/>
      </rPr>
      <t xml:space="preserve"> </t>
    </r>
    <r>
      <rPr>
        <b/>
        <sz val="13"/>
        <color theme="1"/>
        <rFont val="맑은 고딕"/>
        <family val="3"/>
        <charset val="129"/>
      </rPr>
      <t>투자</t>
    </r>
    <r>
      <rPr>
        <b/>
        <sz val="13"/>
        <color theme="1"/>
        <rFont val="Arial Narrow"/>
        <family val="2"/>
      </rPr>
      <t xml:space="preserve"> </t>
    </r>
    <r>
      <rPr>
        <b/>
        <sz val="13"/>
        <color theme="1"/>
        <rFont val="맑은 고딕"/>
        <family val="3"/>
        <charset val="129"/>
      </rPr>
      <t>경제성</t>
    </r>
    <r>
      <rPr>
        <b/>
        <sz val="13"/>
        <color theme="1"/>
        <rFont val="Arial Narrow"/>
        <family val="2"/>
      </rPr>
      <t xml:space="preserve"> </t>
    </r>
    <r>
      <rPr>
        <b/>
        <sz val="13"/>
        <color theme="1"/>
        <rFont val="맑은 고딕"/>
        <family val="3"/>
        <charset val="129"/>
      </rPr>
      <t>분석</t>
    </r>
    <phoneticPr fontId="4" type="noConversion"/>
  </si>
  <si>
    <t>감가상각비-비품</t>
    <phoneticPr fontId="4" type="noConversion"/>
  </si>
  <si>
    <t>무형자산상각비-컴퓨터S/W</t>
    <phoneticPr fontId="4" type="noConversion"/>
  </si>
  <si>
    <r>
      <rPr>
        <sz val="11"/>
        <color theme="1"/>
        <rFont val="맑은 고딕"/>
        <family val="3"/>
        <charset val="129"/>
      </rPr>
      <t>지급수수료</t>
    </r>
    <r>
      <rPr>
        <sz val="11"/>
        <color theme="1"/>
        <rFont val="Arial Narrow"/>
        <family val="2"/>
      </rPr>
      <t>-</t>
    </r>
    <r>
      <rPr>
        <sz val="11"/>
        <color theme="1"/>
        <rFont val="맑은 고딕"/>
        <family val="2"/>
        <charset val="129"/>
      </rPr>
      <t>고객청구소모품</t>
    </r>
    <phoneticPr fontId="4" type="noConversion"/>
  </si>
  <si>
    <r>
      <rPr>
        <sz val="11"/>
        <color theme="1"/>
        <rFont val="맑은 고딕"/>
        <family val="3"/>
        <charset val="129"/>
      </rPr>
      <t>전화요금</t>
    </r>
    <r>
      <rPr>
        <sz val="11"/>
        <color theme="1"/>
        <rFont val="Arial Narrow"/>
        <family val="2"/>
      </rPr>
      <t>(</t>
    </r>
    <r>
      <rPr>
        <sz val="11"/>
        <color theme="1"/>
        <rFont val="맑은 고딕"/>
        <family val="3"/>
        <charset val="129"/>
      </rPr>
      <t>원가</t>
    </r>
    <r>
      <rPr>
        <sz val="11"/>
        <color theme="1"/>
        <rFont val="Arial Narrow"/>
        <family val="2"/>
      </rPr>
      <t>)</t>
    </r>
    <phoneticPr fontId="4" type="noConversion"/>
  </si>
  <si>
    <t>협력직 인건비</t>
    <phoneticPr fontId="4" type="noConversion"/>
  </si>
  <si>
    <r>
      <rPr>
        <sz val="11"/>
        <color theme="1"/>
        <rFont val="맑은 고딕"/>
        <family val="2"/>
        <charset val="129"/>
      </rPr>
      <t>감가상각비</t>
    </r>
    <r>
      <rPr>
        <sz val="11"/>
        <color theme="1"/>
        <rFont val="Arial Narrow"/>
        <family val="2"/>
      </rPr>
      <t>(</t>
    </r>
    <r>
      <rPr>
        <sz val="11"/>
        <color theme="1"/>
        <rFont val="맑은 고딕"/>
        <family val="2"/>
        <charset val="129"/>
      </rPr>
      <t>유형+무형)</t>
    </r>
    <phoneticPr fontId="4" type="noConversion"/>
  </si>
  <si>
    <r>
      <rPr>
        <sz val="11"/>
        <color theme="1"/>
        <rFont val="맑은 고딕"/>
        <family val="3"/>
        <charset val="129"/>
      </rPr>
      <t>※</t>
    </r>
    <r>
      <rPr>
        <sz val="11"/>
        <color theme="1"/>
        <rFont val="맑은 고딕"/>
        <family val="2"/>
        <charset val="129"/>
      </rPr>
      <t xml:space="preserve"> </t>
    </r>
    <r>
      <rPr>
        <sz val="11"/>
        <color theme="1"/>
        <rFont val="Arial Narrow"/>
        <family val="2"/>
      </rPr>
      <t xml:space="preserve">NPV </t>
    </r>
    <r>
      <rPr>
        <sz val="11"/>
        <color theme="1"/>
        <rFont val="맑은 고딕"/>
        <family val="2"/>
        <charset val="129"/>
      </rPr>
      <t>기준 : 0 이상</t>
    </r>
    <phoneticPr fontId="4" type="noConversion"/>
  </si>
  <si>
    <t>무형(IT투자)</t>
    <phoneticPr fontId="4" type="noConversion"/>
  </si>
  <si>
    <t>※ 민평 금리(5년, 7/19 기준)</t>
    <phoneticPr fontId="4" type="noConversion"/>
  </si>
  <si>
    <r>
      <rPr>
        <sz val="11"/>
        <color theme="1"/>
        <rFont val="맑은 고딕"/>
        <family val="3"/>
        <charset val="129"/>
      </rPr>
      <t>※</t>
    </r>
    <r>
      <rPr>
        <sz val="11"/>
        <color theme="1"/>
        <rFont val="맑은 고딕"/>
        <family val="2"/>
        <charset val="129"/>
      </rPr>
      <t xml:space="preserve"> </t>
    </r>
    <r>
      <rPr>
        <sz val="11"/>
        <color theme="1"/>
        <rFont val="Arial Narrow"/>
        <family val="2"/>
      </rPr>
      <t xml:space="preserve">IRR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맑은 고딕"/>
        <family val="2"/>
        <charset val="129"/>
      </rPr>
      <t xml:space="preserve"> :</t>
    </r>
    <r>
      <rPr>
        <sz val="11"/>
        <color theme="1"/>
        <rFont val="Arial Narrow"/>
        <family val="2"/>
      </rPr>
      <t xml:space="preserve"> 6% </t>
    </r>
    <r>
      <rPr>
        <sz val="11"/>
        <color theme="1"/>
        <rFont val="맑은 고딕"/>
        <family val="3"/>
        <charset val="129"/>
      </rPr>
      <t>이상</t>
    </r>
    <phoneticPr fontId="4" type="noConversion"/>
  </si>
  <si>
    <t>옵션비용</t>
    <phoneticPr fontId="4" type="noConversion"/>
  </si>
  <si>
    <t>\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</si>
</sst>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₩&quot;#,##0;[Red]\-&quot;₩&quot;#,##0"/>
    <numFmt numFmtId="41" formatCode="_-* #,##0_-;\-* #,##0_-;_-* &quot;-&quot;_-;_-@_-"/>
    <numFmt numFmtId="43" formatCode="_-* #,##0.00_-;\-* #,##0.00_-;_-* &quot;-&quot;??_-;_-@_-"/>
    <numFmt numFmtId="176" formatCode="0_ ;[Red]\-0\ "/>
    <numFmt numFmtId="177" formatCode="#,##0_ "/>
    <numFmt numFmtId="178" formatCode="#,##0.00_ "/>
    <numFmt numFmtId="179" formatCode="0.0"/>
    <numFmt numFmtId="180" formatCode="0.0%"/>
    <numFmt numFmtId="181" formatCode="#,##0_ ;[Red]\-#,##0\ "/>
    <numFmt numFmtId="182" formatCode="0.0%;[Red]\-0.0%;\-"/>
  </numFmts>
  <fonts count="33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Arial Narrow"/>
      <family val="2"/>
    </font>
    <font>
      <sz val="8"/>
      <name val="맑은 고딕"/>
      <family val="3"/>
      <charset val="129"/>
      <scheme val="minor"/>
    </font>
    <font>
      <sz val="11"/>
      <color theme="1"/>
      <name val="Arial Narrow"/>
      <family val="2"/>
    </font>
    <font>
      <sz val="11"/>
      <color theme="1"/>
      <name val="맑은 고딕"/>
      <family val="3"/>
      <charset val="129"/>
    </font>
    <font>
      <b/>
      <sz val="11"/>
      <color theme="1"/>
      <name val="Arial Narrow"/>
      <family val="2"/>
    </font>
    <font>
      <b/>
      <sz val="11"/>
      <color theme="1"/>
      <name val="맑은 고딕"/>
      <family val="3"/>
      <charset val="129"/>
    </font>
    <font>
      <sz val="12"/>
      <name val="Arial Narrow"/>
      <family val="2"/>
    </font>
    <font>
      <sz val="11"/>
      <color theme="1"/>
      <name val="Arial Narrow"/>
      <family val="3"/>
      <charset val="129"/>
    </font>
    <font>
      <sz val="11"/>
      <color rgb="FFFF0000"/>
      <name val="Arial Narrow"/>
      <family val="2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0"/>
      <color theme="1"/>
      <name val="Arial Narrow"/>
      <family val="2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Arial Narrow"/>
      <family val="2"/>
    </font>
    <font>
      <sz val="11"/>
      <name val="맑은 고딕"/>
      <family val="2"/>
      <charset val="129"/>
    </font>
    <font>
      <b/>
      <sz val="13"/>
      <color theme="1"/>
      <name val="Arial Narrow"/>
      <family val="3"/>
    </font>
    <font>
      <b/>
      <sz val="13"/>
      <color theme="1"/>
      <name val="Segoe UI Symbol"/>
      <family val="3"/>
    </font>
    <font>
      <b/>
      <sz val="13"/>
      <color theme="1"/>
      <name val="맑은 고딕"/>
      <family val="3"/>
      <charset val="129"/>
    </font>
    <font>
      <b/>
      <sz val="13"/>
      <color theme="1"/>
      <name val="Arial Narrow"/>
      <family val="2"/>
    </font>
    <font>
      <b/>
      <sz val="13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Arial Narrow"/>
      <family val="2"/>
    </font>
    <font>
      <sz val="10"/>
      <name val="Arial Narrow"/>
      <family val="2"/>
    </font>
    <font>
      <sz val="11"/>
      <color theme="1"/>
      <name val="Arial Narrow"/>
      <family val="2"/>
      <charset val="129"/>
    </font>
    <font>
      <b/>
      <sz val="13"/>
      <color theme="1"/>
      <name val="맑은 고딕"/>
      <family val="2"/>
      <charset val="129"/>
    </font>
    <font>
      <sz val="11"/>
      <name val="Arial Narrow"/>
      <family val="2"/>
      <charset val="129"/>
    </font>
    <font>
      <sz val="11"/>
      <color rgb="FFFF0000"/>
      <name val="맑은 고딕"/>
      <family val="2"/>
      <charset val="129"/>
    </font>
    <font>
      <sz val="11"/>
      <color rgb="FFFF0000"/>
      <name val="맑은 고딕"/>
      <family val="3"/>
      <charset val="129"/>
    </font>
    <font>
      <sz val="11"/>
      <color theme="1"/>
      <name val="Arial Unicode MS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ck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hair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ck">
        <color theme="1"/>
      </left>
      <right style="thick">
        <color theme="1"/>
      </right>
      <top style="thin">
        <color theme="1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theme="1"/>
      </top>
      <bottom style="double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hair">
        <color indexed="64"/>
      </top>
      <bottom/>
      <diagonal/>
    </border>
    <border>
      <left style="thin">
        <color indexed="64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1"/>
      </right>
      <top style="thin">
        <color auto="1"/>
      </top>
      <bottom/>
      <diagonal/>
    </border>
    <border>
      <left style="dashed">
        <color indexed="64"/>
      </left>
      <right style="thin">
        <color theme="1"/>
      </right>
      <top style="dashed">
        <color indexed="64"/>
      </top>
      <bottom style="dashed">
        <color indexed="64"/>
      </bottom>
      <diagonal/>
    </border>
    <border>
      <left style="thin">
        <color theme="1"/>
      </left>
      <right style="thin">
        <color theme="1"/>
      </right>
      <top style="dashed">
        <color indexed="64"/>
      </top>
      <bottom style="dashed">
        <color indexed="64"/>
      </bottom>
      <diagonal/>
    </border>
    <border>
      <left style="thick">
        <color theme="1"/>
      </left>
      <right style="thick">
        <color theme="1"/>
      </right>
      <top style="dashed">
        <color indexed="64"/>
      </top>
      <bottom style="dashed">
        <color indexed="64"/>
      </bottom>
      <diagonal/>
    </border>
    <border>
      <left style="thin">
        <color theme="1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dashed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dashed">
        <color indexed="64"/>
      </top>
      <bottom style="thin">
        <color theme="1"/>
      </bottom>
      <diagonal/>
    </border>
    <border>
      <left style="thick">
        <color theme="1"/>
      </left>
      <right style="thick">
        <color theme="1"/>
      </right>
      <top style="dashed">
        <color indexed="64"/>
      </top>
      <bottom style="thin">
        <color theme="1"/>
      </bottom>
      <diagonal/>
    </border>
    <border>
      <left style="thin">
        <color theme="1"/>
      </left>
      <right/>
      <top style="dashed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dashed">
        <color theme="1"/>
      </left>
      <right style="thin">
        <color theme="1"/>
      </right>
      <top style="dashed">
        <color theme="1"/>
      </top>
      <bottom style="dashed">
        <color theme="1"/>
      </bottom>
      <diagonal/>
    </border>
    <border>
      <left style="thin">
        <color indexed="64"/>
      </left>
      <right style="thin">
        <color theme="1"/>
      </right>
      <top style="dashed">
        <color theme="1"/>
      </top>
      <bottom style="dashed">
        <color theme="1"/>
      </bottom>
      <diagonal/>
    </border>
    <border>
      <left style="thin">
        <color theme="1"/>
      </left>
      <right style="thin">
        <color theme="1"/>
      </right>
      <top style="dashed">
        <color theme="1"/>
      </top>
      <bottom style="dashed">
        <color theme="1"/>
      </bottom>
      <diagonal/>
    </border>
    <border>
      <left style="thick">
        <color theme="1"/>
      </left>
      <right style="thick">
        <color theme="1"/>
      </right>
      <top style="dashed">
        <color theme="1"/>
      </top>
      <bottom style="dashed">
        <color theme="1"/>
      </bottom>
      <diagonal/>
    </border>
    <border>
      <left style="thin">
        <color theme="1"/>
      </left>
      <right/>
      <top style="dashed">
        <color theme="1"/>
      </top>
      <bottom style="dashed">
        <color theme="1"/>
      </bottom>
      <diagonal/>
    </border>
    <border>
      <left style="dashed">
        <color theme="1"/>
      </left>
      <right style="thin">
        <color theme="1"/>
      </right>
      <top style="dashed">
        <color theme="1"/>
      </top>
      <bottom/>
      <diagonal/>
    </border>
    <border>
      <left/>
      <right style="thin">
        <color theme="1"/>
      </right>
      <top style="dashed">
        <color theme="1"/>
      </top>
      <bottom/>
      <diagonal/>
    </border>
    <border>
      <left style="thin">
        <color theme="1"/>
      </left>
      <right style="thin">
        <color theme="1"/>
      </right>
      <top style="dashed">
        <color theme="1"/>
      </top>
      <bottom/>
      <diagonal/>
    </border>
    <border>
      <left style="thick">
        <color theme="1"/>
      </left>
      <right style="thick">
        <color theme="1"/>
      </right>
      <top style="dashed">
        <color theme="1"/>
      </top>
      <bottom/>
      <diagonal/>
    </border>
    <border>
      <left style="thin">
        <color theme="1"/>
      </left>
      <right/>
      <top style="dashed">
        <color theme="1"/>
      </top>
      <bottom/>
      <diagonal/>
    </border>
    <border>
      <left style="dashed">
        <color theme="1"/>
      </left>
      <right style="thin">
        <color theme="1"/>
      </right>
      <top style="dashed">
        <color theme="1"/>
      </top>
      <bottom style="thin">
        <color theme="1"/>
      </bottom>
      <diagonal/>
    </border>
    <border>
      <left/>
      <right style="thin">
        <color theme="1"/>
      </right>
      <top style="dashed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dashed">
        <color theme="1"/>
      </top>
      <bottom style="thin">
        <color theme="1"/>
      </bottom>
      <diagonal/>
    </border>
    <border>
      <left style="thick">
        <color theme="1"/>
      </left>
      <right style="thick">
        <color theme="1"/>
      </right>
      <top style="dashed">
        <color theme="1"/>
      </top>
      <bottom style="thin">
        <color theme="1"/>
      </bottom>
      <diagonal/>
    </border>
    <border>
      <left style="thin">
        <color theme="1"/>
      </left>
      <right/>
      <top style="dashed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double">
        <color theme="1"/>
      </top>
      <bottom style="dashed">
        <color indexed="64"/>
      </bottom>
      <diagonal/>
    </border>
    <border>
      <left/>
      <right/>
      <top style="double">
        <color theme="1"/>
      </top>
      <bottom style="dashed">
        <color indexed="64"/>
      </bottom>
      <diagonal/>
    </border>
    <border>
      <left/>
      <right style="thin">
        <color theme="1"/>
      </right>
      <top style="double">
        <color theme="1"/>
      </top>
      <bottom style="dashed">
        <color indexed="64"/>
      </bottom>
      <diagonal/>
    </border>
    <border>
      <left style="thin">
        <color theme="1"/>
      </left>
      <right style="thin">
        <color theme="1"/>
      </right>
      <top style="double">
        <color theme="1"/>
      </top>
      <bottom style="dashed">
        <color indexed="64"/>
      </bottom>
      <diagonal/>
    </border>
    <border>
      <left style="thick">
        <color theme="1"/>
      </left>
      <right style="thick">
        <color theme="1"/>
      </right>
      <top style="double">
        <color theme="1"/>
      </top>
      <bottom style="dashed">
        <color indexed="64"/>
      </bottom>
      <diagonal/>
    </border>
    <border>
      <left style="thin">
        <color theme="1"/>
      </left>
      <right/>
      <top style="double">
        <color theme="1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theme="1"/>
      </bottom>
      <diagonal/>
    </border>
    <border>
      <left/>
      <right/>
      <top style="dashed">
        <color indexed="64"/>
      </top>
      <bottom style="thin">
        <color theme="1"/>
      </bottom>
      <diagonal/>
    </border>
    <border>
      <left/>
      <right style="thin">
        <color theme="1"/>
      </right>
      <top style="dashed">
        <color indexed="64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ck">
        <color theme="1"/>
      </left>
      <right style="thick">
        <color theme="1"/>
      </right>
      <top style="hair">
        <color theme="1"/>
      </top>
      <bottom style="thick">
        <color theme="1"/>
      </bottom>
      <diagonal/>
    </border>
    <border>
      <left style="dashed">
        <color indexed="64"/>
      </left>
      <right style="thin">
        <color theme="1"/>
      </right>
      <top style="dashed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7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05">
    <xf numFmtId="0" fontId="0" fillId="0" borderId="0" xfId="0">
      <alignment vertical="center"/>
    </xf>
    <xf numFmtId="0" fontId="5" fillId="0" borderId="0" xfId="0" applyFont="1" applyAlignment="1">
      <alignment horizontal="right"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3" borderId="3" xfId="1" applyNumberFormat="1" applyFont="1" applyFill="1" applyBorder="1" applyAlignment="1">
      <alignment horizontal="center" vertical="center"/>
    </xf>
    <xf numFmtId="176" fontId="7" fillId="3" borderId="3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176" fontId="7" fillId="3" borderId="5" xfId="0" applyNumberFormat="1" applyFont="1" applyFill="1" applyBorder="1" applyAlignment="1">
      <alignment horizontal="center" vertical="center"/>
    </xf>
    <xf numFmtId="41" fontId="9" fillId="2" borderId="0" xfId="1" quotePrefix="1" applyFont="1" applyFill="1" applyBorder="1" applyAlignment="1">
      <alignment horizontal="center" vertical="center"/>
    </xf>
    <xf numFmtId="41" fontId="9" fillId="2" borderId="0" xfId="1" applyFont="1" applyFill="1" applyBorder="1" applyAlignment="1">
      <alignment horizontal="center" vertical="center"/>
    </xf>
    <xf numFmtId="41" fontId="5" fillId="2" borderId="0" xfId="1" applyNumberFormat="1" applyFont="1" applyFill="1" applyBorder="1" applyAlignment="1">
      <alignment horizontal="left" vertical="center"/>
    </xf>
    <xf numFmtId="41" fontId="5" fillId="0" borderId="0" xfId="0" applyNumberFormat="1" applyFont="1" applyAlignment="1">
      <alignment vertical="center"/>
    </xf>
    <xf numFmtId="177" fontId="5" fillId="0" borderId="3" xfId="1" applyNumberFormat="1" applyFont="1" applyBorder="1" applyAlignment="1">
      <alignment horizontal="right" vertical="center"/>
    </xf>
    <xf numFmtId="177" fontId="7" fillId="3" borderId="12" xfId="1" applyNumberFormat="1" applyFont="1" applyFill="1" applyBorder="1" applyAlignment="1">
      <alignment horizontal="right" vertical="center"/>
    </xf>
    <xf numFmtId="177" fontId="7" fillId="0" borderId="16" xfId="1" applyNumberFormat="1" applyFont="1" applyFill="1" applyBorder="1" applyAlignment="1">
      <alignment horizontal="right" vertical="center"/>
    </xf>
    <xf numFmtId="0" fontId="16" fillId="0" borderId="0" xfId="0" applyFont="1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quotePrefix="1" applyFill="1" applyBorder="1">
      <alignment vertical="center"/>
    </xf>
    <xf numFmtId="0" fontId="5" fillId="0" borderId="0" xfId="0" applyFont="1" applyBorder="1" applyAlignment="1">
      <alignment horizontal="center" vertical="center"/>
    </xf>
    <xf numFmtId="177" fontId="5" fillId="0" borderId="18" xfId="1" applyNumberFormat="1" applyFont="1" applyBorder="1" applyAlignment="1">
      <alignment horizontal="right" vertical="center"/>
    </xf>
    <xf numFmtId="0" fontId="23" fillId="0" borderId="0" xfId="0" applyFont="1">
      <alignment vertical="center"/>
    </xf>
    <xf numFmtId="179" fontId="7" fillId="0" borderId="26" xfId="0" applyNumberFormat="1" applyFont="1" applyBorder="1" applyAlignment="1">
      <alignment horizontal="center" vertical="center"/>
    </xf>
    <xf numFmtId="177" fontId="5" fillId="0" borderId="19" xfId="1" applyNumberFormat="1" applyFont="1" applyBorder="1" applyAlignment="1">
      <alignment horizontal="left" vertical="center"/>
    </xf>
    <xf numFmtId="177" fontId="7" fillId="3" borderId="13" xfId="1" applyNumberFormat="1" applyFont="1" applyFill="1" applyBorder="1" applyAlignment="1">
      <alignment horizontal="left" vertical="center"/>
    </xf>
    <xf numFmtId="177" fontId="7" fillId="0" borderId="16" xfId="1" applyNumberFormat="1" applyFont="1" applyFill="1" applyBorder="1" applyAlignment="1">
      <alignment horizontal="left" vertical="center"/>
    </xf>
    <xf numFmtId="177" fontId="5" fillId="2" borderId="19" xfId="1" applyNumberFormat="1" applyFont="1" applyFill="1" applyBorder="1" applyAlignment="1">
      <alignment horizontal="left" vertical="center"/>
    </xf>
    <xf numFmtId="178" fontId="5" fillId="0" borderId="19" xfId="1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9" fontId="7" fillId="0" borderId="24" xfId="0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NumberFormat="1" applyFont="1" applyAlignment="1">
      <alignment vertical="center"/>
    </xf>
    <xf numFmtId="9" fontId="5" fillId="0" borderId="0" xfId="0" applyNumberFormat="1" applyFont="1" applyAlignment="1">
      <alignment vertical="center"/>
    </xf>
    <xf numFmtId="41" fontId="5" fillId="0" borderId="0" xfId="1" applyFont="1" applyAlignment="1">
      <alignment vertical="center"/>
    </xf>
    <xf numFmtId="41" fontId="5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76" fontId="13" fillId="3" borderId="25" xfId="0" applyNumberFormat="1" applyFont="1" applyFill="1" applyBorder="1" applyAlignment="1">
      <alignment horizontal="center" vertical="center"/>
    </xf>
    <xf numFmtId="176" fontId="13" fillId="3" borderId="1" xfId="0" applyNumberFormat="1" applyFont="1" applyFill="1" applyBorder="1" applyAlignment="1">
      <alignment horizontal="center" vertical="center"/>
    </xf>
    <xf numFmtId="177" fontId="7" fillId="3" borderId="12" xfId="0" applyNumberFormat="1" applyFont="1" applyFill="1" applyBorder="1" applyAlignment="1">
      <alignment horizontal="right" vertical="center"/>
    </xf>
    <xf numFmtId="181" fontId="7" fillId="3" borderId="12" xfId="1" applyNumberFormat="1" applyFont="1" applyFill="1" applyBorder="1" applyAlignment="1">
      <alignment horizontal="right" vertical="center"/>
    </xf>
    <xf numFmtId="181" fontId="7" fillId="3" borderId="14" xfId="1" applyNumberFormat="1" applyFont="1" applyFill="1" applyBorder="1" applyAlignment="1">
      <alignment horizontal="right" vertical="center"/>
    </xf>
    <xf numFmtId="0" fontId="25" fillId="0" borderId="27" xfId="0" applyNumberFormat="1" applyFont="1" applyFill="1" applyBorder="1" applyAlignment="1">
      <alignment horizontal="right" vertical="center"/>
    </xf>
    <xf numFmtId="0" fontId="29" fillId="0" borderId="35" xfId="0" applyNumberFormat="1" applyFont="1" applyFill="1" applyBorder="1" applyAlignment="1">
      <alignment horizontal="center" vertical="center"/>
    </xf>
    <xf numFmtId="177" fontId="7" fillId="0" borderId="36" xfId="0" applyNumberFormat="1" applyFont="1" applyFill="1" applyBorder="1" applyAlignment="1">
      <alignment horizontal="right" vertical="center"/>
    </xf>
    <xf numFmtId="181" fontId="5" fillId="0" borderId="36" xfId="1" applyNumberFormat="1" applyFont="1" applyFill="1" applyBorder="1" applyAlignment="1">
      <alignment horizontal="right" vertical="center"/>
    </xf>
    <xf numFmtId="181" fontId="7" fillId="0" borderId="37" xfId="1" applyNumberFormat="1" applyFont="1" applyFill="1" applyBorder="1" applyAlignment="1">
      <alignment horizontal="right" vertical="center"/>
    </xf>
    <xf numFmtId="177" fontId="5" fillId="0" borderId="38" xfId="1" applyNumberFormat="1" applyFont="1" applyFill="1" applyBorder="1" applyAlignment="1">
      <alignment horizontal="left" vertical="center"/>
    </xf>
    <xf numFmtId="0" fontId="5" fillId="0" borderId="39" xfId="0" applyNumberFormat="1" applyFont="1" applyBorder="1" applyAlignment="1">
      <alignment horizontal="right" vertical="center"/>
    </xf>
    <xf numFmtId="177" fontId="5" fillId="0" borderId="41" xfId="0" applyNumberFormat="1" applyFont="1" applyBorder="1" applyAlignment="1">
      <alignment horizontal="right" vertical="center"/>
    </xf>
    <xf numFmtId="181" fontId="5" fillId="2" borderId="41" xfId="1" applyNumberFormat="1" applyFont="1" applyFill="1" applyBorder="1" applyAlignment="1">
      <alignment horizontal="right" vertical="center"/>
    </xf>
    <xf numFmtId="181" fontId="7" fillId="0" borderId="42" xfId="1" applyNumberFormat="1" applyFont="1" applyBorder="1" applyAlignment="1">
      <alignment horizontal="right" vertical="center"/>
    </xf>
    <xf numFmtId="177" fontId="5" fillId="2" borderId="43" xfId="1" applyNumberFormat="1" applyFont="1" applyFill="1" applyBorder="1" applyAlignment="1">
      <alignment horizontal="left" vertical="center"/>
    </xf>
    <xf numFmtId="0" fontId="5" fillId="0" borderId="27" xfId="2" applyNumberFormat="1" applyFont="1" applyBorder="1" applyAlignment="1">
      <alignment horizontal="right" vertical="center"/>
    </xf>
    <xf numFmtId="177" fontId="5" fillId="0" borderId="48" xfId="2" applyNumberFormat="1" applyFont="1" applyBorder="1" applyAlignment="1">
      <alignment horizontal="right" vertical="center"/>
    </xf>
    <xf numFmtId="181" fontId="5" fillId="0" borderId="48" xfId="1" applyNumberFormat="1" applyFont="1" applyFill="1" applyBorder="1" applyAlignment="1">
      <alignment horizontal="right" vertical="center"/>
    </xf>
    <xf numFmtId="181" fontId="7" fillId="0" borderId="49" xfId="1" applyNumberFormat="1" applyFont="1" applyFill="1" applyBorder="1" applyAlignment="1">
      <alignment horizontal="right" vertical="center"/>
    </xf>
    <xf numFmtId="177" fontId="5" fillId="0" borderId="50" xfId="1" applyNumberFormat="1" applyFont="1" applyFill="1" applyBorder="1" applyAlignment="1">
      <alignment horizontal="left" vertical="center"/>
    </xf>
    <xf numFmtId="0" fontId="5" fillId="0" borderId="27" xfId="0" applyNumberFormat="1" applyFont="1" applyBorder="1" applyAlignment="1">
      <alignment horizontal="right" vertical="center"/>
    </xf>
    <xf numFmtId="0" fontId="27" fillId="0" borderId="46" xfId="0" applyNumberFormat="1" applyFont="1" applyBorder="1" applyAlignment="1">
      <alignment horizontal="center" vertical="center"/>
    </xf>
    <xf numFmtId="0" fontId="12" fillId="0" borderId="47" xfId="0" applyNumberFormat="1" applyFont="1" applyBorder="1" applyAlignment="1">
      <alignment horizontal="center" vertical="center"/>
    </xf>
    <xf numFmtId="177" fontId="5" fillId="0" borderId="48" xfId="0" applyNumberFormat="1" applyFont="1" applyBorder="1" applyAlignment="1">
      <alignment horizontal="right" vertical="center"/>
    </xf>
    <xf numFmtId="41" fontId="7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10" fillId="0" borderId="46" xfId="0" applyNumberFormat="1" applyFont="1" applyBorder="1" applyAlignment="1">
      <alignment horizontal="center" vertical="center"/>
    </xf>
    <xf numFmtId="0" fontId="5" fillId="0" borderId="47" xfId="0" applyNumberFormat="1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5" fillId="0" borderId="56" xfId="0" applyNumberFormat="1" applyFont="1" applyBorder="1" applyAlignment="1">
      <alignment horizontal="center" vertical="center"/>
    </xf>
    <xf numFmtId="0" fontId="5" fillId="0" borderId="57" xfId="0" applyNumberFormat="1" applyFont="1" applyBorder="1" applyAlignment="1">
      <alignment horizontal="right" vertical="center"/>
    </xf>
    <xf numFmtId="177" fontId="5" fillId="0" borderId="58" xfId="0" applyNumberFormat="1" applyFont="1" applyBorder="1" applyAlignment="1">
      <alignment horizontal="right" vertical="center"/>
    </xf>
    <xf numFmtId="181" fontId="5" fillId="0" borderId="58" xfId="1" applyNumberFormat="1" applyFont="1" applyBorder="1" applyAlignment="1">
      <alignment horizontal="right" vertical="center"/>
    </xf>
    <xf numFmtId="181" fontId="7" fillId="2" borderId="59" xfId="1" applyNumberFormat="1" applyFont="1" applyFill="1" applyBorder="1" applyAlignment="1">
      <alignment horizontal="right" vertical="center"/>
    </xf>
    <xf numFmtId="177" fontId="5" fillId="0" borderId="60" xfId="1" applyNumberFormat="1" applyFont="1" applyBorder="1" applyAlignment="1">
      <alignment horizontal="left" vertical="center"/>
    </xf>
    <xf numFmtId="9" fontId="5" fillId="0" borderId="0" xfId="2" applyFont="1" applyAlignment="1">
      <alignment vertical="center"/>
    </xf>
    <xf numFmtId="9" fontId="5" fillId="0" borderId="0" xfId="0" applyNumberFormat="1" applyFont="1" applyFill="1" applyAlignment="1">
      <alignment vertical="center"/>
    </xf>
    <xf numFmtId="0" fontId="5" fillId="0" borderId="39" xfId="1" applyNumberFormat="1" applyFont="1" applyFill="1" applyBorder="1" applyAlignment="1">
      <alignment vertical="center"/>
    </xf>
    <xf numFmtId="0" fontId="5" fillId="0" borderId="61" xfId="1" applyNumberFormat="1" applyFont="1" applyFill="1" applyBorder="1" applyAlignment="1">
      <alignment vertical="center"/>
    </xf>
    <xf numFmtId="0" fontId="5" fillId="0" borderId="7" xfId="1" applyNumberFormat="1" applyFont="1" applyFill="1" applyBorder="1" applyAlignment="1">
      <alignment vertical="center"/>
    </xf>
    <xf numFmtId="177" fontId="7" fillId="0" borderId="18" xfId="1" applyNumberFormat="1" applyFont="1" applyFill="1" applyBorder="1" applyAlignment="1">
      <alignment horizontal="right" vertical="center"/>
    </xf>
    <xf numFmtId="182" fontId="7" fillId="0" borderId="18" xfId="2" applyNumberFormat="1" applyFont="1" applyFill="1" applyBorder="1" applyAlignment="1">
      <alignment horizontal="right" vertical="center"/>
    </xf>
    <xf numFmtId="182" fontId="7" fillId="0" borderId="20" xfId="2" applyNumberFormat="1" applyFont="1" applyFill="1" applyBorder="1" applyAlignment="1">
      <alignment horizontal="right" vertical="center"/>
    </xf>
    <xf numFmtId="177" fontId="7" fillId="0" borderId="19" xfId="1" applyNumberFormat="1" applyFont="1" applyFill="1" applyBorder="1" applyAlignment="1">
      <alignment horizontal="left" vertical="center"/>
    </xf>
    <xf numFmtId="181" fontId="5" fillId="0" borderId="3" xfId="1" applyNumberFormat="1" applyFont="1" applyBorder="1" applyAlignment="1">
      <alignment horizontal="right" vertical="center"/>
    </xf>
    <xf numFmtId="181" fontId="7" fillId="2" borderId="8" xfId="1" applyNumberFormat="1" applyFont="1" applyFill="1" applyBorder="1" applyAlignment="1">
      <alignment horizontal="right" vertical="center"/>
    </xf>
    <xf numFmtId="41" fontId="5" fillId="0" borderId="0" xfId="1" applyFont="1" applyFill="1" applyAlignment="1">
      <alignment vertical="center"/>
    </xf>
    <xf numFmtId="41" fontId="7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15" xfId="0" applyFont="1" applyBorder="1" applyAlignment="1">
      <alignment vertical="center"/>
    </xf>
    <xf numFmtId="0" fontId="7" fillId="0" borderId="16" xfId="1" applyNumberFormat="1" applyFont="1" applyFill="1" applyBorder="1" applyAlignment="1">
      <alignment horizontal="left" vertical="center"/>
    </xf>
    <xf numFmtId="181" fontId="5" fillId="2" borderId="66" xfId="1" applyNumberFormat="1" applyFont="1" applyFill="1" applyBorder="1" applyAlignment="1">
      <alignment horizontal="right" vertical="center"/>
    </xf>
    <xf numFmtId="181" fontId="7" fillId="2" borderId="67" xfId="1" applyNumberFormat="1" applyFont="1" applyFill="1" applyBorder="1" applyAlignment="1">
      <alignment horizontal="right" vertical="center"/>
    </xf>
    <xf numFmtId="177" fontId="5" fillId="2" borderId="68" xfId="1" applyNumberFormat="1" applyFont="1" applyFill="1" applyBorder="1" applyAlignment="1">
      <alignment horizontal="left" vertical="center"/>
    </xf>
    <xf numFmtId="181" fontId="7" fillId="2" borderId="42" xfId="1" applyNumberFormat="1" applyFont="1" applyFill="1" applyBorder="1" applyAlignment="1">
      <alignment horizontal="right" vertical="center"/>
    </xf>
    <xf numFmtId="181" fontId="5" fillId="2" borderId="18" xfId="1" applyNumberFormat="1" applyFont="1" applyFill="1" applyBorder="1" applyAlignment="1">
      <alignment horizontal="right" vertical="center"/>
    </xf>
    <xf numFmtId="181" fontId="7" fillId="2" borderId="20" xfId="1" applyNumberFormat="1" applyFont="1" applyFill="1" applyBorder="1" applyAlignment="1">
      <alignment horizontal="right" vertical="center"/>
    </xf>
    <xf numFmtId="181" fontId="5" fillId="2" borderId="12" xfId="1" applyNumberFormat="1" applyFont="1" applyFill="1" applyBorder="1" applyAlignment="1">
      <alignment horizontal="right" vertical="center"/>
    </xf>
    <xf numFmtId="181" fontId="7" fillId="5" borderId="14" xfId="1" applyNumberFormat="1" applyFont="1" applyFill="1" applyBorder="1" applyAlignment="1">
      <alignment horizontal="right" vertical="center"/>
    </xf>
    <xf numFmtId="0" fontId="5" fillId="0" borderId="72" xfId="1" applyNumberFormat="1" applyFont="1" applyBorder="1" applyAlignment="1">
      <alignment horizontal="center" vertical="center"/>
    </xf>
    <xf numFmtId="178" fontId="5" fillId="0" borderId="17" xfId="1" applyNumberFormat="1" applyFont="1" applyBorder="1" applyAlignment="1">
      <alignment horizontal="right" vertical="center"/>
    </xf>
    <xf numFmtId="177" fontId="5" fillId="0" borderId="73" xfId="1" applyNumberFormat="1" applyFont="1" applyBorder="1" applyAlignment="1">
      <alignment horizontal="right" vertical="center"/>
    </xf>
    <xf numFmtId="179" fontId="5" fillId="0" borderId="0" xfId="0" applyNumberFormat="1" applyFont="1" applyAlignment="1">
      <alignment vertical="center"/>
    </xf>
    <xf numFmtId="182" fontId="5" fillId="0" borderId="1" xfId="2" applyNumberFormat="1" applyFont="1" applyBorder="1" applyAlignment="1">
      <alignment horizontal="right" vertical="center"/>
    </xf>
    <xf numFmtId="9" fontId="7" fillId="0" borderId="23" xfId="0" applyNumberFormat="1" applyFont="1" applyBorder="1" applyAlignment="1">
      <alignment horizontal="center" vertical="center"/>
    </xf>
    <xf numFmtId="182" fontId="17" fillId="0" borderId="25" xfId="0" applyNumberFormat="1" applyFont="1" applyFill="1" applyBorder="1" applyAlignment="1">
      <alignment vertical="center"/>
    </xf>
    <xf numFmtId="41" fontId="6" fillId="0" borderId="0" xfId="0" applyNumberFormat="1" applyFont="1" applyAlignment="1">
      <alignment vertical="center"/>
    </xf>
    <xf numFmtId="182" fontId="5" fillId="5" borderId="1" xfId="0" applyNumberFormat="1" applyFont="1" applyFill="1" applyBorder="1" applyAlignment="1">
      <alignment horizontal="right" vertical="center"/>
    </xf>
    <xf numFmtId="6" fontId="5" fillId="0" borderId="0" xfId="0" applyNumberFormat="1" applyFont="1" applyAlignment="1">
      <alignment vertical="center"/>
    </xf>
    <xf numFmtId="6" fontId="5" fillId="0" borderId="0" xfId="1" applyNumberFormat="1" applyFont="1" applyAlignment="1">
      <alignment vertical="center"/>
    </xf>
    <xf numFmtId="180" fontId="3" fillId="0" borderId="0" xfId="0" applyNumberFormat="1" applyFont="1" applyAlignment="1">
      <alignment vertical="center"/>
    </xf>
    <xf numFmtId="43" fontId="5" fillId="0" borderId="0" xfId="0" applyNumberFormat="1" applyFont="1" applyAlignment="1">
      <alignment vertical="center"/>
    </xf>
    <xf numFmtId="180" fontId="7" fillId="0" borderId="0" xfId="0" applyNumberFormat="1" applyFont="1" applyAlignment="1">
      <alignment vertical="center"/>
    </xf>
    <xf numFmtId="176" fontId="8" fillId="3" borderId="3" xfId="0" applyNumberFormat="1" applyFont="1" applyFill="1" applyBorder="1" applyAlignment="1">
      <alignment horizontal="center" vertical="center"/>
    </xf>
    <xf numFmtId="176" fontId="18" fillId="0" borderId="10" xfId="0" applyNumberFormat="1" applyFont="1" applyFill="1" applyBorder="1" applyAlignment="1">
      <alignment horizontal="center" vertical="center"/>
    </xf>
    <xf numFmtId="176" fontId="24" fillId="0" borderId="22" xfId="0" applyNumberFormat="1" applyFont="1" applyFill="1" applyBorder="1" applyAlignment="1">
      <alignment horizontal="center" vertical="center"/>
    </xf>
    <xf numFmtId="181" fontId="5" fillId="2" borderId="36" xfId="1" applyNumberFormat="1" applyFont="1" applyFill="1" applyBorder="1" applyAlignment="1">
      <alignment horizontal="right" vertical="center"/>
    </xf>
    <xf numFmtId="181" fontId="7" fillId="0" borderId="37" xfId="1" applyNumberFormat="1" applyFont="1" applyBorder="1" applyAlignment="1">
      <alignment horizontal="right" vertical="center"/>
    </xf>
    <xf numFmtId="177" fontId="5" fillId="2" borderId="38" xfId="1" applyNumberFormat="1" applyFont="1" applyFill="1" applyBorder="1" applyAlignment="1">
      <alignment horizontal="left" vertical="center"/>
    </xf>
    <xf numFmtId="176" fontId="25" fillId="0" borderId="21" xfId="0" applyNumberFormat="1" applyFont="1" applyFill="1" applyBorder="1" applyAlignment="1">
      <alignment horizontal="center" vertical="center"/>
    </xf>
    <xf numFmtId="177" fontId="11" fillId="0" borderId="36" xfId="0" applyNumberFormat="1" applyFont="1" applyBorder="1" applyAlignment="1">
      <alignment horizontal="right" vertical="center"/>
    </xf>
    <xf numFmtId="181" fontId="11" fillId="2" borderId="36" xfId="1" applyNumberFormat="1" applyFont="1" applyFill="1" applyBorder="1" applyAlignment="1">
      <alignment horizontal="right" vertical="center"/>
    </xf>
    <xf numFmtId="181" fontId="17" fillId="0" borderId="37" xfId="1" applyNumberFormat="1" applyFont="1" applyBorder="1" applyAlignment="1">
      <alignment horizontal="right" vertical="center"/>
    </xf>
    <xf numFmtId="177" fontId="26" fillId="2" borderId="38" xfId="1" applyNumberFormat="1" applyFont="1" applyFill="1" applyBorder="1" applyAlignment="1">
      <alignment horizontal="left" vertical="center"/>
    </xf>
    <xf numFmtId="0" fontId="5" fillId="0" borderId="74" xfId="0" applyNumberFormat="1" applyFont="1" applyBorder="1" applyAlignment="1">
      <alignment horizontal="center" vertical="center"/>
    </xf>
    <xf numFmtId="0" fontId="5" fillId="0" borderId="40" xfId="0" applyNumberFormat="1" applyFont="1" applyBorder="1" applyAlignment="1">
      <alignment horizontal="right" vertical="center"/>
    </xf>
    <xf numFmtId="9" fontId="12" fillId="0" borderId="10" xfId="2" applyFont="1" applyBorder="1" applyAlignment="1">
      <alignment horizontal="center" vertical="center"/>
    </xf>
    <xf numFmtId="9" fontId="6" fillId="0" borderId="10" xfId="2" applyFont="1" applyBorder="1" applyAlignment="1">
      <alignment horizontal="center" vertical="center"/>
    </xf>
    <xf numFmtId="9" fontId="12" fillId="0" borderId="29" xfId="2" applyFont="1" applyBorder="1" applyAlignment="1">
      <alignment horizontal="center" vertical="center"/>
    </xf>
    <xf numFmtId="181" fontId="5" fillId="0" borderId="75" xfId="1" applyNumberFormat="1" applyFont="1" applyFill="1" applyBorder="1" applyAlignment="1">
      <alignment horizontal="right" vertical="center"/>
    </xf>
    <xf numFmtId="177" fontId="27" fillId="0" borderId="50" xfId="1" applyNumberFormat="1" applyFont="1" applyFill="1" applyBorder="1" applyAlignment="1">
      <alignment horizontal="left" vertical="center"/>
    </xf>
    <xf numFmtId="0" fontId="12" fillId="0" borderId="51" xfId="0" applyNumberFormat="1" applyFont="1" applyFill="1" applyBorder="1" applyAlignment="1">
      <alignment horizontal="center" vertical="center"/>
    </xf>
    <xf numFmtId="0" fontId="12" fillId="0" borderId="52" xfId="0" applyNumberFormat="1" applyFont="1" applyFill="1" applyBorder="1" applyAlignment="1">
      <alignment horizontal="center" vertical="center"/>
    </xf>
    <xf numFmtId="177" fontId="7" fillId="0" borderId="53" xfId="0" applyNumberFormat="1" applyFont="1" applyFill="1" applyBorder="1" applyAlignment="1">
      <alignment horizontal="right" vertical="center"/>
    </xf>
    <xf numFmtId="181" fontId="5" fillId="0" borderId="53" xfId="1" applyNumberFormat="1" applyFont="1" applyFill="1" applyBorder="1" applyAlignment="1">
      <alignment horizontal="right" vertical="center"/>
    </xf>
    <xf numFmtId="181" fontId="7" fillId="0" borderId="54" xfId="1" applyNumberFormat="1" applyFont="1" applyFill="1" applyBorder="1" applyAlignment="1">
      <alignment horizontal="right" vertical="center"/>
    </xf>
    <xf numFmtId="180" fontId="5" fillId="0" borderId="55" xfId="2" applyNumberFormat="1" applyFont="1" applyFill="1" applyBorder="1" applyAlignment="1">
      <alignment horizontal="left" vertical="center"/>
    </xf>
    <xf numFmtId="177" fontId="5" fillId="0" borderId="12" xfId="1" applyNumberFormat="1" applyFont="1" applyBorder="1" applyAlignment="1">
      <alignment horizontal="right" vertical="center"/>
    </xf>
    <xf numFmtId="181" fontId="5" fillId="0" borderId="12" xfId="1" applyNumberFormat="1" applyFont="1" applyBorder="1" applyAlignment="1">
      <alignment horizontal="right" vertical="center"/>
    </xf>
    <xf numFmtId="181" fontId="7" fillId="2" borderId="14" xfId="1" applyNumberFormat="1" applyFont="1" applyFill="1" applyBorder="1" applyAlignment="1">
      <alignment horizontal="right" vertical="center"/>
    </xf>
    <xf numFmtId="177" fontId="5" fillId="0" borderId="13" xfId="1" applyNumberFormat="1" applyFont="1" applyBorder="1" applyAlignment="1">
      <alignment horizontal="left" vertical="center"/>
    </xf>
    <xf numFmtId="0" fontId="6" fillId="0" borderId="39" xfId="1" applyNumberFormat="1" applyFont="1" applyBorder="1" applyAlignment="1">
      <alignment horizontal="left" vertical="center"/>
    </xf>
    <xf numFmtId="0" fontId="5" fillId="0" borderId="61" xfId="1" applyNumberFormat="1" applyFont="1" applyBorder="1" applyAlignment="1">
      <alignment horizontal="left" vertical="center"/>
    </xf>
    <xf numFmtId="0" fontId="5" fillId="0" borderId="7" xfId="1" applyNumberFormat="1" applyFont="1" applyBorder="1" applyAlignment="1">
      <alignment horizontal="left" vertical="center"/>
    </xf>
    <xf numFmtId="181" fontId="5" fillId="0" borderId="18" xfId="1" applyNumberFormat="1" applyFont="1" applyBorder="1" applyAlignment="1">
      <alignment horizontal="right" vertical="center"/>
    </xf>
    <xf numFmtId="177" fontId="10" fillId="2" borderId="13" xfId="1" applyNumberFormat="1" applyFont="1" applyFill="1" applyBorder="1" applyAlignment="1">
      <alignment horizontal="left" vertical="center"/>
    </xf>
    <xf numFmtId="0" fontId="5" fillId="0" borderId="33" xfId="0" applyFont="1" applyBorder="1" applyAlignment="1">
      <alignment vertical="center"/>
    </xf>
    <xf numFmtId="0" fontId="12" fillId="0" borderId="25" xfId="0" applyFont="1" applyBorder="1" applyAlignment="1">
      <alignment horizontal="center" vertical="center"/>
    </xf>
    <xf numFmtId="3" fontId="7" fillId="4" borderId="1" xfId="0" applyNumberFormat="1" applyFont="1" applyFill="1" applyBorder="1" applyAlignment="1">
      <alignment vertical="center"/>
    </xf>
    <xf numFmtId="179" fontId="5" fillId="4" borderId="25" xfId="0" applyNumberFormat="1" applyFont="1" applyFill="1" applyBorder="1" applyAlignment="1">
      <alignment vertical="center"/>
    </xf>
    <xf numFmtId="9" fontId="7" fillId="0" borderId="26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5" fillId="4" borderId="25" xfId="0" applyFont="1" applyFill="1" applyBorder="1" applyAlignment="1">
      <alignment vertical="center"/>
    </xf>
    <xf numFmtId="41" fontId="31" fillId="0" borderId="0" xfId="0" applyNumberFormat="1" applyFont="1" applyAlignment="1">
      <alignment vertical="center"/>
    </xf>
    <xf numFmtId="177" fontId="32" fillId="0" borderId="4" xfId="1" applyNumberFormat="1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6" fillId="0" borderId="47" xfId="0" applyNumberFormat="1" applyFont="1" applyBorder="1" applyAlignment="1">
      <alignment horizontal="center" vertical="center"/>
    </xf>
    <xf numFmtId="177" fontId="32" fillId="0" borderId="50" xfId="1" applyNumberFormat="1" applyFont="1" applyFill="1" applyBorder="1" applyAlignment="1">
      <alignment horizontal="left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41" fontId="7" fillId="0" borderId="25" xfId="1" applyFont="1" applyFill="1" applyBorder="1" applyAlignment="1">
      <alignment horizontal="center" vertical="center"/>
    </xf>
    <xf numFmtId="41" fontId="7" fillId="0" borderId="24" xfId="1" applyFont="1" applyFill="1" applyBorder="1" applyAlignment="1">
      <alignment horizontal="center" vertical="center"/>
    </xf>
    <xf numFmtId="41" fontId="7" fillId="2" borderId="25" xfId="1" applyFont="1" applyFill="1" applyBorder="1" applyAlignment="1">
      <alignment horizontal="center" vertical="center"/>
    </xf>
    <xf numFmtId="41" fontId="7" fillId="2" borderId="24" xfId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63" xfId="1" applyNumberFormat="1" applyFont="1" applyBorder="1" applyAlignment="1">
      <alignment horizontal="center" vertical="center"/>
    </xf>
    <xf numFmtId="0" fontId="7" fillId="0" borderId="64" xfId="1" applyNumberFormat="1" applyFont="1" applyBorder="1" applyAlignment="1">
      <alignment horizontal="center" vertical="center"/>
    </xf>
    <xf numFmtId="0" fontId="7" fillId="0" borderId="65" xfId="1" applyNumberFormat="1" applyFont="1" applyBorder="1" applyAlignment="1">
      <alignment horizontal="center" vertical="center"/>
    </xf>
    <xf numFmtId="0" fontId="7" fillId="0" borderId="69" xfId="1" applyNumberFormat="1" applyFont="1" applyBorder="1" applyAlignment="1">
      <alignment horizontal="center" vertical="center"/>
    </xf>
    <xf numFmtId="0" fontId="7" fillId="0" borderId="70" xfId="1" applyNumberFormat="1" applyFont="1" applyBorder="1" applyAlignment="1">
      <alignment horizontal="center" vertical="center"/>
    </xf>
    <xf numFmtId="0" fontId="7" fillId="0" borderId="71" xfId="1" applyNumberFormat="1" applyFont="1" applyBorder="1" applyAlignment="1">
      <alignment horizontal="center" vertical="center"/>
    </xf>
    <xf numFmtId="0" fontId="7" fillId="0" borderId="28" xfId="1" applyNumberFormat="1" applyFont="1" applyBorder="1" applyAlignment="1">
      <alignment horizontal="center" vertical="center"/>
    </xf>
    <xf numFmtId="0" fontId="7" fillId="0" borderId="62" xfId="1" applyNumberFormat="1" applyFont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7" fillId="2" borderId="44" xfId="1" applyNumberFormat="1" applyFont="1" applyFill="1" applyBorder="1" applyAlignment="1">
      <alignment horizontal="center" vertical="center"/>
    </xf>
    <xf numFmtId="0" fontId="7" fillId="2" borderId="45" xfId="1" applyNumberFormat="1" applyFont="1" applyFill="1" applyBorder="1" applyAlignment="1">
      <alignment horizontal="center" vertical="center"/>
    </xf>
    <xf numFmtId="0" fontId="7" fillId="2" borderId="11" xfId="1" applyNumberFormat="1" applyFont="1" applyFill="1" applyBorder="1" applyAlignment="1">
      <alignment horizontal="center" vertical="center"/>
    </xf>
    <xf numFmtId="0" fontId="5" fillId="0" borderId="39" xfId="1" applyNumberFormat="1" applyFont="1" applyBorder="1" applyAlignment="1">
      <alignment horizontal="center" vertical="center"/>
    </xf>
    <xf numFmtId="0" fontId="5" fillId="0" borderId="61" xfId="1" applyNumberFormat="1" applyFont="1" applyBorder="1" applyAlignment="1">
      <alignment horizontal="center" vertical="center"/>
    </xf>
    <xf numFmtId="176" fontId="13" fillId="3" borderId="25" xfId="0" applyNumberFormat="1" applyFont="1" applyFill="1" applyBorder="1" applyAlignment="1">
      <alignment horizontal="center" vertical="center"/>
    </xf>
    <xf numFmtId="176" fontId="13" fillId="3" borderId="24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3" borderId="32" xfId="0" applyNumberFormat="1" applyFont="1" applyFill="1" applyBorder="1" applyAlignment="1">
      <alignment horizontal="left" vertical="center"/>
    </xf>
    <xf numFmtId="0" fontId="7" fillId="3" borderId="33" xfId="0" applyNumberFormat="1" applyFont="1" applyFill="1" applyBorder="1" applyAlignment="1">
      <alignment horizontal="left" vertical="center"/>
    </xf>
    <xf numFmtId="0" fontId="7" fillId="3" borderId="34" xfId="0" applyNumberFormat="1" applyFont="1" applyFill="1" applyBorder="1" applyAlignment="1">
      <alignment horizontal="left" vertical="center"/>
    </xf>
    <xf numFmtId="0" fontId="7" fillId="3" borderId="44" xfId="0" applyNumberFormat="1" applyFont="1" applyFill="1" applyBorder="1" applyAlignment="1">
      <alignment horizontal="left" vertical="center"/>
    </xf>
    <xf numFmtId="0" fontId="7" fillId="3" borderId="45" xfId="0" applyNumberFormat="1" applyFont="1" applyFill="1" applyBorder="1" applyAlignment="1">
      <alignment horizontal="left" vertical="center"/>
    </xf>
    <xf numFmtId="0" fontId="7" fillId="3" borderId="11" xfId="0" applyNumberFormat="1" applyFont="1" applyFill="1" applyBorder="1" applyAlignment="1">
      <alignment horizontal="left" vertical="center"/>
    </xf>
    <xf numFmtId="0" fontId="7" fillId="3" borderId="44" xfId="1" applyNumberFormat="1" applyFont="1" applyFill="1" applyBorder="1" applyAlignment="1">
      <alignment horizontal="left" vertical="center"/>
    </xf>
    <xf numFmtId="0" fontId="7" fillId="3" borderId="45" xfId="1" applyNumberFormat="1" applyFont="1" applyFill="1" applyBorder="1" applyAlignment="1">
      <alignment horizontal="left" vertical="center"/>
    </xf>
    <xf numFmtId="0" fontId="7" fillId="3" borderId="11" xfId="1" applyNumberFormat="1" applyFont="1" applyFill="1" applyBorder="1" applyAlignment="1">
      <alignment horizontal="left" vertical="center"/>
    </xf>
    <xf numFmtId="0" fontId="5" fillId="0" borderId="28" xfId="1" applyNumberFormat="1" applyFont="1" applyBorder="1" applyAlignment="1">
      <alignment horizontal="left" vertical="center"/>
    </xf>
    <xf numFmtId="0" fontId="5" fillId="0" borderId="62" xfId="1" applyNumberFormat="1" applyFont="1" applyBorder="1" applyAlignment="1">
      <alignment horizontal="left" vertical="center"/>
    </xf>
    <xf numFmtId="0" fontId="5" fillId="0" borderId="2" xfId="1" applyNumberFormat="1" applyFont="1" applyBorder="1" applyAlignment="1">
      <alignment horizontal="left" vertical="center"/>
    </xf>
    <xf numFmtId="0" fontId="27" fillId="0" borderId="44" xfId="1" applyNumberFormat="1" applyFont="1" applyBorder="1" applyAlignment="1">
      <alignment horizontal="left" vertical="center"/>
    </xf>
    <xf numFmtId="0" fontId="5" fillId="0" borderId="45" xfId="1" applyNumberFormat="1" applyFont="1" applyBorder="1" applyAlignment="1">
      <alignment horizontal="left" vertical="center"/>
    </xf>
    <xf numFmtId="0" fontId="5" fillId="0" borderId="11" xfId="1" applyNumberFormat="1" applyFont="1" applyBorder="1" applyAlignment="1">
      <alignment horizontal="left" vertical="center"/>
    </xf>
    <xf numFmtId="0" fontId="5" fillId="0" borderId="39" xfId="1" applyNumberFormat="1" applyFont="1" applyFill="1" applyBorder="1" applyAlignment="1">
      <alignment horizontal="left" vertical="center"/>
    </xf>
    <xf numFmtId="0" fontId="5" fillId="0" borderId="61" xfId="1" applyNumberFormat="1" applyFont="1" applyFill="1" applyBorder="1" applyAlignment="1">
      <alignment horizontal="left" vertical="center"/>
    </xf>
    <xf numFmtId="0" fontId="5" fillId="0" borderId="7" xfId="1" applyNumberFormat="1" applyFont="1" applyFill="1" applyBorder="1" applyAlignment="1">
      <alignment horizontal="left" vertical="center"/>
    </xf>
  </cellXfs>
  <cellStyles count="7">
    <cellStyle name="백분율" xfId="2" builtinId="5"/>
    <cellStyle name="백분율 2" xfId="5" xr:uid="{8625C502-F5E9-41D7-9C41-3194F861524A}"/>
    <cellStyle name="쉼표 [0]" xfId="1" builtinId="6"/>
    <cellStyle name="쉼표 [0] 2" xfId="4" xr:uid="{FC73C94A-7687-4093-97D5-53339C974F39}"/>
    <cellStyle name="표준" xfId="0" builtinId="0"/>
    <cellStyle name="표준 2" xfId="3" xr:uid="{12E66CD9-5D76-4275-B830-10990989874F}"/>
    <cellStyle name="표준 3" xfId="6" xr:uid="{33931B21-A911-40B0-8E2F-065751187C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66" Type="http://schemas.openxmlformats.org/officeDocument/2006/relationships/externalLink" Target="externalLinks/externalLink64.xml"/><Relationship Id="rId74" Type="http://schemas.openxmlformats.org/officeDocument/2006/relationships/externalLink" Target="externalLinks/externalLink72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cljh\c\EXCEL\&#49688;&#51452;\&#49324;&#50629;&#49457;~1\96\&#49552;&#51061;&#44592;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ikyongsoo\DATA\&#51088;&#47308;&#44160;&#53664;\1&#49324;&#50629;&#49457;&#44160;&#53664;&#51088;&#47308;\&#44053;&#45224;&#44396;&#52397;&#44060;&#48156;\&#51312;&#45804;&#52397;&#48512;&#51648;&#44060;&#48156;\&#49340;&#49457;&#47932;&#49328;\&#49352;&#54028;&#51068;\A&#49373;&#47749;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__&#50640;&#45320;&#51648;&#54952;&#50984;&#54868;(2014~%20)/_&#49688;&#44305;&#48708;%20PJT/&#47588;&#44536;&#45208;&#52841;/__&#49324;&#50629;&#47784;&#45944;&#49688;&#47549;/&#48152;&#46020;&#52404;&#44277;&#51109;%20&#51064;&#44148;&#48708;%20&#49328;&#52636;(20140806)_&#51204;&#47749;&#51068;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9324;&#50629;&#52509;&#44292;\doosan\dscsuper\EXCEL\&#54624;&#47021;&#51060;\&#54840;&#50896;&#46160;&#4932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&#44368;&#48372;&#51613;&#44428;/LOTUS/&#44144;&#51228;&#46020;/&#44144;&#51228;&#4602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95&#54869;&#5122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333;&#44592;&#49892;&#51088;&#4730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436;&#48652;&#50896;&#50689;&#50629;&#44536;&#47353;/2011&#45380;&#46020;/&#54532;&#47196;&#51229;&#53944;&#48324;/&#45800;&#44592;/&#50504;&#52384;&#49688;&#50672;&#44396;&#49548;/&#44204;&#51201;/&#50504;&#52384;&#49688;&#50672;&#44396;&#49548;/&#50504;&amp;&#50144;&#50500;&#51060;&#48708;&#50640;&#49828;&#44204;&#51201;/&#45236;&#47928;&#49436;/&#46041;&#50896;&#50504;&#50577;&#48716;&#46377;/&#49548;&#48169;&#44277;&#49324;/&#50756;&#47308;&#48372;&#44256;&#49436;&#48143;&#44033;&#49436;/&#47928;&#49436;/&#54868;&#50689;&#51060;&#44732;/&#53685;&#54633;/&#49548;&#48169;&#49444;&#48708;&#48372;&#49688;&#44277;&#49324;&#53945;&#44592;&#49884;&#4816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Korea/KCAT/Bid/Samsung%20Heavy/Samsung%20Heavy%20Industry%20Bldg.Inf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688;&#54788;\SharedDocs\Documents%20and%20Settings\&#54620;&#48520;&#50640;&#45320;&#51648;&#44288;&#47532;(&#51452;)\Local%20Settings\Temporary%20Internet%20Files\Content.IE5\HJ7J9XSY\1-1.Prior%20mgmt.%20meeting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KDB%20final%20cash%20flow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4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491;&#20154;&#12501;&#12457;&#12523;&#12480;/T_naito/PM&#29289;&#20214;/&#65319;&#65317;&#65315;&#65330;&#29289;&#20214;/02_&#25552;&#20986;&#24115;&#31080;&#20316;&#25104;/0203&#26376;&#27425;&#25552;&#20986;&#29992;/&#20803;&#12487;&#12540;&#12479;/G-0203_&#35531;&#27714;&#12487;&#12540;&#1247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457;\2001&#45380;\&#48155;&#44592;\&#49552;&#51061;&#48516;&#49437;\'99&#49552;&#51061;\&#44277;&#53685;&#48708;&#51312;&#51221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timumenergy.sharestreet.net/My%20Documents/proposals/GLENDORA/College/861EA100-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2292;&#54861;\&#50868;&#50689;\&#49324;&#50629;&#49548;\&#47196;&#45812;&#53076;&#53440;&#50892;\&#54620;&#44397;&#51473;&#44277;&#50629;&#48372;&#5050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timumenergy.sharestreet.net/EES_SD/0.1%20ESS%20QMS/Operations/Engineering/Energy%20Analysis%20Tools/Quick%20FIM%20Guide%20and%20Tool/Siemens%20Quick%20%20FIM%20Tool_rev1.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2292;&#54861;\&#50868;&#50689;\&#49324;&#50629;&#49548;\&#47196;&#45812;&#53076;&#53440;&#50892;\&#54620;&#44397;&#51473;&#44277;&#50629;&#49884;&#4944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P_Diners/Citi%20Model%200924_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timumenergy.sharestreet.net/Energy%20Services_Southern%20California/Energy%20Projects_Open/611-MQ-2030_PLNU%20Phase%20II/Engineering/Comprehensive%20Energy%20Analysis_CEA/Energy%20Analysis/611-MQ-2030_plnu%20cea%203.8.05%20ej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900;&#49324;/&#49892;&#51201;&#48372;&#44256;/2003&#45380;/backdata/&#47588;&#52636;&#52292;&#44428;&#54924;&#51204;&#51068;&#49688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timumenergy.sharestreet.net/siemens/Siemens_Quick_FIM_Tool_rev1.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sset%20Management/Captive/Business%20Plan/2003%20Business%20plan/Capex/Capital%20Reserve(Office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ete_CA_Valuation%20Form.(NPL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984;\&#52649;&#48513;&#49440;\AAA\My%20Documents\esco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timumenergy.sharestreet.net/My%20Documents/PROPOSALS/SRAMON/ENGINEERING/Final/design0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timumenergy.sharestreet.net/Documents%20and%20Settings/mackako/Local%20Settings/Temporary%20Internet%20Files/Content.Outlook/W8KYAMNO/Optimum%20Energy%20-%2060%20Wall%20-%20Building%20Assessment%20Form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20;&#44221;&#49688;/&#50640;&#45320;&#51648;&#54952;&#50984;&#54868;&#54016;(2014.1~)/&#50640;&#45320;&#51648;/&#50640;&#45320;&#51648;%20&#50868;&#50689;&#54952;&#50984;&#54868;/&#47588;&#44536;&#45208;&#52841;&#48152;&#46020;&#52404;/&#51116;&#47924;&#47784;&#45944;/20141008%205&#45824;%20&#44592;&#51456;%20&#50868;&#50689;&#49688;&#51061;&#47456;/FM-ECD-EE-&#47588;&#44536;&#45208;&#52841;_&#48152;&#46020;&#52404;_&#50640;&#45320;&#51648;&#44288;&#47532;_&#49324;&#50629;_&#49688;&#51061;&#49457;_&#48516;&#49437;-(5&#45824;&#44592;&#51456;)20141010-D1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Local%20Settings/Temporary%20Internet%20Files/Content.IE5/0TYBC9MZ/valuation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436;&#48652;&#50896;&#50689;&#50629;&#44536;&#47353;/2011&#45380;&#46020;/&#54532;&#47196;&#51229;&#53944;&#48324;/&#45800;&#44592;/&#50504;&#52384;&#49688;&#50672;&#44396;&#49548;/&#44204;&#51201;/&#50504;&#52384;&#49688;&#50672;&#44396;&#49548;/&#50504;&amp;&#50144;&#50500;&#51060;&#48708;&#50640;&#49828;&#44204;&#51201;/&#45208;&#49328;&#49828;&#50948;&#53944;&#53440;&#50892;/Documents%20and%20Settings/yjsong/Local%20Settings/Temporary%20Internet%20Files/Content.IE5/8LGHUJWR/Data/&#53216;&#49772;&#47592;/&#47196;&#45812;&#53076;&#54540;&#46972;&#51088;/&#51068;&#49328;%20&#46972;&#54168;&#49828;&#53440;/&#46972;&#54168;&#49828;&#53440;/&#46020;&#44553;&#48708;&#48708;&#44368;&#54364;(12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P_Bella/Bella%20Model%201007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wkim/&#48148;&#53461;%20&#54868;&#47732;/K_1/budget/CONSOL/2004_Budget%20Don_03111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436;&#48652;&#50896;&#50689;&#50629;&#44536;&#47353;/2011&#45380;&#46020;/&#54532;&#47196;&#51229;&#53944;&#48324;/&#45800;&#44592;/&#50504;&#52384;&#49688;&#50672;&#44396;&#49548;/&#44204;&#51201;/&#50504;&#52384;&#49688;&#50672;&#44396;&#49548;/&#50504;&amp;&#50144;&#50500;&#51060;&#48708;&#50640;&#49828;&#44204;&#51201;/&#50504;&#52384;&#49688;&#50672;&#44396;&#49548;&#51333;&#54633;&#44204;&#51201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49437;\C\WINDOWS\9605G\DS-LOAD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24;&#50629;&#51109;\&#47196;&#45812;&#53076;&#53440;&#50892;\&#50900;&#47568;&#48372;&#44256;&#49436;\MJR\&#44277;&#50976;\&#47196;&#45812;&#53076;&#52509;&#44292;&#51228;&#50504;&#44204;&#51201;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984;\&#52649;&#48513;&#49440;\AAA\HLOTUS\9801J\OUT\YE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&#50629;&#47924;/&#49352;%20&#54260;&#45908;/MJR/&#44277;&#50976;/&#54620;&#44397;&#51473;&#44277;&#50629;&#48372;&#50504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688;&#54788;\SharedDocs\Documents%20and%20Settings\koramco\Local%20Settings\Temporary%20Internet%20Files\Content.IE5\K90DMFS5\&#53685;&#54633;FM(&#52264;,&#51088;,&#48372;,F,&#49884;&#51089;&#51068;&#51088;,&#48516;&#44592;&#48320;&#44221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&#49688;&#51452;&#44288;&#44228;/&#44204;&#51201;&#44592;&#48376;&#51088;&#47308;/&#51064;&#44148;&#48708;&#49328;&#52636;/&#49552;&#51061;&#48708;&#4436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s\kaa_lm1\My%20Documents\&#47732;&#51201;&#44288;&#47532;\DAT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0502691634.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4788;&#49437;\&#50900;&#44036;&#48372;&#44256;&#49436;\Windows\Temporary%20Internet%20Files\OLKB355\&#49324;&#50629;&#51109;\&#47196;&#45812;&#53076;&#53440;&#50892;\&#50900;&#47568;&#48372;&#44256;&#49436;\MJR\&#44277;&#50976;\&#54620;&#44397;&#51473;&#44277;&#50629;&#49884;&#49444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etservice\Asset%20Service%20Database%20(E)\Korea\KCAT\Bid\Samsung%20Heavy\Samsung%20Heavy%20Industry%20Bldg.Info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pancorpge\cref\My%20Documents\test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1060;&#47749;&#49689;/My%20Documents/&#54924;&#44228;&#51088;&#47308;/Tenant%20Invoice/New%20Tenant%20Invoice_May%206,0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05%20&#50629;&#47924;/&#9632;_&#50868;&#50689;&#54952;&#50984;&#54868;TF(%6015)/PJT/&#50741;&#54000;&#47688;%20&#50640;&#45320;&#51648;/&#44592;&#51316;%20&#49688;&#47161;&#51088;&#47308;(&#44608;&#45824;&#50676;K)/LGD%20&#44160;&#53664;/LGD%20P23/DMS%20-%20SFA-E%20LG%20Display%20P2%20and%20P3%20LOOP%206-1-11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436;&#48652;&#50896;&#50689;&#50629;&#44536;&#47353;/2011&#45380;&#46020;/&#54532;&#47196;&#51229;&#53944;&#48324;/&#45800;&#44592;/&#50504;&#52384;&#49688;&#50672;&#44396;&#49548;/&#44204;&#51201;/&#50504;&#52384;&#49688;&#50672;&#44396;&#49548;/&#50504;&amp;&#50144;&#50500;&#51060;&#48708;&#50640;&#49828;&#44204;&#51201;/Documents%20and%20Settings/user/My%20Documents/2005&#45380;&#46020;/&#46020;&#44553;/&#46041;&#50896;&#51613;&#44428;/&#48512;&#46041;&#49328;%20&#50868;&#50689;&#54788;&#54889;(39&#44592;)/1&#50900;&#48512;&#46041;&#49328;&#50868;&#50689;&#54788;&#54889;(050216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51652;&#49457;\EC\My%20Documents\&#49324;&#50629;&#44228;&#54925;(&#44221;&#50689;&#44592;&#54925;-&#51665;&#44228;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P&#12489;&#12521;&#12452;&#12502;&#65288;&#12499;&#12523;&#12510;&#12493;&#65289;/&#26412;&#31038;/&#12499;&#12523;&#12510;&#12493;/&#20107;&#21209;&#21729;/&#31649;&#29702;&#38306;&#20418;/&#65420;&#65439;&#65435;&#65418;&#65439;&#65411;&#65384;/G&#65317;/&#35531;&#27714;&#38306;&#20418;/&#35531;&#27714;&#12522;&#12473;&#12488;/8&#26376;5&#26085;&#22577;&#21578;&#65288;7&#26376;&#20998;&#65289;/7&#26376;&#35531;&#27714;&#26360;&#20998;%2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641;&#49472;\&#45824;&#44288;\2000&#45380;&#45824;&#44288;\&#44592;&#49457;\&#50641;&#49472;\&#44277;&#49324;\99'%20&#45236;&#50669;(&#48149;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984;\&#52649;&#48513;&#49440;\AAA\HLOTUS\9801J\IL-3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436;&#48652;&#50896;&#50689;&#50629;&#44536;&#47353;/2011&#45380;&#46020;/&#54532;&#47196;&#51229;&#53944;&#48324;/&#45800;&#44592;/&#50504;&#52384;&#49688;&#50672;&#44396;&#49548;/&#44204;&#51201;/&#50504;&#52384;&#49688;&#50672;&#44396;&#49548;/&#50504;&amp;&#50144;&#50500;&#51060;&#48708;&#50640;&#49828;&#44204;&#51201;/&#45236;&#47928;&#49436;/&#46041;&#50896;&#50504;&#50577;&#48716;&#46377;/&#49548;&#48169;&#44277;&#49324;/&#50756;&#47308;&#48372;&#44256;&#49436;&#48143;&#44033;&#49436;/&#45824;&#51204;/&#47928;&#49436;/&#54868;&#50689;&#51060;&#44732;/&#53685;&#54633;/&#49548;&#48169;&#49444;&#48708;&#48372;&#49688;&#44277;&#49324;&#53945;&#44592;&#49884;&#48169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one-81b7c3\&#49888;%20&#50669;&#51204;&#44592;&#49696;%20(e)\My%20Documents\&#44368;&#48372;&#51613;&#44428;\LOTUS\&#44144;&#51228;&#46020;\&#44144;&#51228;&#46020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473;&#51109;&#44592;&#44228;&#54925;/2004P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2\Am_team\Windows\Temporary%20Internet%20Files\OLKB355\&#49324;&#50629;&#51109;\&#47196;&#45812;&#53076;&#53440;&#50892;\&#50900;&#47568;&#48372;&#44256;&#49436;\MJR\&#44277;&#50976;\&#47196;&#45812;&#53076;&#52509;&#44292;&#51228;&#50504;&#44204;&#51201;3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436;&#48652;&#50896;&#50689;&#50629;&#44536;&#47353;/2011&#45380;&#46020;/&#54532;&#47196;&#51229;&#53944;&#48324;/&#45800;&#44592;/&#50504;&#52384;&#49688;&#50672;&#44396;&#49548;/&#44204;&#51201;/&#50504;&#52384;&#49688;&#50672;&#44396;&#49548;/&#50504;&amp;&#50144;&#50500;&#51060;&#48708;&#50640;&#49828;&#44204;&#51201;/&#45236;&#47928;&#49436;/&#46041;&#50896;&#50504;&#50577;&#48716;&#46377;/&#49548;&#48169;&#44277;&#49324;/&#50756;&#47308;&#48372;&#44256;&#49436;&#48143;&#44033;&#49436;/&#50668;&#51032;&#46020;/&#47928;&#49436;/&#54868;&#50689;&#51060;&#44732;/&#53685;&#54633;/&#49548;&#48169;&#49444;&#48708;&#48372;&#49688;&#44277;&#49324;&#53945;&#44592;&#49884;&#48169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8&#22793;&#21063;&#36939;&#29992;/14&#65403;&#65437;&#65411;&#65431;&#65405;&#20195;&#12293;&#26408;&#19978;&#21407;/&#20195;&#12293;&#26408;&#19978;&#21407;Report030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Korea/KCAT/Bid/My%20Documents/&#50641;&#49324;&#47784;%20&#49368;&#54540;%20&#54028;&#51068;/&#50045;&#50864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s\KAA_AA\Documents%20and%20Settings\koramco\My%20Documents\My%20Works\Accouting\Budget\Budget&#51012;%20&#50948;&#54620;%20SAC&#49324;&#50629;&#48516;&#49437;-%20&#51089;&#50629;&#51473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7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8124;\&#44277;&#50976;&#49892;\CM\99\&#51089;&#49457;&#51204;&#51228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28;&#50504;&#49436;/&#51008;&#49437;&#48716;&#46377;/&#47196;&#45812;&#53076;&#52509;&#44292;&#51228;&#50504;&#44204;&#51201;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ricky/LOCALS~1/Temp/notesFFF692/Documents%20and%20Settings/&#45236;&#52980;a/Local%20Settings/Temporary%20Internet%20Files/Content.IE5/QTT2NY90/&#53685;&#54633;&#50696;&#49328;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457;\2001&#45380;\&#48155;&#44592;\&#49352;&#52380;&#45380;%20&#49324;&#50629;&#44228;&#54925;\&#49324;&#45236;&#47588;&#51077;,&#47588;&#52636;\&#49324;&#45236;&#47588;&#51077;,&#47588;&#52636;\&#52572;&#51333;&#49324;&#45236;&#47588;&#51077;,&#47588;&#52636;\CM\99\&#51089;&#49457;&#51204;&#51228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RM&#21942;&#26989;&#37096;/Monthly_Report(GECR&#26696;&#65289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3.hanmir.com/Windows/Temporary%20Internet%20Files/OLKB355/&#49324;&#50629;&#51109;/&#47196;&#45812;&#53076;&#53440;&#50892;/&#50900;&#47568;&#48372;&#44256;&#49436;/MJR/&#44277;&#50976;/&#47196;&#45812;&#53076;&#52509;&#44292;&#51228;&#50504;&#44204;&#51201;3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473;&#51109;&#44592;&#44228;&#54925;/&#51204;&#49324;&#50836;&#50557;PL-&#52572;&#51333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Month+Sheet2!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&#54620;&#48520;&#50640;&#45320;&#51648;\Local%20Settings\Temporary%20Internet%20Files\Content.IE5\073BQ0PX\Windows\Temporary%20Internet%20Files\OLKB355\&#49324;&#50629;&#51109;\&#47196;&#45812;&#53076;&#53440;&#50892;\&#50900;&#47568;&#48372;&#44256;&#49436;\MJR\&#44277;&#50976;\&#54620;&#44397;&#51473;&#44277;&#50629;&#49884;&#4944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&#54620;&#48520;&#50640;&#45320;&#51648;\Local%20Settings\Temporary%20Internet%20Files\Content.IE5\073BQ0PX\Windows\Temporary%20Internet%20Files\OLKB355\&#49324;&#50629;&#51109;\&#47196;&#45812;&#53076;&#53440;&#50892;\&#50900;&#47568;&#48372;&#44256;&#49436;\MJR\&#44277;&#50976;\&#54620;&#44397;&#51473;&#44277;&#50629;&#48372;&#50504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4592;&#48276;\c\Documents%20and%20Settings\koramco\My%20Documents\My%20Works\Accouting\Budget\Budget&#51012;%20&#50948;&#54620;%20SAC&#49324;&#50629;&#48516;&#49437;-%20&#51089;&#50629;&#51473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436;&#48652;&#50896;&#50689;&#50629;&#44536;&#47353;/2011&#45380;&#46020;/&#54532;&#47196;&#51229;&#53944;&#48324;/&#45800;&#44592;/&#50504;&#52384;&#49688;&#50672;&#44396;&#49548;/&#44204;&#51201;/&#50504;&#52384;&#49688;&#50672;&#44396;&#49548;/&#50504;&amp;&#50144;&#50500;&#51060;&#48708;&#50640;&#49828;&#44204;&#51201;/&#51228;&#50504;/2006/12&#50900;/12&#50900;%20&#49888;&#54620;&#50640;&#46356;&#54588;&#49828;/&#51228;&#50504;/2006/12&#50900;/12&#50900;%20&#53468;&#49437;&#48716;&#46377;/&#51228;&#50504;/2006/11&#50900;%20&#54620;&#46021;&#48716;&#46377;/&#52572;&#51333;/10&#50900;%20LG&#50640;&#53364;&#46972;&#53944;/&#51228;&#50504;/2006/7&#50900;%20&#44148;&#44397;&#45824;&#54617;&#44368;%20&#48124;&#51088;%20&#44592;&#49689;&#49324;/7&#50900;%20&#45824;&#50896;&#48716;&#46377;/&#51228;&#50504;/2006/5&#50900;%20&#54665;&#48373;&#54620;&#49464;&#49345;/&#54028;&#53944;&#48324;&#44204;&#51201;&#49436;/&#54665;&#48373;&#54620;&#49464;&#49345;&#51452;&#5226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노임이"/>
      <sheetName val="노무비"/>
      <sheetName val="공통가설"/>
      <sheetName val="C-A(취합)파리"/>
      <sheetName val="첨부1"/>
      <sheetName val="시멘트"/>
      <sheetName val="ADR"/>
      <sheetName val="A4288"/>
      <sheetName val="간접"/>
      <sheetName val="집계표"/>
      <sheetName val="손익분석"/>
      <sheetName val="수입"/>
      <sheetName val="관로내역원"/>
      <sheetName val="손익"/>
      <sheetName val="현금흐름"/>
      <sheetName val="SUMMARY"/>
      <sheetName val="PAINT"/>
      <sheetName val="CTEMCOST"/>
      <sheetName val="ELECTRIC"/>
      <sheetName val="자바라1"/>
      <sheetName val="SG"/>
      <sheetName val="COL"/>
      <sheetName val="수정시산표"/>
      <sheetName val="주택"/>
      <sheetName val="주택(백만원)"/>
      <sheetName val="손익기01"/>
      <sheetName val="Sheet1"/>
      <sheetName val="동선(을)"/>
      <sheetName val="신공항A-9(원가수정)"/>
      <sheetName val="KUNGDEVI"/>
      <sheetName val="전계가"/>
      <sheetName val="예가표"/>
      <sheetName val="원가계산서"/>
      <sheetName val="금액내역서"/>
      <sheetName val="인사자료총집계"/>
      <sheetName val="그래프"/>
      <sheetName val="GDP"/>
      <sheetName val="5Traffic1"/>
      <sheetName val="부문인원3"/>
      <sheetName val="설계내역서"/>
      <sheetName val="공사개요"/>
      <sheetName val="실행내역"/>
      <sheetName val="내역"/>
      <sheetName val="금융비용"/>
      <sheetName val="공통비총괄표"/>
      <sheetName val="기계경비(시간당)"/>
      <sheetName val="램머"/>
      <sheetName val="호프"/>
      <sheetName val="현장관리비"/>
      <sheetName val="수주현황2월"/>
      <sheetName val="산근"/>
      <sheetName val="여흥"/>
      <sheetName val="감독1130"/>
      <sheetName val="APT"/>
      <sheetName val="b_balju (2)"/>
      <sheetName val="b_gunmul"/>
      <sheetName val="  한국 AMP ASP-23 판매가격  "/>
      <sheetName val="금융"/>
      <sheetName val="결재인"/>
      <sheetName val="변경실행(2차) "/>
      <sheetName val="CC Down load 0716"/>
      <sheetName val="화물2팀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단가"/>
      <sheetName val="나.출고"/>
      <sheetName val="나.입고"/>
      <sheetName val="8월차잔"/>
      <sheetName val="유동성사채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공사비집계"/>
      <sheetName val="SCHEDULE"/>
      <sheetName val="ABUT수량-A1"/>
      <sheetName val="갑지(추정)"/>
      <sheetName val="견적의뢰"/>
      <sheetName val="화의-현금흐름"/>
      <sheetName val="#REF"/>
      <sheetName val="유림골조"/>
      <sheetName val="기본DATA"/>
      <sheetName val="추가예산"/>
      <sheetName val="노임단가"/>
      <sheetName val="982월원안"/>
      <sheetName val="내역서"/>
      <sheetName val="TR제작사양"/>
      <sheetName val="실행철강하도"/>
      <sheetName val="재료"/>
      <sheetName val="Training"/>
      <sheetName val="Facility Information"/>
      <sheetName val="General"/>
      <sheetName val="Instructions"/>
      <sheetName val="People"/>
      <sheetName val="Quality"/>
      <sheetName val="Risk"/>
      <sheetName val="주차"/>
      <sheetName val="인원계획-미화"/>
      <sheetName val="시산표(매출조정전)"/>
      <sheetName val="요약"/>
      <sheetName val="감가상각"/>
      <sheetName val="Prices"/>
      <sheetName val="6PILE  (돌출)"/>
      <sheetName val="JUCKEYK"/>
      <sheetName val="기성청구 공문"/>
      <sheetName val="IW-LIST"/>
      <sheetName val="장기대여금1"/>
      <sheetName val="SO416"/>
      <sheetName val="개발비자산성검토"/>
      <sheetName val="가공MH"/>
      <sheetName val="08년(Form1)"/>
      <sheetName val="익월수주전망"/>
      <sheetName val="입찰내역서"/>
      <sheetName val="지점장"/>
      <sheetName val="부서코드표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Variables"/>
      <sheetName val="제조원가 원단위 분석"/>
      <sheetName val="종합표양식(품의 &amp; 입고)_2"/>
      <sheetName val="상각스케쥴(조정)"/>
      <sheetName val="원가관리 (동월대비)"/>
      <sheetName val="45,46"/>
      <sheetName val="방배동내역(리라)"/>
      <sheetName val="총괄내역서"/>
      <sheetName val="DATA"/>
      <sheetName val="실적공사"/>
      <sheetName val="업무처리전"/>
      <sheetName val="980731"/>
      <sheetName val="광곡세부내역"/>
      <sheetName val="2연암거"/>
      <sheetName val="경사수로집계표"/>
      <sheetName val="경사수로"/>
      <sheetName val="진입교량"/>
      <sheetName val="S&amp;R"/>
      <sheetName val="93"/>
      <sheetName val="2-2.매출분석"/>
      <sheetName val="중기조종사 단위단가"/>
      <sheetName val="완제품3"/>
      <sheetName val="영동(D)"/>
      <sheetName val="비가동-20"/>
      <sheetName val="손익현황"/>
      <sheetName val="현황CODE"/>
      <sheetName val="SIL98"/>
      <sheetName val="예정(3)"/>
      <sheetName val="동원(3)"/>
      <sheetName val="시산표"/>
      <sheetName val="A"/>
      <sheetName val="역T형"/>
      <sheetName val="Sheet13"/>
      <sheetName val="Sheet14"/>
      <sheetName val="woo(mac)"/>
      <sheetName val="MIBK원단위"/>
      <sheetName val="RECIMAKE"/>
      <sheetName val="Proposal"/>
      <sheetName val="일위대가표"/>
      <sheetName val="MIJIBI"/>
      <sheetName val="Total"/>
      <sheetName val="XZLC004_PART2"/>
      <sheetName val="XZLC003_PART1"/>
      <sheetName val="토목검측서"/>
      <sheetName val="A-100전제"/>
      <sheetName val="몰드시스템 리스트"/>
      <sheetName val="정비손익"/>
      <sheetName val="200"/>
      <sheetName val="Calen"/>
      <sheetName val="Borrower"/>
      <sheetName val="7 (2)"/>
      <sheetName val="원가(통신)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단가산출"/>
      <sheetName val="Sheet1 (2)"/>
      <sheetName val="공통부대관리"/>
      <sheetName val="표지"/>
      <sheetName val="설비원가"/>
      <sheetName val="회사정보"/>
      <sheetName val="A-4"/>
      <sheetName val="물량표"/>
      <sheetName val="表21 净利润调节表"/>
      <sheetName val="점수계산1-2"/>
      <sheetName val="SM1-09"/>
      <sheetName val="SM2-09"/>
      <sheetName val="BD-09"/>
      <sheetName val="CAUDIT"/>
      <sheetName val="조명시설"/>
      <sheetName val="원가계산하도"/>
      <sheetName val="총내역서"/>
      <sheetName val="2.총괄표"/>
      <sheetName val="일위대가"/>
      <sheetName val="LinerWt"/>
      <sheetName val="37개월"/>
      <sheetName val="주형"/>
      <sheetName val="sum1 (2)"/>
      <sheetName val="적격"/>
      <sheetName val="RE9604"/>
      <sheetName val="평가제외"/>
      <sheetName val="하수급견적대비"/>
      <sheetName val="12년 CF(9월)"/>
      <sheetName val="13월별BS"/>
      <sheetName val="집행내역"/>
      <sheetName val="양식3"/>
      <sheetName val="97년추정손익계산서"/>
      <sheetName val="대비표"/>
      <sheetName val="골조시행"/>
      <sheetName val="업무연락"/>
      <sheetName val="Ethylene"/>
      <sheetName val="월별매출"/>
      <sheetName val="ChlorAlkali"/>
      <sheetName val="VXXXXXXX"/>
      <sheetName val="월별수입"/>
      <sheetName val="차수"/>
      <sheetName val="담보"/>
      <sheetName val="1유리"/>
      <sheetName val="예적금"/>
      <sheetName val="월별손익"/>
      <sheetName val="매출"/>
      <sheetName val="퇴충"/>
      <sheetName val="Utility Usage YTN TOWER"/>
      <sheetName val="Data Validation"/>
      <sheetName val="118.세금과공과"/>
      <sheetName val="수선비"/>
      <sheetName val="재고현황"/>
      <sheetName val="발행제기"/>
      <sheetName val="2.대외공문"/>
      <sheetName val="BEST"/>
      <sheetName val="통장출금액"/>
      <sheetName val="카메라"/>
      <sheetName val="미드수량"/>
      <sheetName val="참조"/>
      <sheetName val="DATE"/>
      <sheetName val="실적"/>
      <sheetName val="단가표"/>
      <sheetName val="물량표(신)"/>
      <sheetName val="대공종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부하계산서"/>
      <sheetName val="자재단가"/>
      <sheetName val="3.바닥판설계"/>
      <sheetName val="504전기실 동부하-L"/>
      <sheetName val="Sheet15"/>
      <sheetName val="Sheet9"/>
      <sheetName val="DUT-BAT1"/>
      <sheetName val="적용건축"/>
      <sheetName val="감가상각비"/>
      <sheetName val="양식(직판용)"/>
      <sheetName val="部署名"/>
      <sheetName val="車両別燃費及び油類単価"/>
      <sheetName val="1_종합손익(도급)1"/>
      <sheetName val="slipsumpR"/>
      <sheetName val="推移グラフ"/>
      <sheetName val="참조시트"/>
      <sheetName val="BAND(200)"/>
      <sheetName val="OUTER AREA(겹침없음)"/>
      <sheetName val="EG-09"/>
      <sheetName val="M3산출"/>
      <sheetName val="EL 표면적"/>
      <sheetName val="현장지지물물량"/>
      <sheetName val="FAB"/>
      <sheetName val="Year"/>
      <sheetName val="조정내역"/>
      <sheetName val="CF6"/>
      <sheetName val="P.M 별"/>
      <sheetName val="FRQ"/>
      <sheetName val="기준"/>
      <sheetName val="공정"/>
      <sheetName val="요약PL"/>
      <sheetName val="교각계산"/>
      <sheetName val="세부내역서"/>
      <sheetName val="D-623D"/>
      <sheetName val="BQMPALOC"/>
      <sheetName val="조경"/>
      <sheetName val="TRE TABLE"/>
      <sheetName val="C3"/>
      <sheetName val="입찰보고"/>
      <sheetName val="공통비(전체)"/>
      <sheetName val="토목공사"/>
      <sheetName val="새공통(96임금인상기준)"/>
      <sheetName val="비교1"/>
      <sheetName val="유림총괄"/>
      <sheetName val="산출근거"/>
      <sheetName val="일위(토목)"/>
      <sheetName val="품셈TABLE"/>
      <sheetName val="슬래브"/>
      <sheetName val="품셈표"/>
      <sheetName val="갑근세납세필증명원"/>
      <sheetName val="주현(해보)"/>
      <sheetName val="주현(영광)"/>
      <sheetName val="_x0018__x0000_"/>
      <sheetName val=""/>
      <sheetName val="입출재고현황 (2)"/>
      <sheetName val="0001new"/>
      <sheetName val="단가(반정3교-원주)"/>
      <sheetName val="월별예산"/>
      <sheetName val="입찰내역 발주처 양식"/>
      <sheetName val="실행간접비용"/>
      <sheetName val="설계명세서"/>
      <sheetName val="전신환매도율"/>
      <sheetName val="경비"/>
      <sheetName val="CC16-내역서"/>
      <sheetName val="Y-WORK"/>
      <sheetName val="건축내역"/>
      <sheetName val="공사비예산서(토목분)"/>
      <sheetName val="0101시산표"/>
      <sheetName val="oct"/>
      <sheetName val="sep"/>
      <sheetName val="미지급금"/>
      <sheetName val="선급금"/>
      <sheetName val="선수금"/>
      <sheetName val="aug"/>
      <sheetName val="단기차입금"/>
      <sheetName val="외화보통예금"/>
      <sheetName val="외회외상매입금"/>
      <sheetName val="외화외상매출금"/>
      <sheetName val="장기차입금"/>
      <sheetName val="부속동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__한국_AMP_ASP-23_판매가격__"/>
      <sheetName val="b_balju_(2)"/>
      <sheetName val="Facility_Information"/>
      <sheetName val="제조원가_원단위_분석"/>
      <sheetName val="종합표양식(품의_&amp;_입고)_2"/>
      <sheetName val="원가관리_(동월대비)"/>
      <sheetName val="2-2_매출분석"/>
      <sheetName val="6PILE__(돌출)"/>
      <sheetName val="중기조종사_단위단가"/>
      <sheetName val="몰드시스템_리스트"/>
      <sheetName val="7_(2)"/>
      <sheetName val="11_외화채무증권(AFS,HTM)08"/>
      <sheetName val="13_감액TEST_08"/>
      <sheetName val="Sheet1_(2)"/>
      <sheetName val="表21_净利润调节表"/>
      <sheetName val="일위대가(계측기설치)"/>
      <sheetName val="설산1.나"/>
      <sheetName val="본사S"/>
      <sheetName val="목록"/>
      <sheetName val="중기"/>
      <sheetName val="연돌일위집계"/>
      <sheetName val="原価センタ"/>
      <sheetName val="수지"/>
      <sheetName val="국내총괄"/>
      <sheetName val="특판제외"/>
      <sheetName val="건축공사실행"/>
      <sheetName val="건축원가"/>
      <sheetName val="5사남"/>
      <sheetName val="020114"/>
      <sheetName val="0111월"/>
      <sheetName val="Sheet4"/>
      <sheetName val="주행"/>
      <sheetName val="1_종합손익(도급)2"/>
      <sheetName val="변경실행(2차)_1"/>
      <sheetName val="CC_Down_load_07161"/>
      <sheetName val="나_출고1"/>
      <sheetName val="나_입고1"/>
      <sheetName val="09년_인건비(속리산)1"/>
      <sheetName val="합산목표(감가+57_5)1"/>
      <sheetName val="12년_CF(9월)"/>
      <sheetName val="기성청구_공문1"/>
      <sheetName val="2_대외공문"/>
      <sheetName val="sum1_(2)"/>
      <sheetName val="3_바닥판설계"/>
      <sheetName val="504전기실_동부하-L"/>
      <sheetName val="2_총괄표"/>
      <sheetName val="OUTER_AREA(겹침없음)"/>
      <sheetName val="EL_표면적"/>
      <sheetName val="KAM설비"/>
      <sheetName val="Back Data 1"/>
      <sheetName val="1. 작성방식"/>
      <sheetName val="신공"/>
      <sheetName val="Project Brief"/>
      <sheetName val="INPUT"/>
      <sheetName val="2.주요계수총괄"/>
      <sheetName val="현금"/>
      <sheetName val="자금추ȕ"/>
      <sheetName val="찍기"/>
      <sheetName val="단가일람"/>
      <sheetName val="단위량당중기"/>
      <sheetName val="수량집계표(舊)"/>
      <sheetName val="단면 (2)"/>
      <sheetName val="한강운반비"/>
      <sheetName val="05년말(건재)"/>
      <sheetName val="동절기투입(자재)"/>
      <sheetName val="부대공"/>
      <sheetName val="GAEYO"/>
      <sheetName val="22철거수량"/>
      <sheetName val="합천내역"/>
      <sheetName val="전기단가조사서"/>
      <sheetName val="MEMORY"/>
      <sheetName val="물량표S"/>
      <sheetName val="내역표지"/>
      <sheetName val="원가서"/>
      <sheetName val="공사비증감"/>
      <sheetName val="자금운용계획표"/>
      <sheetName val="cp-e1"/>
      <sheetName val="일위(PN)"/>
      <sheetName val="1.본사계정별"/>
      <sheetName val="YES-T"/>
      <sheetName val="변동인원"/>
      <sheetName val="1_종합손익(도급)3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변경실행(2차)_2"/>
      <sheetName val="CC_Down_load_07162"/>
      <sheetName val="나_출고2"/>
      <sheetName val="나_입고2"/>
      <sheetName val="09년_인건비(속리산)2"/>
      <sheetName val="합산목표(감가+57_5)2"/>
      <sheetName val="__한국_AMP_ASP-23_판매가격__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7_(2)1"/>
      <sheetName val="12년_CF(9월)1"/>
      <sheetName val="중기조종사_단위단가1"/>
      <sheetName val="6PILE__(돌출)1"/>
      <sheetName val="기성청구_공문2"/>
      <sheetName val="Sheet1_(2)1"/>
      <sheetName val="2_대외공문1"/>
      <sheetName val="表21_净利润调节表1"/>
      <sheetName val="sum1_(2)1"/>
      <sheetName val="3_바닥판설계1"/>
      <sheetName val="504전기실_동부하-L1"/>
      <sheetName val="전도품의"/>
      <sheetName val="음료실행"/>
      <sheetName val="내역(한신APT)"/>
      <sheetName val="철골공사"/>
      <sheetName val="구성비"/>
      <sheetName val="분전함신설"/>
      <sheetName val="접지1종"/>
      <sheetName val="Sheet5"/>
      <sheetName val="설계명세서(선로)"/>
      <sheetName val="정부노임단가"/>
      <sheetName val="P-산#1-1(WOWA1)"/>
      <sheetName val="PIPE"/>
      <sheetName val="FLANGE"/>
      <sheetName val="VALVE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01_02월_성과급"/>
      <sheetName val="Process List"/>
      <sheetName val="설비등록목록"/>
      <sheetName val="생산직"/>
      <sheetName val="집계확인"/>
      <sheetName val="Sheet11"/>
      <sheetName val="PVM#10"/>
      <sheetName val="재공품"/>
      <sheetName val="제시 손익계산서"/>
      <sheetName val="제시PL(최종)"/>
      <sheetName val="업무연락 (2)"/>
      <sheetName val="제시대차대조표"/>
      <sheetName val="M_7회차 담금_계획"/>
      <sheetName val="통합손익(TGIF)"/>
      <sheetName val="통합손익"/>
      <sheetName val="저속"/>
      <sheetName val="01.02월 성과급"/>
      <sheetName val="발생집계"/>
      <sheetName val="96PAYC"/>
      <sheetName val="뒤차축소"/>
      <sheetName val="09~10년 매출계획"/>
      <sheetName val="??"/>
      <sheetName val="97 사업추정(WEKI)"/>
      <sheetName val="Sound9월"/>
      <sheetName val="_x005f_x0000__x005f_x0000_"/>
      <sheetName val="96월별PL"/>
      <sheetName val="팀별 실적"/>
      <sheetName val="팀별 실적 (환산)"/>
      <sheetName val="손익(11)_수출포함"/>
      <sheetName val="예산대실적"/>
      <sheetName val="품종별월계"/>
      <sheetName val="출입자명단"/>
      <sheetName val="989월실행"/>
      <sheetName val="환산TB"/>
      <sheetName val="6월 공정외주"/>
      <sheetName val="공정단가계약"/>
      <sheetName val="병"/>
      <sheetName val="64061000"/>
      <sheetName val="钢板差异"/>
      <sheetName val="시험연구비상각"/>
      <sheetName val="외화"/>
      <sheetName val="Tong hop"/>
      <sheetName val="MarketData"/>
      <sheetName val="Definitions"/>
      <sheetName val="95.1.1이후취득자산(숨기기상태)"/>
      <sheetName val="RV미수수익보정"/>
      <sheetName val="불균등-거치외(미수)"/>
      <sheetName val="불균등-TOP(선수)"/>
      <sheetName val="법인구분"/>
      <sheetName val="기초코드"/>
      <sheetName val="1.MDF1공장"/>
      <sheetName val="제1호"/>
      <sheetName val="차액보증"/>
      <sheetName val="공사내역"/>
      <sheetName val="1. 시공측량"/>
      <sheetName val="_x005f_x0018__x005f_x0000_"/>
      <sheetName val="자재목록"/>
      <sheetName val="BOX-1510"/>
      <sheetName val="경비2내역"/>
      <sheetName val="2_총괄표1"/>
      <sheetName val="OUTER_AREA(겹침없음)1"/>
      <sheetName val="EL_표면적1"/>
      <sheetName val="P_M_별"/>
      <sheetName val="근거 및 가정"/>
      <sheetName val="2 카드채권(대출포함)"/>
      <sheetName val="터파기및재료"/>
      <sheetName val="시화점실행"/>
      <sheetName val="품목"/>
      <sheetName val="FB25JN"/>
      <sheetName val="도"/>
      <sheetName val="의정부문예회관변경내역"/>
      <sheetName val="건축2"/>
      <sheetName val="직재"/>
      <sheetName val="PAD TR보호대기초"/>
      <sheetName val="HANDHOLE(2)"/>
      <sheetName val="가로등기초"/>
      <sheetName val="상가지급현황"/>
      <sheetName val="3본사"/>
      <sheetName val="98지급계획"/>
      <sheetName val="기초"/>
      <sheetName val="재무상태표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15년"/>
      <sheetName val="16년"/>
      <sheetName val="총괄표"/>
      <sheetName val="수종별수량 (2)"/>
      <sheetName val="구간별수량"/>
      <sheetName val="설치원가"/>
      <sheetName val="_x0018_?"/>
      <sheetName val="코드"/>
      <sheetName val="본문"/>
      <sheetName val="95하U$가격"/>
      <sheetName val="위탁매매_1103"/>
      <sheetName val="자기매매_1103"/>
      <sheetName val="위탁매매_1109"/>
      <sheetName val="자기매매_1109"/>
      <sheetName val="_x005f_x0018_"/>
      <sheetName val="1.차입금"/>
      <sheetName val="choose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8"/>
      <sheetName val="ETC"/>
      <sheetName val="3.6.2남양주택배"/>
      <sheetName val="Manual"/>
      <sheetName val="__"/>
      <sheetName val="선급비용"/>
      <sheetName val="입찰내역_발주처_양식"/>
      <sheetName val="Data_Validation"/>
      <sheetName val="품목코드표"/>
      <sheetName val="해외 기술훈련비 (합계)"/>
      <sheetName val="접대비"/>
      <sheetName val="Bond"/>
      <sheetName val="최소가치(간편)-회계"/>
      <sheetName val="회사제시"/>
      <sheetName val="Master"/>
      <sheetName val="Macro1"/>
      <sheetName val="설문 평가"/>
      <sheetName val="sheet6"/>
      <sheetName val="약품공급2"/>
      <sheetName val="인수기간별S"/>
      <sheetName val="본부유지율"/>
      <sheetName val="4-2물건누계"/>
      <sheetName val="자동차추정자료"/>
      <sheetName val="손해감소유형"/>
      <sheetName val="7"/>
      <sheetName val=" 견적서"/>
      <sheetName val="수량산출"/>
      <sheetName val="전선 및 전선관"/>
      <sheetName val="항목"/>
      <sheetName val="슬래԰"/>
      <sheetName val="슬래"/>
      <sheetName val="슬래렀"/>
      <sheetName val="슬래㰀"/>
      <sheetName val="슬래밀"/>
      <sheetName val="1월 예산"/>
      <sheetName val="슬래　"/>
      <sheetName val="슬래尀"/>
      <sheetName val="슬래⠀"/>
      <sheetName val="특외대"/>
      <sheetName val="슬래"/>
      <sheetName val="슬래堌"/>
      <sheetName val="슬래䰀"/>
      <sheetName val="11월"/>
      <sheetName val="슬래퀀"/>
      <sheetName val="슬래簀"/>
      <sheetName val="슬래瀀"/>
      <sheetName val="BD%_70s"/>
      <sheetName val="슬래鰀"/>
      <sheetName val="슬래뀀"/>
      <sheetName val="#1) 투자 구분"/>
      <sheetName val="전체철근집계"/>
      <sheetName val="명단원자료(이전)"/>
      <sheetName val="RAW"/>
      <sheetName val="노동부"/>
      <sheetName val="감액총괄표"/>
      <sheetName val="9GNG운반"/>
      <sheetName val="납부내역총괄표 (수정)"/>
      <sheetName val="배수공"/>
      <sheetName val="125PIECE"/>
      <sheetName val="부서별집계표"/>
      <sheetName val="금년실적"/>
      <sheetName val="원본"/>
      <sheetName val="B-1.기본정보"/>
      <sheetName val="소총괄표"/>
      <sheetName val="아파트연면적비율(참고1)"/>
      <sheetName val="연습"/>
      <sheetName val="기초정보"/>
      <sheetName val="1_종합손익(도급)4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b_balju_(2)2"/>
      <sheetName val="__한국_AMP_ASP-23_판매가격__2"/>
      <sheetName val="중기조종사_단위단가2"/>
      <sheetName val="6PILE__(돌출)2"/>
      <sheetName val="기성청구_공문3"/>
      <sheetName val="2_주요계수총괄"/>
      <sheetName val="제조원가_원단위_분석2"/>
      <sheetName val="종합표양식(품의_&amp;_입고)_22"/>
      <sheetName val="원가관리_(동월대비)2"/>
      <sheetName val="7_(2)2"/>
      <sheetName val="2-2_매출분석2"/>
      <sheetName val="몰드시스템_리스트2"/>
      <sheetName val="sum1_(2)2"/>
      <sheetName val="11_외화채무증권(AFS,HTM)082"/>
      <sheetName val="13_감액TEST_082"/>
      <sheetName val="Sheet1_(2)2"/>
      <sheetName val="3_바닥판설계2"/>
      <sheetName val="2_총괄표2"/>
      <sheetName val="12년_CF(9월)2"/>
      <sheetName val="Project_Brief"/>
      <sheetName val="表21_净利润调节表2"/>
      <sheetName val="입출재고현황_(2)"/>
      <sheetName val="2_대외공문2"/>
      <sheetName val="TRE_TABLE"/>
      <sheetName val="504전기실_동부하-L2"/>
      <sheetName val="OUTER_AREA(겹침없음)2"/>
      <sheetName val="EL_표면적2"/>
      <sheetName val="P_M_별1"/>
      <sheetName val="단면_(2)"/>
      <sheetName val="1_본사계정별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Process_List"/>
      <sheetName val="제시_손익계산서"/>
      <sheetName val="업무연락_(2)"/>
      <sheetName val="M_7회차_담금_계획"/>
      <sheetName val="01_02월_성과급1"/>
      <sheetName val="09~10년_매출계획"/>
      <sheetName val="97_사업추정(WEKI)"/>
      <sheetName val="팀별_실적"/>
      <sheetName val="팀별_실적_(환산)"/>
      <sheetName val="6월_공정외주"/>
      <sheetName val="Tong_hop"/>
      <sheetName val="95_1_1이후취득자산(숨기기상태)"/>
      <sheetName val="1_MDF1공장"/>
      <sheetName val="Weekly Progress(계장)"/>
      <sheetName val="부하(성남)"/>
      <sheetName val="판가반영"/>
      <sheetName val="개산공사비"/>
      <sheetName val="선평원내역"/>
      <sheetName val="기둥(원형)"/>
      <sheetName val="화전내"/>
      <sheetName val="수량산출내역1115"/>
      <sheetName val="BID"/>
      <sheetName val="식재품셈"/>
      <sheetName val="表21_净利润夐#奜#"/>
      <sheetName val="要員用master"/>
      <sheetName val="TB"/>
      <sheetName val="PL"/>
      <sheetName val="CS"/>
      <sheetName val="예산계정INDEX"/>
      <sheetName val="환율change"/>
      <sheetName val="일반관리비"/>
      <sheetName val="보고서"/>
      <sheetName val="대투_보관자료 변경"/>
      <sheetName val="내수자재"/>
      <sheetName val="표)CFT장 조직별 배분"/>
      <sheetName val="Remark"/>
      <sheetName val="기술분류체계"/>
      <sheetName val="20180214 P&amp;T"/>
      <sheetName val="Ref. 중점 추진 과제별 상세"/>
      <sheetName val="작성요령"/>
      <sheetName val="호남본"/>
      <sheetName val="원가1"/>
      <sheetName val="원가2"/>
      <sheetName val="견적"/>
      <sheetName val="실행기성 갑지"/>
      <sheetName val="Eq. Mobilization"/>
      <sheetName val="TYPE-1"/>
      <sheetName val="선택창"/>
      <sheetName val="외주현황.wq1"/>
      <sheetName val="compare2"/>
      <sheetName val="Krw"/>
      <sheetName val="BS"/>
      <sheetName val="선택지"/>
      <sheetName val="Congfig"/>
      <sheetName val="Bank code"/>
      <sheetName val="총수율"/>
      <sheetName val="11"/>
      <sheetName val="予算実績管理現況"/>
      <sheetName val="Drop-down RAW"/>
      <sheetName val="조직필터"/>
      <sheetName val="Basic Information"/>
      <sheetName val="IS"/>
      <sheetName val="손익실적"/>
      <sheetName val="손익실적(매출원가)"/>
      <sheetName val="당년사별실적"/>
      <sheetName val="VXXXX"/>
      <sheetName val="탄산"/>
      <sheetName val="CODE生成机"/>
      <sheetName val="RE"/>
      <sheetName val="FP"/>
      <sheetName val="Exchange rate"/>
      <sheetName val="최적단면"/>
      <sheetName val="2013.2월 연결대상"/>
      <sheetName val="BS_Package_내부거래"/>
      <sheetName val="PL_Package_내부거래"/>
      <sheetName val="Back_Data_1"/>
      <sheetName val="※유형구분분류"/>
      <sheetName val="※类型区分分类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MEMO"/>
      <sheetName val="민감도분석"/>
      <sheetName val="LOG"/>
      <sheetName val="보고서 표"/>
      <sheetName val="0. 가정 및 결론"/>
      <sheetName val="1. 투자비"/>
      <sheetName val="2. Rent-roll"/>
      <sheetName val="3. Funding"/>
      <sheetName val="4. 운영수익"/>
      <sheetName val="5. 운영비용"/>
      <sheetName val="6.1 N+1년차 NOI 산정"/>
      <sheetName val="6. 부동산매각"/>
      <sheetName val="7. 보유세"/>
      <sheetName val="8. 교통유발부담금"/>
      <sheetName val="9. BS부속"/>
      <sheetName val="10. CF(M)"/>
      <sheetName val="11. IS(M)"/>
      <sheetName val="12. BS(M)"/>
      <sheetName val="14. IS(FY)"/>
      <sheetName val="13. CF(FY)"/>
      <sheetName val="15. BS(FY)"/>
      <sheetName val="16. RE(FY)"/>
      <sheetName val="Index"/>
      <sheetName val="U_TYPE_1_"/>
      <sheetName val="설계조건"/>
      <sheetName val="기초견적가"/>
      <sheetName val="TANK"/>
      <sheetName val="조건표"/>
      <sheetName val="결과조달"/>
      <sheetName val="견적대비표"/>
      <sheetName val="포장복구집계"/>
      <sheetName val="간선계산"/>
      <sheetName val="AS복구"/>
      <sheetName val="2000년1차"/>
      <sheetName val="Code"/>
      <sheetName val="전기"/>
      <sheetName val="데이타"/>
      <sheetName val="ITEM"/>
      <sheetName val="일반공사"/>
      <sheetName val="터널조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변수값"/>
      <sheetName val="청천내"/>
      <sheetName val="요율"/>
      <sheetName val="2공구하도급내역서"/>
      <sheetName val="시설물"/>
      <sheetName val="연결임시"/>
      <sheetName val="구조물공"/>
      <sheetName val="부대tu"/>
      <sheetName val="9509"/>
      <sheetName val="투찰추정"/>
      <sheetName val="하부철근수량"/>
      <sheetName val="식재출력용"/>
      <sheetName val="가로등내역서"/>
      <sheetName val="저"/>
      <sheetName val="Baby일위대가"/>
      <sheetName val="실행대비"/>
      <sheetName val="지급자재"/>
      <sheetName val="노무비단가"/>
      <sheetName val="관리,공감"/>
      <sheetName val="식재인부"/>
      <sheetName val="입찰"/>
      <sheetName val="산출내역서"/>
      <sheetName val="4차원가계산서"/>
      <sheetName val="중기상차"/>
      <sheetName val="단가결정"/>
      <sheetName val="유지관리"/>
      <sheetName val="내역아"/>
      <sheetName val="여과지동"/>
      <sheetName val="울타리"/>
      <sheetName val="기초자료"/>
      <sheetName val="자재대"/>
      <sheetName val="조명율표"/>
      <sheetName val="원가"/>
      <sheetName val="공정코드"/>
      <sheetName val="토공"/>
      <sheetName val="총괄-1"/>
      <sheetName val="도급"/>
      <sheetName val="포장공"/>
      <sheetName val="설 계"/>
      <sheetName val="현경"/>
      <sheetName val="단가대비표"/>
      <sheetName val="소야공정계획표"/>
      <sheetName val="기계"/>
      <sheetName val="정화조"/>
      <sheetName val="토목"/>
      <sheetName val="F 월별기성수금현황 "/>
      <sheetName val="준검 내역서"/>
      <sheetName val="MAT"/>
      <sheetName val="설치자재"/>
      <sheetName val="종단계산"/>
      <sheetName val="산출근거(S4)"/>
      <sheetName val="기계경비"/>
      <sheetName val="배수내역"/>
      <sheetName val="터널전기"/>
      <sheetName val="토목주소"/>
      <sheetName val="프랜트면허"/>
      <sheetName val="Rev. Recon 1"/>
      <sheetName val="1.고객불만건수"/>
      <sheetName val="1.변경범위"/>
      <sheetName val="CF表示組替表"/>
      <sheetName val="FA-LISTING"/>
      <sheetName val="대투_보관자료_변경"/>
      <sheetName val="고정자산-회사제시"/>
      <sheetName val="해외_기술훈련비_(합계)"/>
      <sheetName val="118_세금과공과"/>
      <sheetName val="수량산출서 갑지"/>
      <sheetName val="I一般比"/>
      <sheetName val="제-노임"/>
      <sheetName val="N賃率-職"/>
      <sheetName val="추정pl"/>
      <sheetName val="공사비_ND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경비"/>
      <sheetName val="세금자료"/>
      <sheetName val="98수문일위"/>
      <sheetName val="KEY CODE"/>
      <sheetName val="2-1.강사료,교통비 지급명세"/>
      <sheetName val="13.포장용역비표준"/>
      <sheetName val="9.가공부자재표준"/>
      <sheetName val="8.ROLL표준(TSW)"/>
      <sheetName val="4.톤당조관량표준"/>
      <sheetName val="5.조관부자재표준"/>
      <sheetName val="97년"/>
      <sheetName val="????"/>
      <sheetName val="규"/>
      <sheetName val="규(3)"/>
      <sheetName val="소"/>
      <sheetName val="RE(2)"/>
      <sheetName val="4. Inj 투자상세내역"/>
      <sheetName val="3. Blow 투자 상세내역"/>
      <sheetName val="4__Inj_투자상세내역"/>
      <sheetName val="3__Blow_투자_상세내역"/>
      <sheetName val="Jul-Sep Actual cost (2)"/>
      <sheetName val="97실적"/>
      <sheetName val="을지"/>
      <sheetName val="npv"/>
      <sheetName val="13손익(실적)"/>
      <sheetName val="이름표시"/>
      <sheetName val="요일 테이블"/>
      <sheetName val="요일테이블"/>
      <sheetName val="요일_테이블"/>
      <sheetName val="요일 테이블 (2)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目录"/>
      <sheetName val="Lists"/>
      <sheetName val="Step2_Correlation"/>
      <sheetName val="Step2_Histogram"/>
      <sheetName val="Roll Out_AQ"/>
      <sheetName val="DePara"/>
      <sheetName val="2004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3 ISo YTD"/>
      <sheetName val="GuV"/>
      <sheetName val="E 法规NC"/>
      <sheetName val="KPI与VIC"/>
      <sheetName val="Données LMU"/>
      <sheetName val="Brazil Sovereign"/>
      <sheetName val="Gauge"/>
      <sheetName val="Resumen Costo"/>
      <sheetName val="Production_REP_CURR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5.1"/>
      <sheetName val="Extract Loss"/>
      <sheetName val="QA 跟踪记录表"/>
      <sheetName val="RG Depots"/>
      <sheetName val="Overview"/>
      <sheetName val="material data"/>
      <sheetName val="other data"/>
      <sheetName val="Como Estamos"/>
      <sheetName val="Front"/>
      <sheetName val="#REF!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Volumen"/>
      <sheetName val="Parameters"/>
      <sheetName val="Cases"/>
      <sheetName val="Revenues"/>
      <sheetName val="Assumption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MêsBase"/>
      <sheetName val="PREVISÃO"/>
      <sheetName val="12_1"/>
      <sheetName val="CVsku"/>
      <sheetName val="Financials"/>
      <sheetName val="Plan3"/>
      <sheetName val="Anual"/>
      <sheetName val="fabricas"/>
      <sheetName val="Plan1"/>
      <sheetName val="FRA"/>
      <sheetName val="COUPOM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Testing Template Guidance"/>
      <sheetName val="Test Programs"/>
      <sheetName val="List"/>
      <sheetName val="VIC"/>
      <sheetName val="VLC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Dados BLP"/>
      <sheetName val="Controls data"/>
      <sheetName val="核心经销商销量"/>
      <sheetName val="ValidDataDrops"/>
      <sheetName val="BLP"/>
      <sheetName val="FJJX Bud_IB"/>
      <sheetName val="DATOS"/>
      <sheetName val="look-up data"/>
      <sheetName val="Tabela1"/>
      <sheetName val="[손익기01.XL_x0000__x0000_DePara"/>
      <sheetName val="JOB PROFILE - LAS"/>
      <sheetName val="ARdistr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600ML"/>
      <sheetName val="producto"/>
      <sheetName val="Com (2PK)"/>
      <sheetName val="ctmg"/>
      <sheetName val="Asset"/>
      <sheetName val="MODELO"/>
      <sheetName val="ANS-Ap_Result_2003"/>
      <sheetName val="SupplyChainData"/>
      <sheetName val="Reasons"/>
      <sheetName val="Fun_Bl_Prod"/>
      <sheetName val="Calculos"/>
      <sheetName val="backlog"/>
      <sheetName val="Prd.Hierarchy(产品层次)"/>
      <sheetName val="Project Code"/>
      <sheetName val="Base_PEF"/>
      <sheetName val="Нарушения"/>
      <sheetName val="15년 BL 사계"/>
      <sheetName val="_손익기01.XL"/>
      <sheetName val="TargIS"/>
      <sheetName val="drop down list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TO_Data_Base7"/>
      <sheetName val="Groupings"/>
      <sheetName val="cat&amp;ee"/>
      <sheetName val="SKU"/>
      <sheetName val="[손익기01.XL_x005f_x0000__x005f_x0000_DePara"/>
      <sheetName val="ES部行动跟踪记录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[손익기01.XL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Execution"/>
      <sheetName val="Tablas"/>
      <sheetName val="Income Stmt"/>
      <sheetName val="JOB_PROFILE_-_LAS"/>
      <sheetName val="Quarterly LBO Model"/>
      <sheetName val="_손익기01.XL_x005f_x0000__x005f_x0000_DePara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요일_테이블1"/>
      <sheetName val="요일_테이블_(2)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3_ISo_YTD1"/>
      <sheetName val="E_法规NC1"/>
      <sheetName val="Données_LMU1"/>
      <sheetName val="Brazil_Sovereign1"/>
      <sheetName val="Resumen_Costo1"/>
      <sheetName val="Fixed_ZBB1"/>
      <sheetName val="5_11"/>
      <sheetName val="Extract_Loss1"/>
      <sheetName val="QA_跟踪记录表1"/>
      <sheetName val="RG_Depots1"/>
      <sheetName val="material_data1"/>
      <sheetName val="other_data1"/>
      <sheetName val="Como_Estamos1"/>
      <sheetName val="Database_(RUR)Mar_YTD1"/>
      <sheetName val="SKU_Mapping1"/>
      <sheetName val="Drop_Down1"/>
      <sheetName val="Raw_Data1"/>
      <sheetName val="EBM-2_GHQ1"/>
      <sheetName val="Base_PEF1"/>
      <sheetName val="Base_de_Dados1"/>
      <sheetName val="Testing_Template_Guidance1"/>
      <sheetName val="Test_Programs1"/>
      <sheetName val="Dados_BLP1"/>
      <sheetName val="Controls_data3"/>
      <sheetName val="FJJX_Bud_IB"/>
      <sheetName val="look-up_data"/>
      <sheetName val="JOB_PROFILE_-_LAS1"/>
      <sheetName val="ARdistr_(2)1"/>
      <sheetName val="Prd_Hierarchy(产品层级)"/>
      <sheetName val="15년_BL_사계"/>
      <sheetName val="Com_(2PK)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86월원안"/>
      <sheetName val="오승"/>
      <sheetName val="팀별"/>
      <sheetName val="Action-Log"/>
      <sheetName val="Classification 分类"/>
      <sheetName val="Figures Report"/>
      <sheetName val="Set Up"/>
      <sheetName val="CONFIG"/>
      <sheetName val="Fare prices"/>
      <sheetName val="Hotel prices"/>
      <sheetName val="Intro"/>
      <sheetName val="DropDowns"/>
      <sheetName val="CPT倒罐记录"/>
      <sheetName val="extent"/>
      <sheetName val="Tab"/>
      <sheetName val="Arm_PNP"/>
      <sheetName val="cl"/>
      <sheetName val="XLRpt_TempSheet"/>
      <sheetName val="Suporte_2"/>
      <sheetName val="tab STATUS DO PROCESSO "/>
      <sheetName val="Results"/>
      <sheetName val="Perf. Plan. Diário1"/>
      <sheetName val="In (2)"/>
      <sheetName val="slide 24 cat A"/>
      <sheetName val="slide 82 cat b"/>
      <sheetName val="Prog"/>
      <sheetName val="PLANNER6"/>
      <sheetName val="Hoja2"/>
      <sheetName val="Hoja3"/>
      <sheetName val="범주"/>
      <sheetName val="Incident 유형구분표"/>
      <sheetName val="Macro"/>
      <sheetName val="광주"/>
      <sheetName val="TNC(1안)"/>
      <sheetName val="CLASIFICACION DE AI"/>
      <sheetName val="Base da Datos"/>
      <sheetName val="Apoio"/>
      <sheetName val="SAM"/>
      <sheetName val="DAG"/>
      <sheetName val="Dados dos Produtos"/>
      <sheetName val="Maestro"/>
      <sheetName val="DD list"/>
      <sheetName val="3YP2016-Bottom up"/>
      <sheetName val="부서별12월추계액"/>
      <sheetName val="One_Pager"/>
      <sheetName val="DE-PARA"/>
      <sheetName val="FornecD"/>
      <sheetName val="FornecDAjustado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Base de Datos"/>
      <sheetName val="Motivos"/>
      <sheetName val="Parametros"/>
      <sheetName val="Actionlog"/>
      <sheetName val="_손익기01.XL_x0000__x0000_DePara"/>
      <sheetName val="_손익기01_XLDePara"/>
      <sheetName val="link"/>
      <sheetName val="Vol-Rev"/>
      <sheetName val="来源"/>
      <sheetName val=" DD List"/>
      <sheetName val="Formula"/>
      <sheetName val="各支柱模块清单"/>
      <sheetName val="Share Price 2002"/>
      <sheetName val="隐患分析"/>
      <sheetName val="安全隐患"/>
      <sheetName val="班组分析"/>
      <sheetName val="源"/>
      <sheetName val="Clasif."/>
      <sheetName val="Lista CI"/>
      <sheetName val="Resumen"/>
      <sheetName val="BBDD"/>
      <sheetName val="Farol Acciones"/>
      <sheetName val="Lista de Entrenamientos"/>
      <sheetName val="Package-SubPackage"/>
      <sheetName val="Supply Cost Centers"/>
      <sheetName val="Basetables"/>
      <sheetName val="BEP 加薪 KPI"/>
      <sheetName val="유형(분류표)"/>
      <sheetName val="PREMISAS"/>
      <sheetName val="ACTION"/>
      <sheetName val="LE"/>
      <sheetName val="表3筛选项"/>
      <sheetName val="진천"/>
      <sheetName val="중연"/>
      <sheetName val="용연"/>
      <sheetName val="울산"/>
      <sheetName val="대구"/>
      <sheetName val="구미"/>
      <sheetName val="언양"/>
      <sheetName val="대차대조표"/>
      <sheetName val="입력자료"/>
      <sheetName val="기본"/>
      <sheetName val="10월_vs_12월_채권잔액"/>
      <sheetName val="2-2.투자"/>
      <sheetName val="기본연봉"/>
      <sheetName val="사원"/>
      <sheetName val="9-1차이내역"/>
      <sheetName val="Proj. Fin."/>
      <sheetName val="ITS Assumptions"/>
      <sheetName val="Proj__Fin_"/>
      <sheetName val="2-2_투자"/>
      <sheetName val="Master Data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EPOXY"/>
      <sheetName val="2007전체투자세액공제_2008년처분"/>
      <sheetName val="득점현황"/>
      <sheetName val="#5"/>
      <sheetName val="#3"/>
      <sheetName val="Appendix(권장,단체)"/>
      <sheetName val="환율표"/>
      <sheetName val="세액계산"/>
      <sheetName val="현용"/>
      <sheetName val="현장"/>
      <sheetName val="MH_생산"/>
      <sheetName val="구분List"/>
      <sheetName val="表21_净利润墨-닑⿕"/>
      <sheetName val="TO"/>
      <sheetName val="C2121"/>
      <sheetName val="C2123"/>
      <sheetName val="C2124"/>
      <sheetName val="C2125"/>
      <sheetName val="C2127"/>
      <sheetName val="C2122"/>
      <sheetName val="7.Utility Analysis"/>
      <sheetName val="Operational Activities"/>
      <sheetName val="상품입력"/>
      <sheetName val="월별자료"/>
      <sheetName val="기초정보 코드"/>
      <sheetName val="계좌정보"/>
      <sheetName val="수목단가"/>
      <sheetName val="시설수량표"/>
      <sheetName val="식재수량표"/>
      <sheetName val="조도계산서 (도서)"/>
      <sheetName val="날개수량1.5"/>
      <sheetName val="FitOutConfCentre"/>
      <sheetName val="전기자료"/>
      <sheetName val="Sheet10"/>
      <sheetName val="을-ATYPE"/>
      <sheetName val="대전-교대(A1-A2)"/>
      <sheetName val="CAT_5"/>
      <sheetName val="배열수식"/>
      <sheetName val="1"/>
      <sheetName val="EP0618"/>
      <sheetName val="C1.3.1"/>
      <sheetName val="부대공Ⅱ"/>
      <sheetName val="입찰내역 Ĉ_x0000__x0000_ᇆ"/>
      <sheetName val="입찰내역 Ĉ_x0000__x0000_ᇆ"/>
      <sheetName val="정보화기기매출"/>
      <sheetName val="중기일위대가"/>
      <sheetName val="sum_x0008__x0000__x000d__x0000__x0006__x0000_"/>
      <sheetName val="Ѐ܀ऀ܀؀਀؀Ԁ̀Ѐ̀Ѐࠀ܀ఀ؀܀"/>
      <sheetName val="진행 DATA (2)"/>
      <sheetName val="NG Item"/>
      <sheetName val="4.1 월별 에너지 사용량"/>
      <sheetName val="분석가정"/>
      <sheetName val="표시트"/>
      <sheetName val="カテゴリ表"/>
      <sheetName val="카드채권(대출포함)"/>
      <sheetName val="공통"/>
      <sheetName val="T6-6(7)"/>
      <sheetName val="입찰내역_발주처_양식1"/>
      <sheetName val="Data_Validation1"/>
      <sheetName val="부대시행1_(2)"/>
      <sheetName val="근거_및_가정"/>
      <sheetName val="2_카드채권(대출포함)"/>
      <sheetName val="1_차입금"/>
      <sheetName val="Utility_Usage_YTN_TOWER"/>
      <sheetName val="B-1_기본정보"/>
      <sheetName val="?"/>
      <sheetName val="PAD_TR보호대기초"/>
      <sheetName val="설문_평가"/>
      <sheetName val="_견적서"/>
      <sheetName val="코드관리"/>
      <sheetName val="오류항목"/>
      <sheetName val="기본일위"/>
      <sheetName val="견적을지"/>
      <sheetName val="TOWER 12TON"/>
      <sheetName val="TOWER 10TON"/>
      <sheetName val="JIB CRANE,HOIST"/>
      <sheetName val="数据有效性"/>
      <sheetName val="Worker List"/>
      <sheetName val="GB-IC Villingen GG"/>
      <sheetName val="MC&amp;다변화"/>
      <sheetName val="Library"/>
      <sheetName val="BM_NEW2"/>
      <sheetName val="97손익계획"/>
      <sheetName val="가정"/>
      <sheetName val="공시용PL"/>
      <sheetName val="예산대실적_작성"/>
      <sheetName val="SALE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6월 공嚺㓶가"/>
      <sheetName val="갑지"/>
      <sheetName val="부산제일극장"/>
      <sheetName val="MTP"/>
      <sheetName val="1_종합손익(도급)5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변경실행(2차)_4"/>
      <sheetName val="CC_Down_load_07164"/>
      <sheetName val="나_출고4"/>
      <sheetName val="나_입고4"/>
      <sheetName val="09년_인건비(속리산)4"/>
      <sheetName val="합산목표(감가+57_5)4"/>
      <sheetName val="__한국_AMP_ASP-23_판매가격__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7_(2)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4"/>
      <sheetName val="Sheet1_(2)3"/>
      <sheetName val="2_대외공문3"/>
      <sheetName val="表21_净利润调节表3"/>
      <sheetName val="sum1_(2)3"/>
      <sheetName val="3_바닥판설계3"/>
      <sheetName val="504전기실_동부하-L3"/>
      <sheetName val="2_총괄표3"/>
      <sheetName val="OUTER_AREA(겹침없음)3"/>
      <sheetName val="EL_표면적3"/>
      <sheetName val="P_M_별2"/>
      <sheetName val="09~10년_매출계획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입출재고현황_(2)1"/>
      <sheetName val="TRE_TABLE1"/>
      <sheetName val="Process_List2"/>
      <sheetName val="제시_손익계산서2"/>
      <sheetName val="업무연락_(2)2"/>
      <sheetName val="M_7회차_담금_계획2"/>
      <sheetName val="01_02월_성과급3"/>
      <sheetName val="97_사업추정(WEKI)1"/>
      <sheetName val="팀별_실적2"/>
      <sheetName val="팀별_실적_(환산)2"/>
      <sheetName val="6월_공정외주1"/>
      <sheetName val="2_주요계수총괄1"/>
      <sheetName val="1_본사계정별1"/>
      <sheetName val="118_세금과공과1"/>
      <sheetName val="Tong_hop1"/>
      <sheetName val="95_1_1이후취득자산(숨기기상태)1"/>
      <sheetName val="1_MDF1공장1"/>
      <sheetName val="3_6_2남양주택배"/>
      <sheetName val="Project_Brief1"/>
      <sheetName val="Back_Data_11"/>
      <sheetName val="Facility_Information1"/>
      <sheetName val="단면_(2)1"/>
      <sheetName val="1월_예산"/>
      <sheetName val="해외_기술훈련비_(합계)1"/>
      <sheetName val="#1)_투자_구분"/>
      <sheetName val="1__시공측량"/>
      <sheetName val="수종별수량_(2)"/>
      <sheetName val="설산1_나"/>
      <sheetName val="Weekly_Progress(계장)"/>
      <sheetName val="납부내역총괄표_(수정)"/>
      <sheetName val="전선_및_전선관"/>
      <sheetName val="KEY_CODE"/>
      <sheetName val="2013_2월_연결대상"/>
      <sheetName val="외주현황_wq1"/>
      <sheetName val="2-1_강사료,교통비_지급명세"/>
      <sheetName val="13_포장용역비표준"/>
      <sheetName val="9_가공부자재표준"/>
      <sheetName val="8_ROLL표준(TSW)"/>
      <sheetName val="4_톤당조관량표준"/>
      <sheetName val="5_조관부자재표준"/>
      <sheetName val="실행기성_갑지"/>
      <sheetName val="4__Inj_투자상세내역2"/>
      <sheetName val="3__Blow_투자_상세내역2"/>
      <sheetName val="Jul-Sep_Actual_cost_(2)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3_ISo_YTD2"/>
      <sheetName val="E_法规NC2"/>
      <sheetName val="Données_LMU2"/>
      <sheetName val="Brazil_Sovereign2"/>
      <sheetName val="Resumen_Costo2"/>
      <sheetName val="Fixed_ZBB2"/>
      <sheetName val="5_12"/>
      <sheetName val="Extract_Loss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Base_de_Dados2"/>
      <sheetName val="Testing_Template_Guidance2"/>
      <sheetName val="Test_Programs2"/>
      <sheetName val="Dados_BLP2"/>
      <sheetName val="Controls_data4"/>
      <sheetName val="FJJX_Bud_IB1"/>
      <sheetName val="look-up_data1"/>
      <sheetName val="JOB_PROFILE_-_LAS2"/>
      <sheetName val="ARdistr_(2)2"/>
      <sheetName val="Prd_Hierarchy(产品层级)1"/>
      <sheetName val="Com_(2PK)1"/>
      <sheetName val="Prd_Hierarchy(产品层次)1"/>
      <sheetName val="Project_Code1"/>
      <sheetName val="15년_BL_사계1"/>
      <sheetName val="_손익기01_XL1"/>
      <sheetName val="drop_down_list1"/>
      <sheetName val="[손익기01_XL_x005f_x0000__x005f_x0000_DePara1"/>
      <sheetName val="[손익기01_XL1"/>
      <sheetName val="Income_Stmt1"/>
      <sheetName val="Quarterly_LBO_Model1"/>
      <sheetName val="_손익기01_XL_x005f_x0000__x005f_x0000_DePara1"/>
      <sheetName val="Classification_分类"/>
      <sheetName val="Figures_Report"/>
      <sheetName val="Set_Up"/>
      <sheetName val="Fare_prices"/>
      <sheetName val="Hotel_prices"/>
      <sheetName val="tab_STATUS_DO_PROCESSO_"/>
      <sheetName val="Perf__Plan__Diário1"/>
      <sheetName val="In_(2)"/>
      <sheetName val="slide_24_cat_A"/>
      <sheetName val="slide_82_cat_b"/>
      <sheetName val="Incident_유형구분표"/>
      <sheetName val="CLASIFICACION_DE_AI"/>
      <sheetName val="Base_da_Datos"/>
      <sheetName val="Dados_dos_Produtos"/>
      <sheetName val="DD_list"/>
      <sheetName val="3YP2016-Bottom_up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BEP_加薪_KPI"/>
      <sheetName val="M&amp;Q Lead"/>
      <sheetName val="설비등록׃⼫"/>
      <sheetName val="설비등록_x0010__x0000_"/>
      <sheetName val="_x0018__"/>
      <sheetName val="1월~9월"/>
      <sheetName val="기성현황집계표"/>
      <sheetName val="특수선일위대가"/>
      <sheetName val="숨김"/>
      <sheetName val="목록!"/>
      <sheetName val="마스터0919"/>
      <sheetName val="月度設定"/>
      <sheetName val="STANDARD"/>
      <sheetName val="유효성검사"/>
      <sheetName val="support"/>
      <sheetName val="그룹자료"/>
      <sheetName val="임율자료"/>
      <sheetName val="7상품수"/>
      <sheetName val="생산성(2차)"/>
      <sheetName val="요약(1차)"/>
      <sheetName val="Ref. Spec Review 양식"/>
      <sheetName val="Ref. 시험항목 테이블"/>
      <sheetName val="Ref. Search Result 테이블"/>
      <sheetName val="1__작성방식"/>
      <sheetName val="표)CFT장_조직별_배분"/>
      <sheetName val="20180214_P&amp;T"/>
      <sheetName val="Ref__중점_추진_과제별_상세"/>
      <sheetName val="Bank_code"/>
      <sheetName val="Drop-down_RAW"/>
      <sheetName val="Basic_Information"/>
      <sheetName val="Exchange_rate"/>
      <sheetName val="견적서"/>
      <sheetName val="_x005f_x005f_x005f_x0000__x005f_x005f_x005f_x0000_"/>
      <sheetName val="Cntmrs"/>
      <sheetName val="RES"/>
      <sheetName val="pg15"/>
      <sheetName val="2.6 三无 (2)"/>
      <sheetName val="공시용CF"/>
      <sheetName val="000000"/>
      <sheetName val="노임단가(공사)"/>
      <sheetName val="한계원가"/>
      <sheetName val="3.일반사상"/>
      <sheetName val="외부자료"/>
      <sheetName val="슬래_xd800_"/>
      <sheetName val="DCY"/>
      <sheetName val="DHS"/>
      <sheetName val="HHJ"/>
      <sheetName val="SWS-1"/>
      <sheetName val="부재료 비교(11년 vs 10년)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Catalog_Zone"/>
      <sheetName val="DropList"/>
      <sheetName val="Unidades SAC-REVENDA"/>
      <sheetName val="FornecM Check"/>
      <sheetName val="下拉清单"/>
      <sheetName val="工伤分类"/>
      <sheetName val="菜单"/>
      <sheetName val="Hazards Analysis-隐患分析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Classification_分类1"/>
      <sheetName val="Figures_Report1"/>
      <sheetName val="Set_Up2"/>
      <sheetName val="Fare_prices1"/>
      <sheetName val="Hotel_prices1"/>
      <sheetName val="tab_STATUS_DO_PROCESSO_1"/>
      <sheetName val="Perf__Plan__Diário11"/>
      <sheetName val="In_(2)1"/>
      <sheetName val="slide_24_cat_A1"/>
      <sheetName val="slide_82_cat_b1"/>
      <sheetName val="Incident_유형구분표1"/>
      <sheetName val="CLASIFICACION_DE_AI1"/>
      <sheetName val="Base_da_Datos1"/>
      <sheetName val="Dados_dos_Produtos1"/>
      <sheetName val="DD_list1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备注"/>
      <sheetName val="_손익기01.XL_x005f_x005f_x005f_x0000__x005f_x005f_x0"/>
      <sheetName val="연료전력(군포)"/>
      <sheetName val="적립수신"/>
      <sheetName val="순수통장"/>
      <sheetName val="일별"/>
      <sheetName val="加薪规则排序"/>
      <sheetName val="Analysis"/>
      <sheetName val="索引表"/>
      <sheetName val="Control"/>
      <sheetName val="引用"/>
      <sheetName val="담당자Raw"/>
      <sheetName val="支柱模块源数据--请勿更改或删除"/>
      <sheetName val="MasterData"/>
      <sheetName val="条件表"/>
      <sheetName val="下拉菜单"/>
      <sheetName val="Issues List_Payments"/>
      <sheetName val="drop-down_lists"/>
      <sheetName val="数据库"/>
      <sheetName val="turnover reason퇴직사유"/>
      <sheetName val="Grafica Actos"/>
      <sheetName val="PGK-1610"/>
      <sheetName val="POC LIST"/>
      <sheetName val="Condiciones SyE"/>
      <sheetName val="DETALLE MENSUA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[손익기01.XL??DePara"/>
      <sheetName val="Farol Metas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Mod Relac."/>
      <sheetName val="Vlookup"/>
      <sheetName val="REALxMETA - CERVEJA"/>
      <sheetName val="REALxMETA - REFRI"/>
      <sheetName val="Catalogo"/>
      <sheetName val="MD"/>
      <sheetName val="Directrices de Metas 2017"/>
      <sheetName val="SKU Basic Data"/>
      <sheetName val="数据验证"/>
      <sheetName val="Лист2"/>
      <sheetName val="L1_L2_Lookup"/>
      <sheetName val="Entity Target"/>
      <sheetName val="条件"/>
      <sheetName val="Matriz"/>
      <sheetName val="Pareto"/>
      <sheetName val="Hoja5"/>
      <sheetName val="Personal"/>
      <sheetName val="VALIDACION DE DATOS"/>
      <sheetName val="Hoja4"/>
      <sheetName val="Drop-down List"/>
      <sheetName val="by DD"/>
      <sheetName val="Ba"/>
      <sheetName val="分类统计"/>
      <sheetName val="隐患分类"/>
      <sheetName val="Check Qualidade"/>
      <sheetName val="Lista"/>
      <sheetName val="De_Par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Feuil2"/>
      <sheetName val="Check Aderencia"/>
      <sheetName val="원부재료1"/>
      <sheetName val="일위대가(목록)"/>
      <sheetName val="재료비"/>
      <sheetName val="안산기계장치"/>
      <sheetName val="A(Rev.3)"/>
      <sheetName val="견적내역서"/>
      <sheetName val="일위대가목차"/>
      <sheetName val="6호기"/>
      <sheetName val="Desal-E&amp;I"/>
      <sheetName val="Month-Report"/>
      <sheetName val="10매출"/>
      <sheetName val="단기차입금(200006)"/>
      <sheetName val="有型区分分类"/>
      <sheetName val="업무 분류(Category)"/>
      <sheetName val="작성양식"/>
      <sheetName val="수정양식"/>
      <sheetName val="#1 Basic"/>
      <sheetName val="만기"/>
      <sheetName val="월별비교(물리)"/>
      <sheetName val="첨부#2.Cash Flow(현장작성)"/>
      <sheetName val="산자사 운전용품"/>
      <sheetName val="BATCH"/>
      <sheetName val="1.수인터널"/>
      <sheetName val="시험장S자로가로등공사"/>
      <sheetName val="1-1"/>
      <sheetName val="가설공사내역"/>
      <sheetName val="401"/>
      <sheetName val="Eq__Mobilization"/>
      <sheetName val="입찰내역 Ĉ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갑지1"/>
      <sheetName val="Sheet17"/>
      <sheetName val="STRAT PLAN WKSHT"/>
      <sheetName val="Sales Plan &amp; other"/>
      <sheetName val="ConsolidateUSD"/>
      <sheetName val="STRAT_PLAN_WKSHT"/>
      <sheetName val="Sales_Plan_&amp;_other"/>
      <sheetName val="ref"/>
      <sheetName val="drop downs"/>
      <sheetName val="월간공정표(04월))"/>
      <sheetName val="전기요금 산출내역"/>
      <sheetName val="드롭다운"/>
      <sheetName val="Project Count"/>
      <sheetName val="Index1"/>
      <sheetName val="STRAT_PLAN_WKSHT1"/>
      <sheetName val="Sales_Plan_&amp;_other1"/>
      <sheetName val="drop_downs"/>
      <sheetName val="XREF"/>
      <sheetName val="손익계산서"/>
      <sheetName val="2.FM Fee_2차년도"/>
      <sheetName val="3.감가장비"/>
      <sheetName val="_x005f_x005f_x005f_x0018__x005f_x005f_x005f_x0000_"/>
      <sheetName val="_x005f_x0018_?"/>
      <sheetName val="지장물C"/>
      <sheetName val="01_02월_성B_x0000_"/>
      <sheetName val="sum_x0008_"/>
      <sheetName val="시스템 개요 유효값"/>
      <sheetName val="문의내용 카테고리 분류(수정X)"/>
      <sheetName val="_x005f_x005f_x005f_x0000__x005f"/>
      <sheetName val="소주(苏州)"/>
      <sheetName val="공통부대비"/>
      <sheetName val="hiddenSheet"/>
      <sheetName val="euc"/>
      <sheetName val="$bhp"/>
      <sheetName val="업무분장 "/>
      <sheetName val="7300-1000.11"/>
      <sheetName val="7300-1000_11"/>
      <sheetName val="기준Data"/>
      <sheetName val="PJT 현황"/>
      <sheetName val="VNHA"/>
      <sheetName val="대차대조표-공시형"/>
      <sheetName val="참고) 기준정보"/>
      <sheetName val="포지셔닝(유형별)"/>
      <sheetName val="채권(하반기)"/>
      <sheetName val="금액"/>
      <sheetName val="제품"/>
      <sheetName val="분류표"/>
      <sheetName val="Long Term Prices"/>
      <sheetName val="생산량"/>
      <sheetName val="BK_PPA"/>
      <sheetName val="간접비차이_PJT"/>
      <sheetName val="Diesel Price "/>
      <sheetName val="견적 맵"/>
      <sheetName val="Assign"/>
      <sheetName val="합잔_역사"/>
      <sheetName val="01현금및현금성자산(ok)"/>
      <sheetName val="상불"/>
      <sheetName val="요일_테이블4"/>
      <sheetName val="요일_테이블_(2)3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Resumen_Costo4"/>
      <sheetName val="Base_de_Dados4"/>
      <sheetName val="Extract_Loss4"/>
      <sheetName val="5_14"/>
      <sheetName val="QA_跟踪记录表4"/>
      <sheetName val="RG_Depots4"/>
      <sheetName val="material_data4"/>
      <sheetName val="other_data4"/>
      <sheetName val="Como_Estamos4"/>
      <sheetName val="Database_(RUR)Mar_YTD4"/>
      <sheetName val="SKU_Mapping4"/>
      <sheetName val="Drop_Down4"/>
      <sheetName val="Raw_Data4"/>
      <sheetName val="EBM-2_GHQ4"/>
      <sheetName val="Base_PEF5"/>
      <sheetName val="Controls_data6"/>
      <sheetName val="Dados_BLP4"/>
      <sheetName val="Testing_Template_Guidance4"/>
      <sheetName val="Test_Programs4"/>
      <sheetName val="FJJX_Bud_IB3"/>
      <sheetName val="JOB_PROFILE_-_LAS4"/>
      <sheetName val="ARdistr_(2)4"/>
      <sheetName val="look-up_data3"/>
      <sheetName val="Prd_Hierarchy(产品层级)3"/>
      <sheetName val="Com_(2PK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7_(2)4"/>
      <sheetName val="Prd_Hierarchy(产品层次)3"/>
      <sheetName val="Project_Code3"/>
      <sheetName val="_손익기01_XL3"/>
      <sheetName val="drop_down_list3"/>
      <sheetName val="[손익기01_XL_x005f_x0000__x005f_x0000_DePara3"/>
      <sheetName val="Income_Stmt3"/>
      <sheetName val="Quarterly_LBO_Model3"/>
      <sheetName val="[손익기01_XL3"/>
      <sheetName val="_손익기01_XL_x005f_x0000__x005f_x0000_DePara3"/>
      <sheetName val="15년_BL_사계3"/>
      <sheetName val="Classification_分类2"/>
      <sheetName val="Figures_Report2"/>
      <sheetName val="Set_Up3"/>
      <sheetName val="Fare_prices2"/>
      <sheetName val="Hotel_prices2"/>
      <sheetName val="tab_STATUS_DO_PROCESSO_2"/>
      <sheetName val="Perf__Plan__Diário12"/>
      <sheetName val="In_(2)2"/>
      <sheetName val="slide_24_cat_A2"/>
      <sheetName val="slide_82_cat_b2"/>
      <sheetName val="09~10년_매출계획2"/>
      <sheetName val="1_MDF1공장2"/>
      <sheetName val="Incident_유형구분표2"/>
      <sheetName val="CLASIFICACION_DE_AI2"/>
      <sheetName val="Base_da_Datos2"/>
      <sheetName val="Dados_dos_Produtos2"/>
      <sheetName val="DD_list2"/>
      <sheetName val="3YP2016-Bottom_up1"/>
      <sheetName val="2_카드채권(대출포함)1"/>
      <sheetName val="MASTER_APP1"/>
      <sheetName val="Cond__Inseguros1"/>
      <sheetName val="Comp__Inseguros1"/>
      <sheetName val="Lista_de_datos1"/>
      <sheetName val="Base_de_Datos1"/>
      <sheetName val="_DD_List1"/>
      <sheetName val="Share_Price_20021"/>
      <sheetName val="Clasif_1"/>
      <sheetName val="Lista_CI1"/>
      <sheetName val="Farol_Acciones1"/>
      <sheetName val="Lista_de_Entrenamientos1"/>
      <sheetName val="Supply_Cost_Centers1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Hazards_Analysis-隐患分析"/>
      <sheetName val="_손익기01_XL_x005f_x005f_x005f_x0000__x005f_x005f_x0"/>
      <sheetName val="Dashboard_Prevención_Riesgos_"/>
      <sheetName val="TOP_KPIs_MTM"/>
      <sheetName val="PLAN_DE_ACCION"/>
      <sheetName val="Faro_de_Indicadores"/>
      <sheetName val="Issues_List_Payments"/>
      <sheetName val="Grafica_Actos"/>
      <sheetName val="Condiciones_SyE"/>
      <sheetName val="POC_LIST"/>
      <sheetName val="turnover_reason퇴직사유"/>
      <sheetName val="SKU_Basic_Data"/>
      <sheetName val="DETALLE_MENSUAL"/>
      <sheetName val="do_not_delete"/>
      <sheetName val="REALxMETA_-_CERVEJA2"/>
      <sheetName val="REALxMETA_-_REFRI2"/>
      <sheetName val="APAC_S"/>
      <sheetName val="APAC_N"/>
      <sheetName val="Slide_output"/>
      <sheetName val="Directrices_de_Metas_2017"/>
      <sheetName val="Entity_Target"/>
      <sheetName val="구분"/>
      <sheetName val="_손익기01.XL_x005f_x0000__x0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Ta_x0005_"/>
      <sheetName val="Base Farol"/>
      <sheetName val="Gerencial IL"/>
      <sheetName val="Ventas Campo"/>
      <sheetName val="Graficos"/>
      <sheetName val="FornecM_Check1"/>
      <sheetName val="Unidades_SAC-REVENDA3"/>
      <sheetName val="[손익기01_XL??DePara1"/>
      <sheetName val="Farol_Metas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ACTOS POR RIESGO"/>
      <sheetName val="drop lists"/>
      <sheetName val="MRL NON SUPPLY URU"/>
      <sheetName val="AIIM - Empresas Ext 2012"/>
      <sheetName val="Blad2"/>
      <sheetName val="KPIs Hana"/>
      <sheetName val="CausasProblemasFolios"/>
      <sheetName val="Catalago de refacciones "/>
      <sheetName val="Existencias al 07-Nov-2012"/>
      <sheetName val="GAP"/>
      <sheetName val="Check GG"/>
      <sheetName val="工作表2"/>
      <sheetName val="条件格式选项"/>
      <sheetName val="单位信息"/>
      <sheetName val="条件格式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Figures_Report3"/>
      <sheetName val="Set_Up4"/>
      <sheetName val="Fare_prices3"/>
      <sheetName val="Hotel_prices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3YP2016-Bottom_up2"/>
      <sheetName val="2_카드채권(대출포함)2"/>
      <sheetName val="MASTER_APP2"/>
      <sheetName val="Cond__Inseguros2"/>
      <sheetName val="Comp__Inseguros2"/>
      <sheetName val="Lista_de_datos2"/>
      <sheetName val="Base_de_Datos2"/>
      <sheetName val="_DD_List2"/>
      <sheetName val="Share_Price_20022"/>
      <sheetName val="Clasif_2"/>
      <sheetName val="Lista_CI2"/>
      <sheetName val="Farol_Acciones2"/>
      <sheetName val="Lista_de_Entrenamientos2"/>
      <sheetName val="Supply_Cost_Centers2"/>
      <sheetName val="BEP_加薪_KPI1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Dashboard_Prevención_Riesgos_1"/>
      <sheetName val="TOP_KPIs_MTM1"/>
      <sheetName val="PLAN_DE_ACCION1"/>
      <sheetName val="Faro_de_Indicadores1"/>
      <sheetName val="Issues_List_Payments1"/>
      <sheetName val="Grafica_Actos1"/>
      <sheetName val="Condiciones_SyE1"/>
      <sheetName val="turnover_reason퇴직사유1"/>
      <sheetName val="POC_LIST1"/>
      <sheetName val="SKU_Basic_Data1"/>
      <sheetName val="DETALLE_MENSUAL1"/>
      <sheetName val="do_not_delete1"/>
      <sheetName val="REALxMETA_-_CERVEJA3"/>
      <sheetName val="REALxMETA_-_REFRI3"/>
      <sheetName val="APAC_S1"/>
      <sheetName val="APAC_N1"/>
      <sheetName val="Slide_output1"/>
      <sheetName val="Directrices_de_Metas_20171"/>
      <sheetName val="Entity_Target1"/>
      <sheetName val="VALIDACION_DE_DATOS"/>
      <sheetName val="Drop-down_List"/>
      <sheetName val="by_DD"/>
      <sheetName val="Sheet3 (2)"/>
      <sheetName val="요일 테이블 "/>
      <sheetName val="Lookups"/>
      <sheetName val="dd"/>
      <sheetName val="Nombre de SOP"/>
      <sheetName val="Vermelha"/>
      <sheetName val="Список"/>
      <sheetName val="targets"/>
      <sheetName val=" mngt Pillar"/>
      <sheetName val="2. Indicadores"/>
      <sheetName val="Ta¨"/>
      <sheetName val="Ta 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隐患统计图"/>
      <sheetName val="Other Listings"/>
      <sheetName val="Registros"/>
      <sheetName val="菜单联动"/>
      <sheetName val="[손익기01_XL_x0000__x0000_DePara2"/>
      <sheetName val="_손익기01_XL_x0000__x0000_DePara2"/>
      <sheetName val="[손익기01_XL_x0000__x0000_DePara1"/>
      <sheetName val="_손익기01_XL_x0000__x0000_DePara1"/>
      <sheetName val="有效性"/>
      <sheetName val="基础信息"/>
      <sheetName val="不安全行为库"/>
      <sheetName val="KPI标准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Capa"/>
      <sheetName val="Reference"/>
      <sheetName val="Dropdown"/>
      <sheetName val="Unidades_SAC-REVENDA4"/>
      <sheetName val="FornecM_Check2"/>
      <sheetName val="Mod_Relac_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Check_Qualidade"/>
      <sheetName val="De_Para1"/>
      <sheetName val="Check_Aderencia"/>
      <sheetName val="Ta"/>
      <sheetName val="Base_Farol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MRL_NON_SUPPLY_URU"/>
      <sheetName val="AIIM_-_Empresas_Ext_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Refs"/>
      <sheetName val="Motorista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참조용"/>
      <sheetName val="Comp Inseguros"/>
      <sheetName val="Controls"/>
      <sheetName val="BNR_2012 в ящике"/>
      <sheetName val="筛选列表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Julio"/>
      <sheetName val="CONTADOR"/>
      <sheetName val="DROP"/>
      <sheetName val="INGRESO"/>
      <sheetName val="DATOS DE VALIDACIÓN"/>
      <sheetName val="clasificación"/>
      <sheetName val="Datos con"/>
      <sheetName val="Dato"/>
      <sheetName val="Enero(11)"/>
      <sheetName val="Respel-RAEE"/>
      <sheetName val="Asistencia"/>
      <sheetName val=" Datos Cond."/>
      <sheetName val="CRITERIOS"/>
      <sheetName val="DO NOT MOVE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lassification_分类4"/>
      <sheetName val="tab_STATUS_DO_PROCESSO_4"/>
      <sheetName val="Perf__Plan__Diário14"/>
      <sheetName val="In_(2)4"/>
      <sheetName val="__한국_AMP_ASP-23_판매가격__4"/>
      <sheetName val="제조원가_원단위_분석4"/>
      <sheetName val="종합표양식(품의_&amp;_입고)_24"/>
      <sheetName val="원가관리_(동월대비)4"/>
      <sheetName val="b_balju_(2)4"/>
      <sheetName val="2-2_매출분석4"/>
      <sheetName val="몰드시스템_리스트4"/>
      <sheetName val="11_외화채무증권(AFS,HTM)084"/>
      <sheetName val="13_감액TEST_084"/>
      <sheetName val="12년_CF(9월)4"/>
      <sheetName val="중기조종사_단위단가4"/>
      <sheetName val="6PILE__(돌출)4"/>
      <sheetName val="Sheet1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Data_validation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97_사업추정(WEKI)2"/>
      <sheetName val="Tong_hop2"/>
      <sheetName val="95_1_1이후취득자산(숨기기상태)2"/>
      <sheetName val="6월_공정외주2"/>
      <sheetName val="입출재고현황_(2)2"/>
      <sheetName val="TRE_TABLE2"/>
      <sheetName val="입찰내역_발주처_양식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Jul-Sep_Actual_cost_(2)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INGRESO (2)"/>
      <sheetName val="PG-K1610 (UEN Areas)MNG"/>
      <sheetName val="DATOS GEN."/>
      <sheetName val="NUEVOS CRITERIOS"/>
      <sheetName val="Un"/>
      <sheetName val="Condiciones Agua"/>
      <sheetName val="Justificativas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도급)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기성청구_공문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表21_净利润调节表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6월_공정외주3"/>
      <sheetName val="입출재고현황_(2)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品牌填写下拉菜单"/>
      <sheetName val="PINC汇总"/>
      <sheetName val="选项"/>
      <sheetName val="필요면적"/>
      <sheetName val="네고14"/>
      <sheetName val="관리1"/>
      <sheetName val="대구은행"/>
      <sheetName val="원재료"/>
      <sheetName val="비품"/>
      <sheetName val="control sheet"/>
      <sheetName val="구분 Table"/>
      <sheetName val="PF 현황(11년12월)"/>
      <sheetName val="역T형옹벽(3.0)"/>
      <sheetName val="노원열병합  건축공사기성내역서"/>
      <sheetName val="1711월"/>
      <sheetName val="OH _x000f__x0000__x000c__x0000__x0006__x0000__x0005__x0000__x000c__x0000_"/>
      <sheetName val="_x0000__x0004__x0000__x0002__x0000__x0002__x0000__x0005__x0000__x0008__x0000_"/>
      <sheetName val="ࠀ฀က฀Ԁ"/>
      <sheetName val="640ꠌ᜹렀㣃씃"/>
      <sheetName val="640ꠏ᜹쀀씃"/>
      <sheetName val="OH _x000f_"/>
      <sheetName val="____"/>
      <sheetName val="_"/>
      <sheetName val="산출"/>
      <sheetName val="master(ZH)"/>
      <sheetName val="PUR-12K"/>
      <sheetName val="TSCLFEB"/>
      <sheetName val="Legend"/>
      <sheetName val="Note"/>
      <sheetName val="物料主数据"/>
      <sheetName val="Dropdown list"/>
      <sheetName val="Liste"/>
      <sheetName val="清单"/>
      <sheetName val="beerflow"/>
      <sheetName val="[손익기01_XLDePara5"/>
      <sheetName val="_손익기01_XLDePara5"/>
      <sheetName val="Control de Fallas"/>
      <sheetName val="Setup for Templates"/>
      <sheetName val="Datos emp"/>
      <sheetName val="Проверки"/>
      <sheetName val="Drop list"/>
      <sheetName val="FX Rates"/>
      <sheetName val="Proced."/>
      <sheetName val="PTN"/>
      <sheetName val="Cut Machine Summary"/>
      <sheetName val="Validation lists"/>
      <sheetName val="Planilha_relts_xdb75__xdb62_eos7"/>
      <sheetName val="Testing_Template_Huidance1"/>
      <sheetName val="  한국 AMP ASP-23 판㧤가격  "/>
      <sheetName val="11.䡸화채무줝ⴌ(AFS,HTM)08"/>
      <sheetName val="status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Lev 4 360 deg check Crit Task"/>
      <sheetName val="Lev 4 Chk IC Stock Crit Task"/>
      <sheetName val="Lev 4 WMS Putaway Crit Task"/>
      <sheetName val="Final_Summary-All"/>
      <sheetName val="Auxiliary"/>
      <sheetName val="PREENCHIMENTO"/>
      <sheetName val="Vagas x Candidatos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Imputs"/>
      <sheetName val="Champions List"/>
      <sheetName val="Guidelines"/>
      <sheetName val="NAZ Strategy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sum1_(2)4"/>
      <sheetName val="3_바닥판설계4"/>
      <sheetName val="6월_공정외주4"/>
      <sheetName val="2_대외공문4"/>
      <sheetName val="2_총괄표4"/>
      <sheetName val="입출재고현황_(2)4"/>
      <sheetName val="504전기실_동부하-L4"/>
      <sheetName val="OUTER_AREA(겹침없음)4"/>
      <sheetName val="EL_표면적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FX_Rates"/>
      <sheetName val="Vagas_x_Candidatos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__한국_AMP_ASP-23_판㧤가격__"/>
      <sheetName val="11_䡸화채무줝ⴌ(AFS,HTM)08"/>
      <sheetName val="Drop_list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_손익기01_XL_x0000__x1"/>
      <sheetName val="_손익기01_XL_x005f_x0000__x2"/>
      <sheetName val="费用指引"/>
      <sheetName val="进货时间"/>
      <sheetName val="参考字段（不许更改）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생산성"/>
      <sheetName val="Book1"/>
      <sheetName val="数据分类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Análise Tempos"/>
      <sheetName val="Incentivo Automóvil"/>
      <sheetName val="EQR"/>
      <sheetName val="CNQ"/>
      <sheetName val="Справочник"/>
      <sheetName val="PDA BOP"/>
      <sheetName val="Referencias"/>
      <sheetName val="Códigos"/>
      <sheetName val="Validação de Dados"/>
      <sheetName val="No llenar "/>
      <sheetName val="0-info"/>
      <sheetName val="FAI分析"/>
      <sheetName val="미관리업소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1. 템플릿"/>
      <sheetName val="2. 작성 참고사항"/>
      <sheetName val="1월"/>
      <sheetName val="2월"/>
      <sheetName val="3월"/>
      <sheetName val="4월"/>
      <sheetName val="거리"/>
      <sheetName val="架构"/>
      <sheetName val="库存模板"/>
      <sheetName val="陈列明细"/>
      <sheetName val="mapping (2)"/>
      <sheetName val="Ref."/>
      <sheetName val="折扣类型"/>
      <sheetName val="目标SKU"/>
      <sheetName val="Backup"/>
      <sheetName val="匹配"/>
      <sheetName val="序列"/>
      <sheetName val="Lista de Motivos"/>
      <sheetName val="Ponto Crítico - Resp. Plano"/>
      <sheetName val="Lista Funcionários (2)"/>
      <sheetName val="PIRÂMIDE"/>
      <sheetName val="Consolidator"/>
      <sheetName val="2.3 Projects Status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TO_Data_Base18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3_ISo_YTD10"/>
      <sheetName val="E_法规NC10"/>
      <sheetName val="Données_LMU10"/>
      <sheetName val="Brazil_Sovereign10"/>
      <sheetName val="Resumen_Costo10"/>
      <sheetName val="Extract_Loss10"/>
      <sheetName val="QA_跟踪记录表10"/>
      <sheetName val="5_110"/>
      <sheetName val="Como_Estamos10"/>
      <sheetName val="Base_de_Dados10"/>
      <sheetName val="RG_Depots10"/>
      <sheetName val="material_data10"/>
      <sheetName val="other_data10"/>
      <sheetName val="Database_(RUR)Mar_YTD10"/>
      <sheetName val="SKU_Mapping10"/>
      <sheetName val="Drop_Down10"/>
      <sheetName val="Raw_Data10"/>
      <sheetName val="EBM-2_GHQ10"/>
      <sheetName val="Base_PEF11"/>
      <sheetName val="Testing_Template_Guidance10"/>
      <sheetName val="Test_Programs10"/>
      <sheetName val="Controls_data12"/>
      <sheetName val="Dados_BLP10"/>
      <sheetName val="ARdistr_(2)10"/>
      <sheetName val="FJJX_Bud_IB9"/>
      <sheetName val="look-up_data9"/>
      <sheetName val="Prd_Hierarchy(产品层级)9"/>
      <sheetName val="Com_(2PK)9"/>
      <sheetName val="JOB_PROFILE_-_LAS10"/>
      <sheetName val="요일_테이블10"/>
      <sheetName val="요일_테이블_(2)9"/>
      <sheetName val="Prd_Hierarchy(产品层次)9"/>
      <sheetName val="Project_Code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Income_Stmt9"/>
      <sheetName val="drop_down_list9"/>
      <sheetName val="Figures_Report8"/>
      <sheetName val="[손익기01_XL_x005f_x0000__x005f_x0000_DePara9"/>
      <sheetName val="Quarterly_LBO_Model9"/>
      <sheetName val="[손익기01_XL9"/>
      <sheetName val="_손익기01_XL_x005f_x0000__x005f_x0000_DePara9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Fare_prices8"/>
      <sheetName val="Hotel_prices8"/>
      <sheetName val="tab_STATUS_DO_PROCESSO_8"/>
      <sheetName val="Perf__Plan__Diário18"/>
      <sheetName val="In_(2)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slide_24_cat_A8"/>
      <sheetName val="slide_82_cat_b8"/>
      <sheetName val="Dados_dos_Produtos8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2_카드채권(대출포함)7"/>
      <sheetName val="表21_净利润调节表7"/>
      <sheetName val="MASTER_APP7"/>
      <sheetName val="Cond__Inseguros7"/>
      <sheetName val="Comp__Inseguros7"/>
      <sheetName val="Lista_de_datos7"/>
      <sheetName val="Supply_Cost_Centers7"/>
      <sheetName val="Clasif_7"/>
      <sheetName val="Farol_Acciones7"/>
      <sheetName val="Lista_de_Entrenamientos7"/>
      <sheetName val="Unidades_SAC-REVENDA8"/>
      <sheetName val="FornecM_Check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BEP_加薪_KPI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Issues_List_Payments6"/>
      <sheetName val="Faro_de_Indicadores6"/>
      <sheetName val="TOP_KPIs_MTM6"/>
      <sheetName val="PLAN_DE_ACCION6"/>
      <sheetName val="Grafica_Actos6"/>
      <sheetName val="POC_LIST6"/>
      <sheetName val="Dashboard_Prevención_Riesgos_6"/>
      <sheetName val="APAC_S6"/>
      <sheetName val="APAC_N6"/>
      <sheetName val="Slide_output6"/>
      <sheetName val="do_not_delete6"/>
      <sheetName val="[손익기01_XL??DePara6"/>
      <sheetName val="Farol_Metas6"/>
      <sheetName val="Mod_Relac_6"/>
      <sheetName val="Condiciones_SyE6"/>
      <sheetName val="REALxMETA_-_CERVEJA8"/>
      <sheetName val="REALxMETA_-_REFRI8"/>
      <sheetName val="Directrices_de_Metas_20176"/>
      <sheetName val="DETALLE_MENSUAL6"/>
      <sheetName val="Entity_Target6"/>
      <sheetName val="VALIDACION_DE_DATOS5"/>
      <sheetName val="_손익기01_XL_x005f_x005f_x005f_x0000__x005f_x005f_x6"/>
      <sheetName val="Hazards_Analysis-隐患分析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PAR"/>
      <sheetName val="订单追踪_信阳市区_0825"/>
      <sheetName val="Data_validation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ROCESS MD"/>
      <sheetName val="Table"/>
      <sheetName val="Consolidated_Project List"/>
      <sheetName val="Fixed Cost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Project List"/>
      <sheetName val="概览"/>
      <sheetName val="Выпадающие списки"/>
      <sheetName val="Списки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SOP Freshness"/>
      <sheetName val="PAINEL RECOLHA CRÉDITO"/>
      <sheetName val="Gráficos - CDD"/>
      <sheetName val="Values"/>
      <sheetName val="Industries"/>
      <sheetName val="监控探头清单"/>
      <sheetName val="下拉选项"/>
      <sheetName val="不安全行为分类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Text"/>
      <sheetName val="3. Training &amp; travel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SUPERMONT_P2"/>
      <sheetName val="Brand_P&amp;L1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SUPERMONT_P1"/>
      <sheetName val="Source"/>
      <sheetName val="Dimension IN Sheet1!D1912"/>
      <sheetName val="Dimension IN 1912"/>
      <sheetName val="Introduction"/>
      <sheetName val="Manage to Sustain"/>
      <sheetName val="Meeting List"/>
      <sheetName val="DropLists"/>
      <sheetName val="Packages Info"/>
      <sheetName val="Preferred Option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JOB_PROFILE_-_LAS11"/>
      <sheetName val="ARdistr_(2)11"/>
      <sheetName val="FJJX_Bud_IB10"/>
      <sheetName val="look-up_data10"/>
      <sheetName val="Prd_Hierarchy(产品层级)10"/>
      <sheetName val="Com_(2PK)10"/>
      <sheetName val="Project_Code10"/>
      <sheetName val="[손익기01_XL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drop_down_list10"/>
      <sheetName val="Income_Stmt10"/>
      <sheetName val="[손익기01_XL_x005f_x0000__x005f_x0000_DePara10"/>
      <sheetName val="Quarterly_LBO_Model10"/>
      <sheetName val="_손익기01_XL_x005f_x0000__x005f_x0000_DePara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Figures_Report9"/>
      <sheetName val="Classification_分类9"/>
      <sheetName val="Set_Up10"/>
      <sheetName val="Fare_prices9"/>
      <sheetName val="Hotel_prices9"/>
      <sheetName val="tab_STATUS_DO_PROCESSO_9"/>
      <sheetName val="slide_24_cat_A9"/>
      <sheetName val="slide_82_cat_b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Perf__Plan__Diário19"/>
      <sheetName val="In_(2)9"/>
      <sheetName val="CLASIFICACION_DE_AI9"/>
      <sheetName val="Base_da_Datos9"/>
      <sheetName val="Dados_dos_Produtos9"/>
      <sheetName val="09~10년_매출계획9"/>
      <sheetName val="1_MDF1공장9"/>
      <sheetName val="Incident_유형구분표9"/>
      <sheetName val="3YP2016-Bottom_up8"/>
      <sheetName val="DD_list9"/>
      <sheetName val="Base_de_Datos8"/>
      <sheetName val="Clasif_8"/>
      <sheetName val="Supply_Cost_Centers8"/>
      <sheetName val="Cond__Inseguros8"/>
      <sheetName val="Comp__Inseguros8"/>
      <sheetName val="Lista_de_datos8"/>
      <sheetName val="MASTER_APP8"/>
      <sheetName val="2_카드채권(대출포함)8"/>
      <sheetName val="表21_净利润调节表8"/>
      <sheetName val="Lista_CI8"/>
      <sheetName val="Dashboard_Prevención_Riesgos_7"/>
      <sheetName val="TOP_KPIs_MTM7"/>
      <sheetName val="PLAN_DE_ACCION7"/>
      <sheetName val="Faro_de_Indicadores7"/>
      <sheetName val="Farol_Acciones8"/>
      <sheetName val="Lista_de_Entrenamientos8"/>
      <sheetName val="Unidades_SAC-REVENDA9"/>
      <sheetName val="FornecM_Check7"/>
      <sheetName val="Share_Price_20028"/>
      <sheetName val="_DD_List8"/>
      <sheetName val="BEP_加薪_KPI7"/>
      <sheetName val="_손익기01_XL_x005f_x005f_x005f_x0000__x005f_x005f_x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Estratificación_AI7"/>
      <sheetName val="condicion_inseguras7"/>
      <sheetName val="Actos_Inseguros7"/>
      <sheetName val="Control_de_incidentes7"/>
      <sheetName val="Plan_de_Acción7"/>
      <sheetName val="Hazards_Analysis-隐患分析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Issues_List_Payments7"/>
      <sheetName val="turnover_reason퇴직사유7"/>
      <sheetName val="Grafica_Actos7"/>
      <sheetName val="POC_LIST7"/>
      <sheetName val="Condiciones_SyE7"/>
      <sheetName val="DETALLE_MENSUAL7"/>
      <sheetName val="SKU_Basic_Data7"/>
      <sheetName val="do_not_delete7"/>
      <sheetName val="APAC_S7"/>
      <sheetName val="APAC_N7"/>
      <sheetName val="Slide_output7"/>
      <sheetName val="[손익기01_XL??DePara7"/>
      <sheetName val="Farol_Metas7"/>
      <sheetName val="Mod_Relac_7"/>
      <sheetName val="REALxMETA_-_CERVEJA9"/>
      <sheetName val="REALxMETA_-_REFRI9"/>
      <sheetName val="Directrices_de_Metas_20177"/>
      <sheetName val="Data_validation7"/>
      <sheetName val="Drop-down_List6"/>
      <sheetName val="by_DD6"/>
      <sheetName val="VALIDACION_DE_DATOS6"/>
      <sheetName val="Entity_Target7"/>
      <sheetName val="Jul-Sep_Actual_cost_(2)6"/>
      <sheetName val="Check_Qualidade5"/>
      <sheetName val="De_Para6"/>
      <sheetName val="Check_Aderencia5"/>
      <sheetName val="부재료_비교(11년_vs_10년)5"/>
      <sheetName val="_손익기01_XL_x005f_x0000__x0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_mngt_Pillar5"/>
      <sheetName val="2__Indicadores5"/>
      <sheetName val="Ta_5"/>
      <sheetName val="요일_테이블_5"/>
      <sheetName val="Sheet2_(2)5"/>
      <sheetName val="Other_Listings5"/>
      <sheetName val="Lista_de_Entrenamientos_RSO5"/>
      <sheetName val="Tablero_SDG8"/>
      <sheetName val="Lista_Areas8"/>
      <sheetName val="One_Page8"/>
      <sheetName val="Sub-Productos_HN6"/>
      <sheetName val="Eficiencia_linea5"/>
      <sheetName val="Pauta_RPS_Distribuição4"/>
      <sheetName val="Estoque_(2)4"/>
      <sheetName val="Comp_Inseguros4"/>
      <sheetName val="BNR_2012_в_ящике4"/>
      <sheetName val="DATOS_DE_VALIDACIÓN4"/>
      <sheetName val="Datos_con4"/>
      <sheetName val="_Datos_Cond_4"/>
      <sheetName val="DO_NOT_MOVE4"/>
      <sheetName val="INGRESO_(2)4"/>
      <sheetName val="PG-K1610_(UEN_Areas)MNG4"/>
      <sheetName val="DATOS_GEN_4"/>
      <sheetName val="NUEVOS_CRITERIOS4"/>
      <sheetName val="Condiciones_Agua4"/>
      <sheetName val="Dropdown_list3"/>
      <sheetName val="Proced_3"/>
      <sheetName val="Drop_list3"/>
      <sheetName val="FX_Rates3"/>
      <sheetName val="Cut_Machine_Summary3"/>
      <sheetName val="__한국_AMP_ASP-23_판㧤가격__3"/>
      <sheetName val="11_䡸화채무줝ⴌ(AFS,HTM)08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Data_selection1"/>
      <sheetName val="1_1"/>
      <sheetName val="Customer_&amp;_SO1"/>
      <sheetName val="Session_Proposal1"/>
      <sheetName val="Vagas_x_Candidatos3"/>
      <sheetName val="Listas_y_equipos_a_evaluar3"/>
      <sheetName val="Data_Reporte3"/>
      <sheetName val="Read_me3"/>
      <sheetName val="Champions_List2"/>
      <sheetName val="NAZ_Strategy1"/>
      <sheetName val="Daily_Dashboard3"/>
      <sheetName val="Dropdown_Menu"/>
      <sheetName val="Análise_Tempos"/>
      <sheetName val="PDA_BOP"/>
      <sheetName val="Validação_de_Dados"/>
      <sheetName val="No_llenar_"/>
      <sheetName val="Incentivo_Automóvil"/>
      <sheetName val="유류대_현황"/>
      <sheetName val="mapping_(2)"/>
      <sheetName val="Ref_"/>
      <sheetName val="2_3_Projects_Status"/>
      <sheetName val="Lista_de_Motivos"/>
      <sheetName val="Ponto_Crítico_-_Resp__Plano"/>
      <sheetName val="Lista_Funcionários_(2)"/>
      <sheetName val="Project_List"/>
      <sheetName val="PROCESS_MD"/>
      <sheetName val="Выпадающие_списки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Supporting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不安全行为分析"/>
      <sheetName val="Razão Social"/>
      <sheetName val="MOTOSxCONDUTOR"/>
      <sheetName val="Plan4"/>
      <sheetName val="filtros"/>
      <sheetName val="Relatorio"/>
      <sheetName val="Codes"/>
      <sheetName val="PAINEL_RECOLHA_CRÉDITO"/>
      <sheetName val="Gráficos_-_CDD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Brand_P&amp;L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데이터유효성목록"/>
      <sheetName val="FAB별"/>
      <sheetName val="wall"/>
      <sheetName val="本月预计"/>
      <sheetName val="1)추진현황"/>
      <sheetName val="매출회전"/>
      <sheetName val="소방사항"/>
      <sheetName val="TMPA"/>
      <sheetName val="TLoss"/>
      <sheetName val="예총"/>
      <sheetName val="0304"/>
      <sheetName val="_x005f_x0018__"/>
      <sheetName val="관리자"/>
      <sheetName val="받을어음"/>
      <sheetName val="외상매출금현황-수정분 A2"/>
      <sheetName val="집계"/>
      <sheetName val="1-2.설계변경요청서(갑지)"/>
      <sheetName val="사유집계"/>
      <sheetName val="설계변경내역서(주차관제)"/>
      <sheetName val="증감사유"/>
      <sheetName val="첨부1.(주차관제-.당공)"/>
      <sheetName val="첨부1-1.설계변경내역서(CCTV)"/>
      <sheetName val="첨부1-2.(주차관제-변공)"/>
      <sheetName val="2-6.변공량(추가공사)"/>
      <sheetName val=" 2-1.관제(물량산출서집계표)"/>
      <sheetName val=" 2-2.유도(물량산출서집계표)"/>
      <sheetName val="물량산출서(총괄)"/>
      <sheetName val="3-1.주차관제"/>
      <sheetName val="3-2.주차-광케이블"/>
      <sheetName val="3-3.층별LPR"/>
      <sheetName val="4-1.유도-광케이블"/>
      <sheetName val="4-2.주차키오스크"/>
      <sheetName val="4-3.4면카메라"/>
      <sheetName val="4-5.CCTV"/>
      <sheetName val="4-6.블럭유도등"/>
      <sheetName val="4-7.입구만차등"/>
      <sheetName val="4-8.비상벨"/>
      <sheetName val="협가표"/>
      <sheetName val="1TL종점(1)"/>
      <sheetName val="기준재고"/>
      <sheetName val="수액원료4"/>
      <sheetName val="연체리스료"/>
      <sheetName val="이름표"/>
      <sheetName val="1공구산출내역서"/>
      <sheetName val="7_공사비집_x0000__x0000_Ā_x0000__x0005__x0000_翸_x0000_"/>
      <sheetName val="기성"/>
      <sheetName val="BQ"/>
      <sheetName val="Basic"/>
      <sheetName val="교량하부공"/>
      <sheetName val="1~9 하중계산"/>
      <sheetName val="정공공사"/>
      <sheetName val="미계약2"/>
      <sheetName val="날개벽수량표"/>
      <sheetName val="증감대비"/>
      <sheetName val="공종단가"/>
      <sheetName val="아산추가1220"/>
      <sheetName val="main"/>
      <sheetName val="JT3.0견적-구1"/>
      <sheetName val="Dropbox 목록"/>
      <sheetName val="회사전체"/>
      <sheetName val="대환취급"/>
      <sheetName val="001"/>
      <sheetName val="P_M_별3"/>
      <sheetName val="Back_Data_12"/>
      <sheetName val="Facility_Information2"/>
      <sheetName val="1__작성방식1"/>
      <sheetName val="2_주요계수총괄2"/>
      <sheetName val="Project_Brief2"/>
      <sheetName val="Utility_Usage_YTN_TOWER1"/>
      <sheetName val="118_세금과공과2"/>
      <sheetName val="1_차입금1"/>
      <sheetName val="근거_및_가정1"/>
      <sheetName val="1_본사계정별2"/>
      <sheetName val="부대시행1_(2)1"/>
      <sheetName val="3_6_2남양주택배1"/>
      <sheetName val="단면_(2)2"/>
      <sheetName val="PAD_TR보호대기초1"/>
      <sheetName val="설산1_나1"/>
      <sheetName val="표)CFT장_조직별_배분1"/>
      <sheetName val="20180214_P&amp;T1"/>
      <sheetName val="Ref__중점_추진_과제별_상세1"/>
      <sheetName val="1__시공측량1"/>
      <sheetName val="수종별수량_(2)1"/>
      <sheetName val="Bank_code1"/>
      <sheetName val="해외_기술훈련비_(합계)2"/>
      <sheetName val="설문_평가1"/>
      <sheetName val="납부내역총괄표_(수정)1"/>
      <sheetName val="_견적서1"/>
      <sheetName val="B-1_기본정보1"/>
      <sheetName val="1월_예산1"/>
      <sheetName val="Drop-down_RAW1"/>
      <sheetName val="#1)_투자_구분1"/>
      <sheetName val="전선_및_전선관1"/>
      <sheetName val="Weekly_Progress(계장)1"/>
      <sheetName val="대투_보관자료_변경1"/>
      <sheetName val="외주현황_wq11"/>
      <sheetName val="Basic_Information1"/>
      <sheetName val="Exchange_rate1"/>
      <sheetName val="실행기성_갑지1"/>
      <sheetName val="진행_DATA_(2)"/>
      <sheetName val="NG_Item"/>
      <sheetName val="Ref__Spec_Review_양식"/>
      <sheetName val="Ref__시험항목_테이블"/>
      <sheetName val="Ref__Search_Result_테이블"/>
      <sheetName val="C1_3_1"/>
      <sheetName val="2013_2월_연결대상1"/>
      <sheetName val="7_Utility_Analysis"/>
      <sheetName val="Operational_Activities"/>
      <sheetName val="HQ_급여_"/>
      <sheetName val="OF_급여"/>
      <sheetName val="F_Ma급여"/>
      <sheetName val="SMT_급여"/>
      <sheetName val="QC_급여"/>
      <sheetName val="Sam_sung_급여"/>
      <sheetName val="Dlock_급여"/>
      <sheetName val="_thôi_việc_급여"/>
      <sheetName val="Công_smt"/>
      <sheetName val="Công_smt_(2)"/>
      <sheetName val="Detail_smt"/>
      <sheetName val="Công_QC"/>
      <sheetName val="Detail_QC_"/>
      <sheetName val="Công_SS"/>
      <sheetName val="Detail_SS"/>
      <sheetName val="Công_FMa"/>
      <sheetName val="Detail_FMa"/>
      <sheetName val="Công_OF"/>
      <sheetName val="Detail_OF"/>
      <sheetName val="Công_Dlock"/>
      <sheetName val="Detail_Dlock"/>
      <sheetName val="Công_thôi_việc"/>
      <sheetName val="Detail_thôi"/>
      <sheetName val="2-1_강사료,교통비_지급명세1"/>
      <sheetName val="2-2_투자1"/>
      <sheetName val="Proj__Fin_1"/>
      <sheetName val="ITS_Assumptions"/>
      <sheetName val="Master_Data"/>
      <sheetName val="KEY_CODE1"/>
      <sheetName val="13_포장용역비표준1"/>
      <sheetName val="9_가공부자재표준1"/>
      <sheetName val="8_ROLL표준(TSW)1"/>
      <sheetName val="4_톤당조관량표준1"/>
      <sheetName val="5_조관부자재표준1"/>
      <sheetName val="Rev__Recon_1"/>
      <sheetName val="1_고객불만건수"/>
      <sheetName val="1_변경범위"/>
      <sheetName val="F_월별기성수금현황_"/>
      <sheetName val="준검_내역서"/>
      <sheetName val="수량산출서_갑지"/>
      <sheetName val="G_R300경비"/>
      <sheetName val="AS포장복구_"/>
      <sheetName val="설_계"/>
      <sheetName val="조도계산서_(도서)"/>
      <sheetName val="기초정보_코드"/>
      <sheetName val="날개수량1_5"/>
      <sheetName val="입찰내역_Ĉᇆ"/>
      <sheetName val="입찰내역_Ĉᇆ"/>
      <sheetName val="sum_x000a_"/>
      <sheetName val="6월_공嚺㓶가"/>
      <sheetName val="2_6_三无_(2)"/>
      <sheetName val="보고서_표"/>
      <sheetName val="0__가정_및_결론"/>
      <sheetName val="1__투자비"/>
      <sheetName val="2__Rent-roll"/>
      <sheetName val="3__Funding"/>
      <sheetName val="4__운영수익"/>
      <sheetName val="5__운영비용"/>
      <sheetName val="6_1_N+1년차_NOI_산정"/>
      <sheetName val="6__부동산매각"/>
      <sheetName val="7__보유세"/>
      <sheetName val="8__교통유발부담금"/>
      <sheetName val="9__BS부속"/>
      <sheetName val="10__CF(M)"/>
      <sheetName val="11__IS(M)"/>
      <sheetName val="12__BS(M)"/>
      <sheetName val="14__IS(FY)"/>
      <sheetName val="13__CF(FY)"/>
      <sheetName val="15__BS(FY)"/>
      <sheetName val="16__RE(FY)"/>
      <sheetName val="4_1_월별_에너지_사용량"/>
      <sheetName val="TOWER_12TON"/>
      <sheetName val="TOWER_10TON"/>
      <sheetName val="JIB_CRANE,HOIST"/>
      <sheetName val="Worker_List"/>
      <sheetName val="GB-IC_Villingen_GG"/>
      <sheetName val="M&amp;Q_Lead"/>
      <sheetName val="경영비율 "/>
      <sheetName val="07.01"/>
      <sheetName val="수량산출서 (2)"/>
      <sheetName val="설계내역양식"/>
      <sheetName val="Sheet475"/>
      <sheetName val="Asset9809CAK"/>
      <sheetName val="총괄집계표"/>
      <sheetName val="합계표"/>
      <sheetName val="체신주조서"/>
      <sheetName val="6F8"/>
      <sheetName val="Macro3"/>
      <sheetName val="OUTER_A՜_x0000_缀_x0000__x0000__x0000_尀빙끯"/>
      <sheetName val="工완성공사율"/>
      <sheetName val="개발계획수립"/>
      <sheetName val="건축"/>
      <sheetName val="산근(목록)"/>
      <sheetName val="심사계산"/>
      <sheetName val="기초단가"/>
      <sheetName val="변수"/>
      <sheetName val="심사물량"/>
      <sheetName val="입력"/>
      <sheetName val="노임단"/>
      <sheetName val="단위수량"/>
      <sheetName val="예측단가간지"/>
      <sheetName val="환경일위대가"/>
      <sheetName val="1~69"/>
      <sheetName val="01_건설공사_투입인원수_산정"/>
      <sheetName val="운반공"/>
      <sheetName val="이형관중량"/>
      <sheetName val="일위목록"/>
      <sheetName val="자재단"/>
      <sheetName val="장비단"/>
      <sheetName val="고시단가"/>
      <sheetName val="지구단위계획"/>
      <sheetName val="단위모델"/>
      <sheetName val="PAD_TR보호대기초2"/>
      <sheetName val="1__시공측량2"/>
      <sheetName val="납부내역총괄표_(수정)2"/>
      <sheetName val="수종별수량_(2)2"/>
      <sheetName val="Weekly_Progress(계장)2"/>
      <sheetName val="근거_및_가정2"/>
      <sheetName val="1_차입금2"/>
      <sheetName val="부대시행1_(2)2"/>
      <sheetName val="3_6_2남양주택배2"/>
      <sheetName val="설산1_나2"/>
      <sheetName val="2_실행ﶻĉ_x0000_"/>
      <sheetName val="2_실행䔭疖꜀"/>
      <sheetName val="2_실행ﶻ_x001e__x0000_"/>
      <sheetName val="NCR_HEC_6 Opens"/>
      <sheetName val="NCR_HEC_4 Open &amp; Vendor_2 Opens"/>
      <sheetName val="설비등록"/>
      <sheetName val="A(Rev_3)"/>
      <sheetName val="gr_val"/>
      <sheetName val="gr_sum"/>
      <sheetName val="C1ㅇ"/>
      <sheetName val="단가조정"/>
      <sheetName val="나_출_x0000__x0000_"/>
      <sheetName val="입찰내역_Ĉ"/>
      <sheetName val="1_수인터널"/>
      <sheetName val="부대내역"/>
      <sheetName val="자금_제_x0000__x0000_Ԁ_x0000_"/>
      <sheetName val="Mot So Thuat Ngu EN-VI"/>
      <sheetName val="이자"/>
      <sheetName val="(참조)"/>
      <sheetName val="Investment Category"/>
      <sheetName val="3.공통공사대비"/>
      <sheetName val="2002년12월"/>
      <sheetName val="현장관리비 산출내역"/>
      <sheetName val="일일투입집계표"/>
      <sheetName val="평가데이터"/>
      <sheetName val="무형자산 LS11"/>
      <sheetName val="Global"/>
      <sheetName val="P_M_별4"/>
      <sheetName val="Back_Data_13"/>
      <sheetName val="Facility_Information3"/>
      <sheetName val="1__작성방식2"/>
      <sheetName val="2_주요계수총괄3"/>
      <sheetName val="Project_Brief3"/>
      <sheetName val="Utility_Usage_YTN_TOWER2"/>
      <sheetName val="118_세금과공과3"/>
      <sheetName val="1_본사계정별3"/>
      <sheetName val="단면_(2)3"/>
      <sheetName val="표)CFT장_조직별_배분2"/>
      <sheetName val="20180214_P&amp;T2"/>
      <sheetName val="Ref__중점_추진_과제별_상세2"/>
      <sheetName val="Bank_code2"/>
      <sheetName val="B-1_기본정보2"/>
      <sheetName val="해외_기술훈련비_(합계)3"/>
      <sheetName val="_견적서2"/>
      <sheetName val="1월_예산2"/>
      <sheetName val="Drop-down_RAW2"/>
      <sheetName val="설문_평가2"/>
      <sheetName val="Basic_Information2"/>
      <sheetName val="외주현황_wq12"/>
      <sheetName val="대투_보관자료_변경2"/>
      <sheetName val="#1)_투자_구분2"/>
      <sheetName val="전선_및_전선관2"/>
      <sheetName val="Exchange_rate2"/>
      <sheetName val="실행기성_갑지2"/>
      <sheetName val="Eq__Mobilization1"/>
      <sheetName val="진행_DATA_(2)1"/>
      <sheetName val="Ref__Spec_Review_양식1"/>
      <sheetName val="Ref__시험항목_테이블1"/>
      <sheetName val="Ref__Search_Result_테이블1"/>
      <sheetName val="NG_Item1"/>
      <sheetName val="2013_2월_연결대상2"/>
      <sheetName val="Rev__Recon_11"/>
      <sheetName val="1_고객불만건수1"/>
      <sheetName val="1_변경범위1"/>
      <sheetName val="2-2_투자2"/>
      <sheetName val="Proj__Fin_2"/>
      <sheetName val="ITS_Assumptions1"/>
      <sheetName val="Master_Data1"/>
      <sheetName val="C1_3_11"/>
      <sheetName val="7_Utility_Analysis1"/>
      <sheetName val="Operational_Activities1"/>
      <sheetName val="HQ_급여_1"/>
      <sheetName val="OF_급여1"/>
      <sheetName val="F_Ma급여1"/>
      <sheetName val="SMT_급여1"/>
      <sheetName val="QC_급여1"/>
      <sheetName val="Sam_sung_급여1"/>
      <sheetName val="Dlock_급여1"/>
      <sheetName val="_thôi_việc_급여1"/>
      <sheetName val="Công_smt1"/>
      <sheetName val="Công_smt_(2)1"/>
      <sheetName val="Detail_smt1"/>
      <sheetName val="Công_QC1"/>
      <sheetName val="Detail_QC_1"/>
      <sheetName val="Công_SS1"/>
      <sheetName val="Detail_SS1"/>
      <sheetName val="Công_FMa1"/>
      <sheetName val="Detail_FMa1"/>
      <sheetName val="Công_OF1"/>
      <sheetName val="Detail_OF1"/>
      <sheetName val="Công_Dlock1"/>
      <sheetName val="Detail_Dlock1"/>
      <sheetName val="Công_thôi_việc1"/>
      <sheetName val="Detail_thôi1"/>
      <sheetName val="2-1_강사료,교통비_지급명세2"/>
      <sheetName val="KEY_CODE2"/>
      <sheetName val="13_포장용역비표준2"/>
      <sheetName val="9_가공부자재표준2"/>
      <sheetName val="8_ROLL표준(TSW)2"/>
      <sheetName val="4_톤당조관량표준2"/>
      <sheetName val="5_조관부자재표준2"/>
      <sheetName val="F_월별기성수금현황_1"/>
      <sheetName val="준검_내역서1"/>
      <sheetName val="수량산출서_갑지1"/>
      <sheetName val="G_R300경비1"/>
      <sheetName val="AS포장복구_1"/>
      <sheetName val="설_계1"/>
      <sheetName val="조도계산서_(도서)1"/>
      <sheetName val="기초정보_코드1"/>
      <sheetName val="날개수량1_51"/>
      <sheetName val="6월_공嚺㓶가1"/>
      <sheetName val="2_6_三无_(2)1"/>
      <sheetName val="보고서_표1"/>
      <sheetName val="0__가정_및_결론1"/>
      <sheetName val="1__투자비1"/>
      <sheetName val="2__Rent-roll1"/>
      <sheetName val="3__Funding1"/>
      <sheetName val="4__운영수익1"/>
      <sheetName val="5__운영비용1"/>
      <sheetName val="6_1_N+1년차_NOI_산정1"/>
      <sheetName val="6__부동산매각1"/>
      <sheetName val="7__보유세1"/>
      <sheetName val="8__교통유발부담금1"/>
      <sheetName val="9__BS부속1"/>
      <sheetName val="10__CF(M)1"/>
      <sheetName val="11__IS(M)1"/>
      <sheetName val="12__BS(M)1"/>
      <sheetName val="14__IS(FY)1"/>
      <sheetName val="13__CF(FY)1"/>
      <sheetName val="15__BS(FY)1"/>
      <sheetName val="16__RE(FY)1"/>
      <sheetName val="4_1_월별_에너지_사용량1"/>
      <sheetName val="TOWER_12TON1"/>
      <sheetName val="TOWER_10TON1"/>
      <sheetName val="JIB_CRANE,HOIST1"/>
      <sheetName val="Worker_List1"/>
      <sheetName val="GB-IC_Villingen_GG1"/>
      <sheetName val="M&amp;Q_Lead1"/>
      <sheetName val="sum"/>
      <sheetName val="3_일반사상"/>
      <sheetName val="OH_"/>
      <sheetName val="업무_분류(Category)"/>
      <sheetName val="#1_Basic"/>
      <sheetName val="첨부#2_Cash_Flow(현장작성)"/>
      <sheetName val="산자사_운전용품"/>
      <sheetName val="경영비율_"/>
      <sheetName val="Dropbox_목록"/>
      <sheetName val="실행내역서 "/>
      <sheetName val="Sheet16"/>
      <sheetName val="Mot_So_Thuat_Ngu_EN-VI"/>
      <sheetName val="지급어음"/>
      <sheetName val="중속정보"/>
      <sheetName val="실행예산SHEET도장재검토"/>
      <sheetName val="0901"/>
      <sheetName val="식문화"/>
      <sheetName val="SRS 월별 BS"/>
      <sheetName val="SRS"/>
      <sheetName val="중기매출"/>
      <sheetName val="제조비(신청)"/>
      <sheetName val="경쟁사생산량추이"/>
      <sheetName val="12매출실적Copy"/>
      <sheetName val="매출액"/>
      <sheetName val="경영현황"/>
      <sheetName val="4월실적"/>
      <sheetName val="C"/>
      <sheetName val="평가&amp;선급.미지급"/>
      <sheetName val="지질조사"/>
      <sheetName val="07년10~12월"/>
      <sheetName val="EXC IND"/>
      <sheetName val="SRS_월별_BS"/>
      <sheetName val="평가&amp;선급_미지급"/>
      <sheetName val="COLOR별 인쇄"/>
      <sheetName val="일정표"/>
      <sheetName val="FED"/>
      <sheetName val="급여인상효과-연간부담분"/>
      <sheetName val="91"/>
      <sheetName val="생산1-2"/>
      <sheetName val="생산1-1"/>
      <sheetName val="매출계획"/>
      <sheetName val="품의서개정(갑)"/>
      <sheetName val="10.예산 및 원가 계획(02년)"/>
      <sheetName val="Sensitivity and GC Value"/>
      <sheetName val="2.Consideration sheet"/>
      <sheetName val="3. Export"/>
      <sheetName val="_x005f_x0000___x0000__x0000__x0005__x0000_㴐ኰ"/>
      <sheetName val="_x005f_x0000___x0000__x0000__x0005__x0000_움ᕕ"/>
      <sheetName val="부대공사총괄"/>
      <sheetName val="건축공사집계표"/>
      <sheetName val="방배동내역 (총괄)"/>
      <sheetName val="BSD (2)"/>
      <sheetName val="공통비_x0000__x0000_ʯ"/>
      <sheetName val="공통비_x0000_í遘̩"/>
      <sheetName val="유리단가"/>
      <sheetName val="DB"/>
      <sheetName val="자판실행"/>
      <sheetName val="단가조사표"/>
      <sheetName val="운반"/>
      <sheetName val="_x005f_x0000_"/>
      <sheetName val="기타수지&amp;특별손익_ﹴÕ"/>
      <sheetName val="SS20"/>
      <sheetName val="SS10"/>
      <sheetName val="생산"/>
      <sheetName val="국내_x0000__x0000_"/>
      <sheetName val="날개벽(시점좌측)"/>
      <sheetName val="철거산출근거"/>
      <sheetName val="_Cash_Flow(자_x0000__x0000_"/>
      <sheetName val="_x005f_x005f_x005f_x005f_x005f_x005f_x005f_x0018__x005f"/>
      <sheetName val="_x005f_x005f_x005f_x0018__"/>
      <sheetName val="파일의이용"/>
      <sheetName val="NKC (final)"/>
      <sheetName val="__Dscljh_c_EXCEL________1_96__2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7_공사비집Ā翸"/>
      <sheetName val="NKC_(final)"/>
      <sheetName val="1-2_설계변경요청서(갑지)"/>
      <sheetName val="첨부1_(주차관제-_당공)"/>
      <sheetName val="첨부1-1_설계변경내역서(CCTV)"/>
      <sheetName val="첨부1-2_(주차관제-변공)"/>
      <sheetName val="2-6_변공량(추가공사)"/>
      <sheetName val="_2-1_관제(물량산출서집계표)"/>
      <sheetName val="_2-2_유도(물량산출서집계표)"/>
      <sheetName val="3-1_주차관제"/>
      <sheetName val="3-2_주차-광케이블"/>
      <sheetName val="3-3_층별LPR"/>
      <sheetName val="4-1_유도-광케이블"/>
      <sheetName val="4-2_주차키오스크"/>
      <sheetName val="4-3_4면카메라"/>
      <sheetName val="4-5_CCTV"/>
      <sheetName val="4-6_블럭유도등"/>
      <sheetName val="4-7_입구만차등"/>
      <sheetName val="4-8_비상벨"/>
      <sheetName val="항목(1)"/>
      <sheetName val="BOOK4"/>
      <sheetName val="증감내역서"/>
      <sheetName val="단면치수"/>
      <sheetName val="간접비"/>
      <sheetName val="504전기실_x0000__x0000__x0001_Ԁ_x0000_"/>
      <sheetName val="상반기손익차2총괄"/>
      <sheetName val="OUTER_A՜"/>
      <sheetName val="7_공사비집"/>
      <sheetName val="_x005f_x0000__"/>
      <sheetName val="공통비"/>
      <sheetName val="자금_제"/>
      <sheetName val="504전기실"/>
      <sheetName val="건축갑지"/>
      <sheetName val="건축내역서"/>
      <sheetName val="견적보고서"/>
      <sheetName val="토공(우물통,기타) "/>
      <sheetName val="504전기실_Ç_x0000_Ԁ_x0000_瀀"/>
      <sheetName val="504전기실_Ç_x0000_Ԁ_x0000_退"/>
      <sheetName val="504전기실_壇멿︀ⳕԯ"/>
      <sheetName val="공기연장현황"/>
      <sheetName val="공종별집계"/>
      <sheetName val="오스피셔스제사차"/>
      <sheetName val="입찰내역 _x0000__x0000__x0000__x0001_Ԁ_x0000_"/>
      <sheetName val="지급제한자"/>
      <sheetName val="원가관리_(동월대-_x0000_Ԁ"/>
      <sheetName val="총 원가계산"/>
      <sheetName val="첨부1-2. 증감사유내역서(을)"/>
      <sheetName val="유효성 목록"/>
      <sheetName val="드롭다운(수정금지)"/>
      <sheetName val="23기-3분기결산PL"/>
      <sheetName val="类别"/>
      <sheetName val="(실사조정)총괄"/>
      <sheetName val="FORM4"/>
      <sheetName val="FORM1"/>
      <sheetName val="FORM2"/>
      <sheetName val="FORM3"/>
      <sheetName val="FORM5"/>
      <sheetName val="FORM10"/>
      <sheetName val="FORM15"/>
      <sheetName val="FORM16"/>
      <sheetName val="연결조정사항(2019)"/>
      <sheetName val="20년 동일기간 소테마"/>
      <sheetName val="2005조관부자재표준"/>
      <sheetName val="2005공정별직접노무비표준"/>
      <sheetName val="2005공정별전력비표준"/>
      <sheetName val="2005도금부자재표준"/>
      <sheetName val="2005톤당조관량표준"/>
      <sheetName val="2005인발표준"/>
      <sheetName val="4월 매출"/>
      <sheetName val="Stop"/>
      <sheetName val="Accueil"/>
      <sheetName val="C61X-BOM"/>
      <sheetName val="tifico"/>
      <sheetName val="신당동집계표"/>
      <sheetName val="통က_x0000_"/>
      <sheetName val="식재총괄"/>
      <sheetName val="조도"/>
      <sheetName val="방배2E"/>
      <sheetName val="1.설계조건"/>
      <sheetName val="1.설계기준"/>
      <sheetName val="경상직원"/>
      <sheetName val="6PILE__(Y_x0000__x0000_"/>
      <sheetName val="합산목표(감가+5_x0000__x0000_Ԁ_x0000_䀀"/>
      <sheetName val="6PILE__(剙_x0010__x0000_"/>
      <sheetName val="입찰내역 _x0000_⊍_x0000__x0000_∀的"/>
      <sheetName val="P-J"/>
      <sheetName val="단독빌딩 총합계본"/>
      <sheetName val="참고3.DATA"/>
      <sheetName val=" Drop"/>
      <sheetName val="3.판관비명세서"/>
      <sheetName val="골조"/>
      <sheetName val="단가산출서"/>
      <sheetName val="4월25일실행"/>
      <sheetName val="경계석,골재외 (2)"/>
      <sheetName val="물가대비표"/>
      <sheetName val="ALK_Chi tiết công nợ"/>
      <sheetName val="Parem"/>
      <sheetName val="CHITIET VL-NC-TT1p"/>
      <sheetName val="TONGKE3p"/>
      <sheetName val="공사"/>
      <sheetName val="집계확_x0000_"/>
      <sheetName val="원가관리_(동월대-"/>
      <sheetName val="목록구분"/>
      <sheetName val="기본값"/>
      <sheetName val="BS준비"/>
      <sheetName val="7 _2_"/>
      <sheetName val="ALL"/>
      <sheetName val="LIDE"/>
      <sheetName val="7__2_"/>
      <sheetName val="부서실적"/>
      <sheetName val="xSeries255"/>
      <sheetName val="매출_비용"/>
      <sheetName val="조립지적"/>
      <sheetName val="1st"/>
      <sheetName val="krsec08"/>
      <sheetName val="Report Setup"/>
      <sheetName val="마력및원가표"/>
      <sheetName val="지성학원"/>
      <sheetName val="손익합산"/>
      <sheetName val="특정현금과예금"/>
      <sheetName val="현금과예금"/>
      <sheetName val="OWNER-1 (2)"/>
      <sheetName val="Sheet7"/>
      <sheetName val="유예기간"/>
      <sheetName val="07수주상세"/>
      <sheetName val="생산대일정"/>
      <sheetName val="pre-inv"/>
      <sheetName val="보조부문비배부"/>
      <sheetName val="1월말"/>
      <sheetName val="고객만족도 향상"/>
      <sheetName val="ScraRework"/>
      <sheetName val="생산계획"/>
      <sheetName val="판매계획"/>
      <sheetName val="IS_KGAAP"/>
      <sheetName val="통일"/>
      <sheetName val="3-3"/>
      <sheetName val="산출데이타(a)"/>
      <sheetName val="02"/>
      <sheetName val="3"/>
      <sheetName val="4"/>
      <sheetName val="08"/>
      <sheetName val="월확9601"/>
      <sheetName val="가격조사서"/>
      <sheetName val="108.수선비"/>
      <sheetName val="7__2_1"/>
      <sheetName val="Report_Setup"/>
      <sheetName val="OWNER-1_(2)"/>
      <sheetName val="MethodB"/>
      <sheetName val="제조부문배부"/>
      <sheetName val="자재코드"/>
      <sheetName val="DX220LC_M-BOM"/>
      <sheetName val="MethodC"/>
      <sheetName val="S225NLC-V"/>
      <sheetName val="S300V-MBOM"/>
      <sheetName val="WELDING"/>
      <sheetName val="프로젝트_LIST"/>
      <sheetName val="공정불량LIST"/>
      <sheetName val="입고단가기준"/>
      <sheetName val="7__2_2"/>
      <sheetName val="Report_Setup1"/>
      <sheetName val="#1_Basic1"/>
      <sheetName val="OWNER-1_(2)1"/>
      <sheetName val="BS준비.XLS"/>
      <sheetName val="BS%EC%A4%80%EB%B9%84.XLS"/>
      <sheetName val="ITEM-LIST"/>
      <sheetName val="출자한도"/>
      <sheetName val="CD-실적"/>
      <sheetName val="기초데이타"/>
      <sheetName val="품의"/>
      <sheetName val="동해title"/>
      <sheetName val="3210이연법인세"/>
      <sheetName val="0212"/>
      <sheetName val="comm"/>
      <sheetName val="리드"/>
      <sheetName val="기본사항"/>
      <sheetName val="CashFlow(중간집계)"/>
      <sheetName val="현재"/>
      <sheetName val="퇴직금추계(04.9.30)"/>
      <sheetName val="세율등"/>
      <sheetName val="1.경제설계"/>
      <sheetName val="해외생산"/>
      <sheetName val="경수97.02"/>
      <sheetName val="업무분장(현행)"/>
      <sheetName val="현금명세"/>
      <sheetName val="1995년 섹터별 매출"/>
      <sheetName val="현금및현금등가물"/>
      <sheetName val="GA"/>
      <sheetName val="서울(안)"/>
      <sheetName val="Lead"/>
      <sheetName val="Links"/>
      <sheetName val="실적분석"/>
      <sheetName val="SALE&amp;COST"/>
      <sheetName val="44-2Q 주석.xlsx"/>
      <sheetName val="고상실행"/>
      <sheetName val="MCS"/>
      <sheetName val="종합표"/>
      <sheetName val="팀_업체별 월기성실적"/>
      <sheetName val="팀_업체별 시공의뢰"/>
      <sheetName val="Discipline별"/>
      <sheetName val="수정추가"/>
      <sheetName val="호선별"/>
      <sheetName val="업체별_기능별"/>
      <sheetName val="참고용(시공)"/>
      <sheetName val="참고용(실적)"/>
      <sheetName val="월별인력"/>
      <sheetName val="손익계산서(전사)"/>
      <sheetName val="xxxxxx"/>
      <sheetName val="A(1)"/>
      <sheetName val="A (3)"/>
      <sheetName val="2공구산출내역"/>
      <sheetName val="회사제시BS"/>
      <sheetName val="대차대조"/>
      <sheetName val="DL08 DF 모드"/>
      <sheetName val="CRITERIA1"/>
      <sheetName val="CRITERIA2"/>
      <sheetName val="CRITERIA3"/>
      <sheetName val="재료비_매출원가"/>
      <sheetName val="견적구분"/>
      <sheetName val="99금액"/>
      <sheetName val="원지 수급가"/>
      <sheetName val="현금경비중역"/>
      <sheetName val="2.상각보정명세"/>
      <sheetName val="현금흐름Ⅰ"/>
      <sheetName val="Table_K7"/>
      <sheetName val="부재료입고집계"/>
      <sheetName val="YOEMAGUM"/>
      <sheetName val="다목적갑"/>
      <sheetName val="Warranty"/>
      <sheetName val="4b Consolidated PL"/>
      <sheetName val="C200"/>
      <sheetName val="TT List"/>
      <sheetName val="Planilha_relts??eos7"/>
      <sheetName val="sum "/>
      <sheetName val="SPT vs PHI"/>
      <sheetName val="목차 "/>
      <sheetName val="0. 물류비집계 rev1"/>
      <sheetName val="0. 물류비 집계"/>
      <sheetName val="(1-2) 국내 구간별 운송 견적 1"/>
      <sheetName val="(1-1) 국내 구간별 운송 실적  (2)"/>
      <sheetName val="(1) 국내 사이트 상세 주소 "/>
      <sheetName val="수입 건수 정리"/>
      <sheetName val="(2-1) 수출 해상 (LCL) "/>
      <sheetName val="(2-2) 수출 항공 "/>
      <sheetName val="(2-4) 수출 내륙 운송료"/>
      <sheetName val="(3-1) 수입 해상 (FCL)"/>
      <sheetName val="(3-2) 수입 해상 (LCL) "/>
      <sheetName val="(3-3) 수입 항공 "/>
      <sheetName val="(3-5) 수입 내륙 운송료"/>
      <sheetName val="물류비"/>
      <sheetName val="운송내역 "/>
      <sheetName val="간접경상비"/>
      <sheetName val="무역한도관리"/>
      <sheetName val="퇴직사유"/>
      <sheetName val="기준정보基准信息参考"/>
      <sheetName val="계정정보"/>
      <sheetName val="F4-F7"/>
      <sheetName val="Supplement2"/>
      <sheetName val="카테고리 분류 (수정X)"/>
      <sheetName val="__한국_AMP_ASP-23_판매가격_롟"/>
      <sheetName val="기타코드"/>
      <sheetName val="단기대여금"/>
      <sheetName val="장기대여금"/>
      <sheetName val="Menu_Link"/>
      <sheetName val="PH 5"/>
      <sheetName val="bar chart-rev"/>
      <sheetName val="CERTIFICATE"/>
      <sheetName val="B05"/>
      <sheetName val="B07"/>
      <sheetName val="A02"/>
      <sheetName val="A04"/>
      <sheetName val="A13"/>
      <sheetName val="B08"/>
      <sheetName val="B10"/>
      <sheetName val="STRAT_PLAN_WKSHT2"/>
      <sheetName val="Sales_Plan_&amp;_other2"/>
      <sheetName val="drop_downs1"/>
      <sheetName val="구분_Table"/>
      <sheetName val="역T형옹벽(3_0)"/>
      <sheetName val="외상매출금현황-수정분_A2"/>
      <sheetName val="Project_Count"/>
      <sheetName val="control_sheet"/>
      <sheetName val="PF_현황(11년12월)"/>
      <sheetName val="Diesel_Price_"/>
      <sheetName val="견적_맵"/>
      <sheetName val="업무분장_"/>
      <sheetName val="7300-1000_111"/>
      <sheetName val="PJT_현황"/>
      <sheetName val="참고)_기준정보"/>
      <sheetName val="Long_Term_Prices"/>
      <sheetName val="문의내용_카테고리_분류(수정X)"/>
      <sheetName val="Sensitivity_and_GC_Value"/>
      <sheetName val="Insight MTD QTD YTD DATA"/>
      <sheetName val="Working (PivotTable)"/>
      <sheetName val="Essbase (53 Weeks)"/>
      <sheetName val="Essbase (52 Weeks)"/>
      <sheetName val="Store Listing"/>
      <sheetName val="COMP Working"/>
      <sheetName val="Q1"/>
      <sheetName val="Q2"/>
      <sheetName val="Q3"/>
      <sheetName val="COMP LLY Working"/>
      <sheetName val="주주명부&lt;끝&gt;"/>
      <sheetName val="지역개발"/>
      <sheetName val="매입매출(입력)"/>
      <sheetName val="상표권"/>
      <sheetName val="품목리스트"/>
      <sheetName val="공사비지급"/>
      <sheetName val="사업단위"/>
      <sheetName val="운영경비 세부작성근거"/>
      <sheetName val="⑤항목별2"/>
      <sheetName val="산출기준(파견전산실)"/>
      <sheetName val="보빈규격"/>
      <sheetName val="변동률산출"/>
      <sheetName val="완성차 미수금"/>
      <sheetName val="토지평가조서(발송용)"/>
      <sheetName val="1_종합손익(도급)12"/>
      <sheetName val="1_종합손익(주택,개발)12"/>
      <sheetName val="2_실행예산12"/>
      <sheetName val="2_2과부족12"/>
      <sheetName val="2_3원가절감12"/>
      <sheetName val="8_외주비집행현황12"/>
      <sheetName val="9_자재비12"/>
      <sheetName val="10_현장집행12"/>
      <sheetName val="3_추가원가12"/>
      <sheetName val="3_추가원가_(2)12"/>
      <sheetName val="4_사전공사12"/>
      <sheetName val="5_추정공사비12"/>
      <sheetName val="6_금융비용12"/>
      <sheetName val="7_공사비집행현황(총괄)12"/>
      <sheetName val="11_1생산성12"/>
      <sheetName val="11_2인원산출12"/>
      <sheetName val="b_balju_(2)11"/>
      <sheetName val="__한국_AMP_ASP-23_판매가격__11"/>
      <sheetName val="변경실행(2차)_11"/>
      <sheetName val="CC_Down_load_071611"/>
      <sheetName val="나_출고11"/>
      <sheetName val="나_입고11"/>
      <sheetName val="09년_인건비(속리산)11"/>
      <sheetName val="합산목표(감가+57_5)11"/>
      <sheetName val="Facility_Information4"/>
      <sheetName val="6PILE__(돌출)11"/>
      <sheetName val="기성청구_공문11"/>
      <sheetName val="제조원가_원단위_분석11"/>
      <sheetName val="종합표양식(품의_&amp;_입고)_211"/>
      <sheetName val="원가관리_(동월대비)11"/>
      <sheetName val="2-2_매출분석11"/>
      <sheetName val="중기조종사_단위단가11"/>
      <sheetName val="몰드시스템_리스트11"/>
      <sheetName val="7_(2)13"/>
      <sheetName val="11_외화채무증권(AFS,HTM)0811"/>
      <sheetName val="13_감액TEST_0811"/>
      <sheetName val="Sheet1_(2)11"/>
      <sheetName val="表21_净利润调节表10"/>
      <sheetName val="2_총괄표9"/>
      <sheetName val="sum1_(2)9"/>
      <sheetName val="12년_CF(9월)11"/>
      <sheetName val="Utility_Usage_YTN_TOWER3"/>
      <sheetName val="118_세금과공과4"/>
      <sheetName val="2_대외공문9"/>
      <sheetName val="3_바닥판설계9"/>
      <sheetName val="504전기실_동부하-L9"/>
      <sheetName val="OUTER_AREA(겹침없음)9"/>
      <sheetName val="EL_표면적9"/>
      <sheetName val="P_M_별5"/>
      <sheetName val="TRE_TABLE9"/>
      <sheetName val="입출재고현황_(2)9"/>
      <sheetName val="입찰내역_발주처_양식9"/>
      <sheetName val="설산1_나3"/>
      <sheetName val="Back_Data_14"/>
      <sheetName val="1__작성방식3"/>
      <sheetName val="Project_Brief4"/>
      <sheetName val="2_주요계수총괄4"/>
      <sheetName val="단면_(2)4"/>
      <sheetName val="1_본사계정별4"/>
      <sheetName val="전사_PL14"/>
      <sheetName val="자금_제외_PL14"/>
      <sheetName val="자금_PL14"/>
      <sheetName val="전사_BS14"/>
      <sheetName val="자금_제외_BS14"/>
      <sheetName val="자금_BS14"/>
      <sheetName val="BS_계정_설명14"/>
      <sheetName val="_Cash_Flow(전사)14"/>
      <sheetName val="_Cash_Flow(자금제외)14"/>
      <sheetName val="_Cash_Flow(자금)14"/>
      <sheetName val="ROIC_14"/>
      <sheetName val="인건비_명세14"/>
      <sheetName val="판관비_명세14"/>
      <sheetName val="OH_Cost경비(내역)14"/>
      <sheetName val="OH_Cost경비(배부기준)14"/>
      <sheetName val="기타수지&amp;특별손익_명세14"/>
      <sheetName val="Process_List13"/>
      <sheetName val="제시_손익계산서13"/>
      <sheetName val="업무연락_(2)13"/>
      <sheetName val="M_7회차_담금_계획13"/>
      <sheetName val="01_02월_성과급14"/>
      <sheetName val="09~10년_매출계획11"/>
      <sheetName val="97_사업추정(WEKI)9"/>
      <sheetName val="팀별_실적13"/>
      <sheetName val="팀별_실적_(환산)13"/>
      <sheetName val="6월_공정외주9"/>
      <sheetName val="Tong_hop9"/>
      <sheetName val="95_1_1이후취득자산(숨기기상태)9"/>
      <sheetName val="1_MDF1공장11"/>
      <sheetName val="1__시공측량3"/>
      <sheetName val="근거_및_가정3"/>
      <sheetName val="2_카드채권(대출포함)10"/>
      <sheetName val="PAD_TR보호대기초3"/>
      <sheetName val="수종별수량_(2)3"/>
      <sheetName val="1_차입금3"/>
      <sheetName val="부대시행1_(2)3"/>
      <sheetName val="3_6_2남양주택배3"/>
      <sheetName val="해외_기술훈련비_(합계)4"/>
      <sheetName val="설문_평가3"/>
      <sheetName val="_견적서3"/>
      <sheetName val="전선_및_전선관3"/>
      <sheetName val="1월_예산3"/>
      <sheetName val="#1)_투자_구분3"/>
      <sheetName val="납부내역총괄표_(수정)3"/>
      <sheetName val="B-1_기본정보3"/>
      <sheetName val="Weekly_Progress(계장)3"/>
      <sheetName val="대투_보관자료_변경3"/>
      <sheetName val="표)CFT장_조직별_배분3"/>
      <sheetName val="20180214_P&amp;T3"/>
      <sheetName val="Ref__중점_추진_과제별_상세3"/>
      <sheetName val="실행기성_갑지3"/>
      <sheetName val="Eq__Mobilization2"/>
      <sheetName val="외주현황_wq13"/>
      <sheetName val="Bank_code3"/>
      <sheetName val="Drop-down_RAW3"/>
      <sheetName val="Basic_Information3"/>
      <sheetName val="Exchange_rate3"/>
      <sheetName val="2013_2월_연결대상3"/>
      <sheetName val="보고서_표2"/>
      <sheetName val="0__가정_및_결론2"/>
      <sheetName val="1__투자비2"/>
      <sheetName val="2__Rent-roll2"/>
      <sheetName val="3__Funding2"/>
      <sheetName val="4__운영수익2"/>
      <sheetName val="5__운영비용2"/>
      <sheetName val="6_1_N+1년차_NOI_산정2"/>
      <sheetName val="6__부동산매각2"/>
      <sheetName val="7__보유세2"/>
      <sheetName val="8__교통유발부담금2"/>
      <sheetName val="9__BS부속2"/>
      <sheetName val="10__CF(M)2"/>
      <sheetName val="11__IS(M)2"/>
      <sheetName val="12__BS(M)2"/>
      <sheetName val="14__IS(FY)2"/>
      <sheetName val="13__CF(FY)2"/>
      <sheetName val="15__BS(FY)2"/>
      <sheetName val="16__RE(FY)2"/>
      <sheetName val="G_R300경비2"/>
      <sheetName val="AS포장복구_2"/>
      <sheetName val="설_계2"/>
      <sheetName val="F_월별기성수금현황_2"/>
      <sheetName val="준검_내역서2"/>
      <sheetName val="Rev__Recon_12"/>
      <sheetName val="1_고객불만건수2"/>
      <sheetName val="1_변경범위2"/>
      <sheetName val="수량산출서_갑지2"/>
      <sheetName val="KEY_CODE3"/>
      <sheetName val="2-1_강사료,교통비_지급명세3"/>
      <sheetName val="13_포장용역비표준3"/>
      <sheetName val="9_가공부자재표준3"/>
      <sheetName val="8_ROLL표준(TSW)3"/>
      <sheetName val="4_톤당조관량표준3"/>
      <sheetName val="5_조관부자재표준3"/>
      <sheetName val="4__Inj_투자상세내역13"/>
      <sheetName val="3__Blow_투자_상세내역13"/>
      <sheetName val="Jul-Sep_Actual_cost_(2)8"/>
      <sheetName val="요일_테이블13"/>
      <sheetName val="요일_테이블_(2)12"/>
      <sheetName val="TO_Data_Base21"/>
      <sheetName val="YTD_Summary20"/>
      <sheetName val="Month_Summary20"/>
      <sheetName val="Trial_Balance_MAY_200920"/>
      <sheetName val="TB_Pivot20"/>
      <sheetName val="total_per_LB_LB220"/>
      <sheetName val="Trial_Balance_Vlookup20"/>
      <sheetName val="Trial_Balance_APRIL_200920"/>
      <sheetName val="Roll_Out_AQ20"/>
      <sheetName val="Evolução_mandamentos20"/>
      <sheetName val="Planilha_resultados19"/>
      <sheetName val="Historico_200319"/>
      <sheetName val="Sig_Cycles_Accts_&amp;_Processes19"/>
      <sheetName val="3_ISo_YTD13"/>
      <sheetName val="E_法规NC13"/>
      <sheetName val="Données_LMU13"/>
      <sheetName val="Brazil_Sovereign13"/>
      <sheetName val="Resumen_Costo13"/>
      <sheetName val="Fixed_ZBB13"/>
      <sheetName val="5_113"/>
      <sheetName val="Extract_Loss13"/>
      <sheetName val="QA_跟踪记录表13"/>
      <sheetName val="RG_Depots13"/>
      <sheetName val="material_data13"/>
      <sheetName val="other_data13"/>
      <sheetName val="Como_Estamos13"/>
      <sheetName val="Database_(RUR)Mar_YTD13"/>
      <sheetName val="SKU_Mapping13"/>
      <sheetName val="Drop_Down13"/>
      <sheetName val="Raw_Data13"/>
      <sheetName val="EBM-2_GHQ13"/>
      <sheetName val="Base_PEF14"/>
      <sheetName val="Base_de_Dados13"/>
      <sheetName val="Testing_Template_Guidance13"/>
      <sheetName val="Test_Programs13"/>
      <sheetName val="Dados_BLP13"/>
      <sheetName val="Controls_data15"/>
      <sheetName val="FJJX_Bud_IB12"/>
      <sheetName val="look-up_data12"/>
      <sheetName val="JOB_PROFILE_-_LAS13"/>
      <sheetName val="ARdistr_(2)13"/>
      <sheetName val="Prd_Hierarchy(产品层级)12"/>
      <sheetName val="Com_(2PK)12"/>
      <sheetName val="Prd_Hierarchy(产品层次)12"/>
      <sheetName val="Project_Code12"/>
      <sheetName val="15년_BL_사계12"/>
      <sheetName val="_손익기01_XL12"/>
      <sheetName val="drop_down_list12"/>
      <sheetName val="[손익기01_XL_x005f_x0000__x005f_x0000_DePara12"/>
      <sheetName val="[손익기01_XL12"/>
      <sheetName val="Income_Stmt12"/>
      <sheetName val="Quarterly_LBO_Model12"/>
      <sheetName val="_손익기01_XL_x005f_x0000__x005f_x0000_DePara12"/>
      <sheetName val="Classification_分类11"/>
      <sheetName val="Figures_Report11"/>
      <sheetName val="Set_Up12"/>
      <sheetName val="Fare_prices11"/>
      <sheetName val="Hotel_prices11"/>
      <sheetName val="tab_STATUS_DO_PROCESSO_11"/>
      <sheetName val="Perf__Plan__Diário111"/>
      <sheetName val="In_(2)11"/>
      <sheetName val="slide_24_cat_A11"/>
      <sheetName val="slide_82_cat_b11"/>
      <sheetName val="Incident_유형구분표11"/>
      <sheetName val="CLASIFICACION_DE_AI11"/>
      <sheetName val="Base_da_Datos11"/>
      <sheetName val="Dados_dos_Produtos11"/>
      <sheetName val="DD_list11"/>
      <sheetName val="3YP2016-Bottom_up10"/>
      <sheetName val="MASTER_APP10"/>
      <sheetName val="Cond__Inseguros10"/>
      <sheetName val="Comp__Inseguros10"/>
      <sheetName val="Lista_de_datos10"/>
      <sheetName val="Base_de_Datos10"/>
      <sheetName val="_DD_List10"/>
      <sheetName val="Share_Price_200210"/>
      <sheetName val="Clasif_10"/>
      <sheetName val="Lista_CI10"/>
      <sheetName val="Farol_Acciones10"/>
      <sheetName val="Lista_de_Entrenamientos10"/>
      <sheetName val="Supply_Cost_Centers10"/>
      <sheetName val="BEP_加薪_KPI9"/>
      <sheetName val="2-2_투자3"/>
      <sheetName val="Proj__Fin_3"/>
      <sheetName val="ITS_Assumptions2"/>
      <sheetName val="Master_Data2"/>
      <sheetName val="HQ_급여_2"/>
      <sheetName val="OF_급여2"/>
      <sheetName val="F_Ma급여2"/>
      <sheetName val="SMT_급여2"/>
      <sheetName val="QC_급여2"/>
      <sheetName val="Sam_sung_급여2"/>
      <sheetName val="Dlock_급여2"/>
      <sheetName val="_thôi_việc_급여2"/>
      <sheetName val="Công_smt2"/>
      <sheetName val="Công_smt_(2)2"/>
      <sheetName val="Detail_smt2"/>
      <sheetName val="Công_QC2"/>
      <sheetName val="Detail_QC_2"/>
      <sheetName val="Công_SS2"/>
      <sheetName val="Detail_SS2"/>
      <sheetName val="Công_FMa2"/>
      <sheetName val="Detail_FMa2"/>
      <sheetName val="Công_OF2"/>
      <sheetName val="Detail_OF2"/>
      <sheetName val="Công_Dlock2"/>
      <sheetName val="Detail_Dlock2"/>
      <sheetName val="Công_thôi_việc2"/>
      <sheetName val="Detail_thôi2"/>
      <sheetName val="7_Utility_Analysis2"/>
      <sheetName val="Operational_Activities2"/>
      <sheetName val="기초정보_코드2"/>
      <sheetName val="조도계산서_(도서)2"/>
      <sheetName val="날개수량1_52"/>
      <sheetName val="C1_3_12"/>
      <sheetName val="진행_DATA_(2)2"/>
      <sheetName val="NG_Item2"/>
      <sheetName val="4_1_월별_에너지_사용량2"/>
      <sheetName val="TOWER_12TON2"/>
      <sheetName val="TOWER_10TON2"/>
      <sheetName val="JIB_CRANE,HOIST2"/>
      <sheetName val="Worker_List2"/>
      <sheetName val="GB-IC_Villingen_GG2"/>
      <sheetName val="6월_공嚺㓶가2"/>
      <sheetName val="M&amp;Q_Lead2"/>
      <sheetName val="Ref__Spec_Review_양식2"/>
      <sheetName val="Ref__시험항목_테이블2"/>
      <sheetName val="Ref__Search_Result_테이블2"/>
      <sheetName val="2_6_三无_(2)2"/>
      <sheetName val="3_일반사상1"/>
      <sheetName val="부재료_비교(11년_vs_10년)7"/>
      <sheetName val="Dashboard_Prevención_Riesgos_9"/>
      <sheetName val="TOP_KPIs_MTM9"/>
      <sheetName val="PLAN_DE_ACCION9"/>
      <sheetName val="Faro_de_Indicadores9"/>
      <sheetName val="Unidades_SAC-REVENDA11"/>
      <sheetName val="FornecM_Check9"/>
      <sheetName val="Hazards_Analysis-隐患分析9"/>
      <sheetName val="F08_-_Asia_Pac_Full_Year_Q310"/>
      <sheetName val="Top_Priorities10"/>
      <sheetName val="Listco_Stock10"/>
      <sheetName val="Intl_Purchase10"/>
      <sheetName val="FY_outlook10"/>
      <sheetName val="CY_outlook10"/>
      <sheetName val="Cash_metrics10"/>
      <sheetName val="P6_710"/>
      <sheetName val="DATOS_BASE9"/>
      <sheetName val="Estratificación_AI9"/>
      <sheetName val="condicion_inseguras9"/>
      <sheetName val="Actos_Inseguros9"/>
      <sheetName val="Control_de_incidentes9"/>
      <sheetName val="Plan_de_Acción9"/>
      <sheetName val="_손익기01_XL_x005f_x005f_x005f_x0000__x005f_x005f_x9"/>
      <sheetName val="Issues_List_Payments9"/>
      <sheetName val="turnover_reason퇴직사유9"/>
      <sheetName val="Grafica_Actos9"/>
      <sheetName val="POC_LIST9"/>
      <sheetName val="Condiciones_SyE9"/>
      <sheetName val="DETALLE_MENSUAL9"/>
      <sheetName val="do_not_delete9"/>
      <sheetName val="APAC_S9"/>
      <sheetName val="APAC_N9"/>
      <sheetName val="Slide_output9"/>
      <sheetName val="[손익기01_XL??DePara9"/>
      <sheetName val="Farol_Metas9"/>
      <sheetName val="Mod_Relac_9"/>
      <sheetName val="REALxMETA_-_CERVEJA11"/>
      <sheetName val="REALxMETA_-_REFRI11"/>
      <sheetName val="Directrices_de_Metas_20179"/>
      <sheetName val="SKU_Basic_Data9"/>
      <sheetName val="Entity_Target9"/>
      <sheetName val="VALIDACION_DE_DATOS8"/>
      <sheetName val="Drop-down_List8"/>
      <sheetName val="by_DD8"/>
      <sheetName val="Check_Qualidade7"/>
      <sheetName val="De_Para8"/>
      <sheetName val="Check_Aderencia7"/>
      <sheetName val="A(Rev_3)1"/>
      <sheetName val="업무_분류(Category)1"/>
      <sheetName val="#1_Basic2"/>
      <sheetName val="첨부#2_Cash_Flow(현장작성)1"/>
      <sheetName val="산자사_운전용품1"/>
      <sheetName val="1_수인터널1"/>
      <sheetName val="입찰내역_Ĉ1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STRAT_PLAN_WKSHT3"/>
      <sheetName val="Sales_Plan_&amp;_other3"/>
      <sheetName val="drop_downs2"/>
      <sheetName val="전기요금_산출내역"/>
      <sheetName val="Project_Count1"/>
      <sheetName val="2_FM_Fee_2차년도"/>
      <sheetName val="3_감가장비"/>
      <sheetName val="시스템_개요_유효값"/>
      <sheetName val="문의내용_카테고리_분류(수정X)1"/>
      <sheetName val="업무분장_1"/>
      <sheetName val="7300-1000_112"/>
      <sheetName val="PJT_현황1"/>
      <sheetName val="참고)_기준정보1"/>
      <sheetName val="Long_Term_Prices1"/>
      <sheetName val="Diesel_Price_1"/>
      <sheetName val="견적_맵1"/>
      <sheetName val="_손익기01_XL_x005f_x0000__x07"/>
      <sheetName val="Base_Farol7"/>
      <sheetName val="Gerencial_IL7"/>
      <sheetName val="Ventas_Campo7"/>
      <sheetName val="ACTOS_POR_RIESGO7"/>
      <sheetName val="drop_lists7"/>
      <sheetName val="MRL_NON_SUPPLY_URU7"/>
      <sheetName val="AIIM_-_Empresas_Ext_20127"/>
      <sheetName val="KPIs_Hana7"/>
      <sheetName val="Catalago_de_refacciones_7"/>
      <sheetName val="Existencias_al_07-Nov-20127"/>
      <sheetName val="Check_GG7"/>
      <sheetName val="Sheet3_(2)7"/>
      <sheetName val="요일_테이블_7"/>
      <sheetName val="Nombre_de_SOP7"/>
      <sheetName val="_mngt_Pillar7"/>
      <sheetName val="2__Indicadores7"/>
      <sheetName val="Ta_7"/>
      <sheetName val="Lao_&amp;_Cam7"/>
      <sheetName val="Hoegaarden_20197"/>
      <sheetName val="Lao_&amp;_Cam_20197"/>
      <sheetName val="Malaysia_20197"/>
      <sheetName val="Singapore_20197"/>
      <sheetName val="Sheet2_(2)7"/>
      <sheetName val="Other_Listings7"/>
      <sheetName val="Lista_de_Entrenamientos_RSO7"/>
      <sheetName val="Tablero_SDG10"/>
      <sheetName val="Lista_Areas10"/>
      <sheetName val="One_Page10"/>
      <sheetName val="Sub-Productos_HN8"/>
      <sheetName val="Eficiencia_linea7"/>
      <sheetName val="Pauta_RPS_Distribuição6"/>
      <sheetName val="Estoque_(2)6"/>
      <sheetName val="Comp_Inseguros6"/>
      <sheetName val="BNR_2012_в_ящике6"/>
      <sheetName val="DATOS_DE_VALIDACIÓN6"/>
      <sheetName val="Datos_con6"/>
      <sheetName val="_Datos_Cond_6"/>
      <sheetName val="DO_NOT_MOVE6"/>
      <sheetName val="INGRESO_(2)6"/>
      <sheetName val="PG-K1610_(UEN_Areas)MNG6"/>
      <sheetName val="DATOS_GEN_6"/>
      <sheetName val="NUEVOS_CRITERIOS6"/>
      <sheetName val="Condiciones_Agua6"/>
      <sheetName val="control_sheet1"/>
      <sheetName val="구분_Table1"/>
      <sheetName val="PF_현황(11년12월)1"/>
      <sheetName val="역T형옹벽(3_0)1"/>
      <sheetName val="노원열병합__건축공사기성내역서"/>
      <sheetName val="Dropdown_list5"/>
      <sheetName val="Control_de_Fallas5"/>
      <sheetName val="Setup_for_Templates5"/>
      <sheetName val="Datos_emp5"/>
      <sheetName val="Drop_list5"/>
      <sheetName val="FX_Rates5"/>
      <sheetName val="Proced_5"/>
      <sheetName val="Cut_Machine_Summary5"/>
      <sheetName val="Validation_lists5"/>
      <sheetName val="__한국_AMP_ASP-23_판㧤가격__5"/>
      <sheetName val="11_䡸화채무줝ⴌ(AFS,HTM)085"/>
      <sheetName val="TIPO_DE_ACTO5"/>
      <sheetName val="CRITICIDAD_DE_CI5"/>
      <sheetName val="Catálogo_de_CI5"/>
      <sheetName val="%_CUMPLIMIENTO5"/>
      <sheetName val="%_cumplimiento_5"/>
      <sheetName val="CALIFICACIONES_20193"/>
      <sheetName val="Lev_4_360_deg_check_Crit_Task3"/>
      <sheetName val="Lev_4_Chk_IC_Stock_Crit_Task3"/>
      <sheetName val="Lev_4_WMS_Putaway_Crit_Task3"/>
      <sheetName val="Vagas_x_Candidatos5"/>
      <sheetName val="Listas_y_equipos_a_evaluar5"/>
      <sheetName val="Data_Reporte5"/>
      <sheetName val="Read_me5"/>
      <sheetName val="Champions_List4"/>
      <sheetName val="NAZ_Strategy3"/>
      <sheetName val="Daily_Dashboard5"/>
      <sheetName val="Mapeo_SKUs5"/>
      <sheetName val="Vol_(Ds)5"/>
      <sheetName val="Vol_(Ka)5"/>
      <sheetName val="Vol_(Oth)5"/>
      <sheetName val="Vol_(Oth)_Cortesias5"/>
      <sheetName val="INPUT-Cust_Sugg_Margin(Ds)5"/>
      <sheetName val="On_Invoice5"/>
      <sheetName val="INPUT-Cust_Sugg_Margin(Ka)5"/>
      <sheetName val="INPUT_SKUs5"/>
      <sheetName val="Brand_P&amp;L3"/>
      <sheetName val="SUPERMONT_P3"/>
      <sheetName val="Data_selection3"/>
      <sheetName val="1_3"/>
      <sheetName val="Customer_&amp;_SO3"/>
      <sheetName val="Session_Proposal3"/>
      <sheetName val="Dropdown_Menu1"/>
      <sheetName val="Análise_Tempos2"/>
      <sheetName val="Incentivo_Automóvil2"/>
      <sheetName val="PDA_BOP2"/>
      <sheetName val="Validação_de_Dados2"/>
      <sheetName val="No_llenar_2"/>
      <sheetName val="유류대_현황1"/>
      <sheetName val="1__템플릿1"/>
      <sheetName val="2__작성_참고사항1"/>
      <sheetName val="mapping_(2)1"/>
      <sheetName val="Ref_1"/>
      <sheetName val="Lista_de_Motivos2"/>
      <sheetName val="Ponto_Crítico_-_Resp__Plano2"/>
      <sheetName val="Lista_Funcionários_(2)2"/>
      <sheetName val="2_3_Projects_Status1"/>
      <sheetName val="PROCESS_MD2"/>
      <sheetName val="Consolidated_Project_List1"/>
      <sheetName val="Fixed_Cost1"/>
      <sheetName val="Project_List1"/>
      <sheetName val="Выпадающие_списки1"/>
      <sheetName val="Listas_desplegables1"/>
      <sheetName val="Resumen_General1"/>
      <sheetName val="Cátalogo_de_CI1"/>
      <sheetName val="Hoja2_(2)1"/>
      <sheetName val="Technology_check_list1"/>
      <sheetName val="Status_de_Usuario1"/>
      <sheetName val="Actos_y_Condiciones_1"/>
      <sheetName val="NO_BORRAR1"/>
      <sheetName val="Formato_checklist_Lab1"/>
      <sheetName val="SOP_Freshness"/>
      <sheetName val="PAINEL_RECOLHA_CRÉDITO2"/>
      <sheetName val="Gráficos_-_CDD2"/>
      <sheetName val="3__Training_&amp;_travel"/>
      <sheetName val="Dimension_IN_Sheet1!D1912"/>
      <sheetName val="Dimension_IN_1912"/>
      <sheetName val="Manage_to_Sustain"/>
      <sheetName val="Meeting_List"/>
      <sheetName val="Packages_Info"/>
      <sheetName val="Preferred_Option"/>
      <sheetName val="입문_트랜드(종합분석)"/>
      <sheetName val="Master_CE"/>
      <sheetName val="CE_Final_"/>
      <sheetName val="OL_LIST"/>
      <sheetName val="YTD_GUEST_LIST"/>
      <sheetName val="Session_Full_list"/>
      <sheetName val="FOOD_PAYMENT_update_JAN"/>
      <sheetName val="Rate_card_F19_"/>
      <sheetName val="Master_Plan__(update)"/>
      <sheetName val="The_KPI_"/>
      <sheetName val="Mentor_Plan_"/>
      <sheetName val="Master_Plan_"/>
      <sheetName val="Tier_1_GOV_PC_Networking_"/>
      <sheetName val="Tier_1_LBO_"/>
      <sheetName val="2020_MMR12"/>
      <sheetName val="Razão_Social"/>
      <sheetName val="외상매출금현황-수정분_A21"/>
      <sheetName val="1-2_설계변경요청서(갑지)1"/>
      <sheetName val="첨부1_(주차관제-_당공)1"/>
      <sheetName val="첨부1-1_설계변경내역서(CCTV)1"/>
      <sheetName val="첨부1-2_(주차관제-변공)1"/>
      <sheetName val="2-6_변공량(추가공사)1"/>
      <sheetName val="_2-1_관제(물량산출서집계표)1"/>
      <sheetName val="_2-2_유도(물량산출서집계표)1"/>
      <sheetName val="3-1_주차관제1"/>
      <sheetName val="3-2_주차-광케이블1"/>
      <sheetName val="3-3_층별LPR1"/>
      <sheetName val="4-1_유도-광케이블1"/>
      <sheetName val="4-2_주차키오스크1"/>
      <sheetName val="4-3_4면카메라1"/>
      <sheetName val="4-5_CCTV1"/>
      <sheetName val="4-6_블럭유도등1"/>
      <sheetName val="4-7_입구만차등1"/>
      <sheetName val="4-8_비상벨1"/>
      <sheetName val="1~9_하중계산"/>
      <sheetName val="JT3_0견적-구1"/>
      <sheetName val="Dropbox_목록1"/>
      <sheetName val="경영비율_1"/>
      <sheetName val="07_01"/>
      <sheetName val="수량산출서_(2)"/>
      <sheetName val="2_실행ﶻ"/>
      <sheetName val="NCR_HEC_6_Opens"/>
      <sheetName val="NCR_HEC_4_Open_&amp;_Vendor_2_Opens"/>
      <sheetName val="Mot_So_Thuat_Ngu_EN-VI1"/>
      <sheetName val="Investment_Category"/>
      <sheetName val="3_공통공사대비"/>
      <sheetName val="현장관리비_산출내역"/>
      <sheetName val="무형자산_LS11"/>
      <sheetName val="실행내역서_"/>
      <sheetName val="SRS_월별_BS1"/>
      <sheetName val="평가&amp;선급_미지급1"/>
      <sheetName val="EXC_IND"/>
      <sheetName val="COLOR별_인쇄"/>
      <sheetName val="10_예산_및_원가_계획(02년)"/>
      <sheetName val="Sensitivity_and_GC_Value1"/>
      <sheetName val="2_Consideration_sheet"/>
      <sheetName val="3__Export"/>
      <sheetName val="_x005f_x0000__㴐ኰ"/>
      <sheetName val="_x005f_x0000__움ᕕ"/>
      <sheetName val="방배동내역_(총괄)"/>
      <sheetName val="BSD_(2)"/>
      <sheetName val="NKC_(final)1"/>
      <sheetName val="504전기실Ԁ"/>
      <sheetName val="토공(우물통,기타)_"/>
      <sheetName val="입찰내역_Ԁ"/>
      <sheetName val="총_원가계산"/>
      <sheetName val="첨부1-2__증감사유내역서(을)"/>
      <sheetName val="유효성_목록"/>
      <sheetName val="20년_동일기간_소테마"/>
      <sheetName val="4월_매출"/>
      <sheetName val="1_설계조건"/>
      <sheetName val="1_설계기준"/>
      <sheetName val="6PILE__(剙"/>
      <sheetName val="입찰내역_⊍∀的"/>
      <sheetName val="단독빌딩_총합계본"/>
      <sheetName val="참고3_DATA"/>
      <sheetName val="_Drop"/>
      <sheetName val="3_판관비명세서"/>
      <sheetName val="경계석,골재외_(2)"/>
      <sheetName val="ALK_Chi_tiết_công_nợ"/>
      <sheetName val="CHITIET_VL-NC-TT1p"/>
      <sheetName val="7__2_3"/>
      <sheetName val="Report_Setup2"/>
      <sheetName val="OWNER-1_(2)2"/>
      <sheetName val="고객만족도_향상"/>
      <sheetName val="108_수선비"/>
      <sheetName val="BS준비_XLS"/>
      <sheetName val="BS%EC%A4%80%EB%B9%84_XLS"/>
      <sheetName val="퇴직금추계(04_9_30)"/>
      <sheetName val="1_경제설계"/>
      <sheetName val="경수97_02"/>
      <sheetName val="1995년_섹터별_매출"/>
      <sheetName val="44-2Q_주석_xlsx"/>
      <sheetName val="팀_업체별_월기성실적"/>
      <sheetName val="팀_업체별_시공의뢰"/>
      <sheetName val="A_(3)"/>
      <sheetName val="DL08_DF_모드"/>
      <sheetName val="원지_수급가"/>
      <sheetName val="2_상각보정명세"/>
      <sheetName val="4b_Consolidated_PL"/>
      <sheetName val="TT_List"/>
      <sheetName val="sum_"/>
      <sheetName val="SPT_vs_PHI"/>
      <sheetName val="목차_"/>
      <sheetName val="0__물류비집계_rev1"/>
      <sheetName val="0__물류비_집계"/>
      <sheetName val="(1-2)_국내_구간별_운송_견적_1"/>
      <sheetName val="(1-1)_국내_구간별_운송_실적__(2)"/>
      <sheetName val="(1)_국내_사이트_상세_주소_"/>
      <sheetName val="수입_건수_정리"/>
      <sheetName val="(2-1)_수출_해상_(LCL)_"/>
      <sheetName val="(2-2)_수출_항공_"/>
      <sheetName val="(2-4)_수출_내륙_운송료"/>
      <sheetName val="(3-1)_수입_해상_(FCL)"/>
      <sheetName val="(3-2)_수입_해상_(LCL)_"/>
      <sheetName val="(3-3)_수입_항공_"/>
      <sheetName val="(3-5)_수입_내륙_운송료"/>
      <sheetName val="운송내역_"/>
      <sheetName val="카테고리_분류_(수정X)"/>
      <sheetName val="PH_5"/>
      <sheetName val="bar_chart-rev"/>
      <sheetName val="Insight_MTD_QTD_YTD_DATA"/>
      <sheetName val="Working_(PivotTable)"/>
      <sheetName val="Essbase_(53_Weeks)"/>
      <sheetName val="Essbase_(52_Weeks)"/>
      <sheetName val="Store_Listing"/>
      <sheetName val="COMP_Working"/>
      <sheetName val="COMP_LLY_Working"/>
      <sheetName val="운영경비_세부작성근거"/>
      <sheetName val="완성차_미수금"/>
      <sheetName val="가설전기별첨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KEBHANA(평균환율)"/>
      <sheetName val="SAP 검증(평균환율)"/>
      <sheetName val="KEBHANA(월말환율)"/>
      <sheetName val="SAP 검증(월말환율)"/>
      <sheetName val="환율"/>
      <sheetName val="작성방법"/>
      <sheetName val="전분기말 정산표(PQE)"/>
      <sheetName val="전년동기 정산표"/>
      <sheetName val="전기말 정산표(PYE)"/>
      <sheetName val="당기말 정산표(CPE)"/>
      <sheetName val="회사명"/>
      <sheetName val="목차(Contents)"/>
      <sheetName val="연결정산표"/>
      <sheetName val="범주별"/>
      <sheetName val="A01-1"/>
      <sheetName val="A01-2"/>
      <sheetName val="A01-3"/>
      <sheetName val="A01-3 조정내역"/>
      <sheetName val="A01-3 단순합산"/>
      <sheetName val="현금등"/>
      <sheetName val="A02-1"/>
      <sheetName val="A02-2"/>
      <sheetName val="CF_refer"/>
      <sheetName val="매출채권 및 금융자산"/>
      <sheetName val="A03-1"/>
      <sheetName val="A03-2"/>
      <sheetName val="A03-3"/>
      <sheetName val="A03-3 연결조정"/>
      <sheetName val="A04-1"/>
      <sheetName val="A04-2"/>
      <sheetName val="A04-3"/>
      <sheetName val="A04-4"/>
      <sheetName val="재고"/>
      <sheetName val="A05"/>
      <sheetName val="기타자산"/>
      <sheetName val="A06"/>
      <sheetName val="유형자산"/>
      <sheetName val="A07"/>
      <sheetName val="A07. 유형자산 차기이월, 미실현"/>
      <sheetName val="A07. 유형자산 감가상각"/>
      <sheetName val="A08"/>
      <sheetName val="A08. 연결 조정"/>
      <sheetName val="A09"/>
      <sheetName val="A09. 연결 조정"/>
      <sheetName val="A10"/>
      <sheetName val="A11"/>
      <sheetName val="차입금(완)"/>
      <sheetName val="B01-1"/>
      <sheetName val="B01-2"/>
      <sheetName val="B01-3"/>
      <sheetName val="B01-4"/>
      <sheetName val="B02"/>
      <sheetName val="B03"/>
      <sheetName val="B01 연결 조정"/>
      <sheetName val="순확정급여부채"/>
      <sheetName val="B04"/>
      <sheetName val="B04-1"/>
      <sheetName val="B04 연결 조정"/>
      <sheetName val="충당,계약부채"/>
      <sheetName val="B05 연결 조정"/>
      <sheetName val="B06"/>
      <sheetName val="납입자본(연결자본변동표 참조 작성)"/>
      <sheetName val="이익잉여금(연결자본변동표 참조 작성)"/>
      <sheetName val="기타포괄손익누계액(연결자본변동표 참조 작성)"/>
      <sheetName val="C01(신)"/>
      <sheetName val="C01(구)"/>
      <sheetName val="C02"/>
      <sheetName val="비용의성격"/>
      <sheetName val="D01-1"/>
      <sheetName val="D01-2"/>
      <sheetName val="D01 연결 조정"/>
      <sheetName val="판관비기타금융"/>
      <sheetName val="D02"/>
      <sheetName val="E01"/>
      <sheetName val="E02"/>
      <sheetName val="F01"/>
      <sheetName val="주당손익(개별파일 작성)"/>
      <sheetName val="우발약정"/>
      <sheetName val="G01"/>
      <sheetName val="G02"/>
      <sheetName val="G03"/>
      <sheetName val="G04"/>
      <sheetName val="특관자"/>
      <sheetName val="H01"/>
      <sheetName val="H02"/>
      <sheetName val="H03"/>
      <sheetName val="H04"/>
      <sheetName val="H05"/>
      <sheetName val="H06"/>
      <sheetName val="위험관리"/>
      <sheetName val="I01"/>
      <sheetName val="I02"/>
      <sheetName val="I03"/>
      <sheetName val="I04-1"/>
      <sheetName val="I04-2(내부거래)"/>
      <sheetName val="I04-3(내부거래)"/>
      <sheetName val="I04-4(내부거래)"/>
      <sheetName val="I04-5(장기리스)"/>
      <sheetName val="I05"/>
      <sheetName val="I06"/>
      <sheetName val="J01"/>
      <sheetName val="J01-1"/>
      <sheetName val="K01"/>
      <sheetName val="K02"/>
      <sheetName val="K03"/>
      <sheetName val="K03-1"/>
      <sheetName val="K04"/>
      <sheetName val="Name"/>
      <sheetName val="CIP"/>
      <sheetName val="Essbase"/>
      <sheetName val="철거공사1"/>
      <sheetName val="제조원가_원단ၒ_x0000__x0000__x0000_"/>
      <sheetName val="제조원가_원단_x0000_좏_x0000__x0000_"/>
      <sheetName val="제조원가_원단_x0000_泀_x0000__x0000_"/>
      <sheetName val="제조원가_원단_x0010__x0000_༘֜"/>
      <sheetName val="제조원가_원단_x0000_ī_x0000_"/>
      <sheetName val="3_ReasonCode"/>
      <sheetName val="_손익기01.XL_x005f_x0000__x005f_x005f_x0"/>
      <sheetName val="pp"/>
      <sheetName val="Data_validation9"/>
      <sheetName val="Admin"/>
      <sheetName val="KPIs- TTP, PTP, People Turnover"/>
      <sheetName val="部门"/>
      <sheetName val="1월 목표"/>
      <sheetName val="FILIAL MINAS"/>
      <sheetName val="info for drop box"/>
      <sheetName val="[손익기01_XL_x0000__x0000_DePara10"/>
      <sheetName val="_손익기01_XL_x0000__x0000_DePara10"/>
      <sheetName val="_손익기01_XL_x0000__x05"/>
      <sheetName val="_손익기01_XL_x005f_x0000__x7"/>
      <sheetName val="POCM 배송지"/>
      <sheetName val="IT_CHNG_01-K"/>
      <sheetName val="IPE"/>
      <sheetName val="GBP_BODS"/>
      <sheetName val="GFP_CFIN"/>
      <sheetName val="GDP_MDG"/>
      <sheetName val="GUP_SLT"/>
      <sheetName val="GAP_SOL"/>
      <sheetName val="GXP_PO"/>
      <sheetName val="%_Automation_Analysis_Business"/>
      <sheetName val="Curvas"/>
      <sheetName val="BD_Geral"/>
      <sheetName val="Produtos_e_Custos1"/>
      <sheetName val="EE"/>
      <sheetName val="BD_-_Realizado1"/>
      <sheetName val="Cadastro_de_Veículos1"/>
      <sheetName val="Sispec"/>
      <sheetName val="公式页面"/>
      <sheetName val="CC"/>
      <sheetName val="데이터 유효성 목록"/>
      <sheetName val="Mapping "/>
      <sheetName val="WS DB"/>
      <sheetName val="Region "/>
      <sheetName val="SKU DB"/>
      <sheetName val="SKU信息"/>
      <sheetName val="销售项费用项"/>
      <sheetName val="陈列描述"/>
      <sheetName val="大组压仓"/>
      <sheetName val="CPR用Rate&amp;Mix"/>
      <sheetName val="Pivot"/>
      <sheetName val="TO_Data_Base22"/>
      <sheetName val="YTD_Summary21"/>
      <sheetName val="Month_Summary21"/>
      <sheetName val="Trial_Balance_MAY_200921"/>
      <sheetName val="TB_Pivot21"/>
      <sheetName val="total_per_LB_LB221"/>
      <sheetName val="Trial_Balance_Vlookup21"/>
      <sheetName val="Trial_Balance_APRIL_200921"/>
      <sheetName val="Roll_Out_AQ21"/>
      <sheetName val="Evolução_mandamentos21"/>
      <sheetName val="Planilha_resultados20"/>
      <sheetName val="Historico_200320"/>
      <sheetName val="Sig_Cycles_Accts_&amp;_Processes20"/>
      <sheetName val="Fixed_ZBB14"/>
      <sheetName val="E_法规NC14"/>
      <sheetName val="3_ISo_YTD14"/>
      <sheetName val="Données_LMU14"/>
      <sheetName val="Brazil_Sovereign14"/>
      <sheetName val="Resumen_Costo14"/>
      <sheetName val="Extract_Loss14"/>
      <sheetName val="QA_跟踪记录表14"/>
      <sheetName val="5_114"/>
      <sheetName val="Base_de_Dados14"/>
      <sheetName val="Como_Estamos14"/>
      <sheetName val="Controls_data16"/>
      <sheetName val="RG_Depots14"/>
      <sheetName val="material_data14"/>
      <sheetName val="other_data14"/>
      <sheetName val="Database_(RUR)Mar_YTD14"/>
      <sheetName val="SKU_Mapping14"/>
      <sheetName val="Drop_Down14"/>
      <sheetName val="Raw_Data14"/>
      <sheetName val="EBM-2_GHQ14"/>
      <sheetName val="Base_PEF15"/>
      <sheetName val="Testing_Template_Guidance14"/>
      <sheetName val="Test_Programs14"/>
      <sheetName val="Dados_BLP14"/>
      <sheetName val="FJJX_Bud_IB13"/>
      <sheetName val="JOB_PROFILE_-_LAS14"/>
      <sheetName val="ARdistr_(2)14"/>
      <sheetName val="look-up_data13"/>
      <sheetName val="Prd_Hierarchy(产品层级)13"/>
      <sheetName val="Com_(2PK)13"/>
      <sheetName val="Project_Code13"/>
      <sheetName val="요일_테이블14"/>
      <sheetName val="요일_테이블_(2)13"/>
      <sheetName val="Prd_Hierarchy(产品层次)13"/>
      <sheetName val="전사_PL15"/>
      <sheetName val="자금_제외_PL15"/>
      <sheetName val="자금_PL15"/>
      <sheetName val="전사_BS15"/>
      <sheetName val="자금_제외_BS15"/>
      <sheetName val="자금_BS15"/>
      <sheetName val="BS_계정_설명15"/>
      <sheetName val="_Cash_Flow(전사)15"/>
      <sheetName val="_Cash_Flow(자금제외)15"/>
      <sheetName val="_Cash_Flow(자금)15"/>
      <sheetName val="ROIC_15"/>
      <sheetName val="인건비_명세15"/>
      <sheetName val="판관비_명세15"/>
      <sheetName val="OH_Cost경비(내역)15"/>
      <sheetName val="OH_Cost경비(배부기준)15"/>
      <sheetName val="기타수지&amp;특별손익_명세15"/>
      <sheetName val="업무연락_(2)14"/>
      <sheetName val="제시_손익계산서14"/>
      <sheetName val="01_02월_성과급15"/>
      <sheetName val="M_7회차_담금_계획14"/>
      <sheetName val="팀별_실적14"/>
      <sheetName val="팀별_실적_(환산)14"/>
      <sheetName val="4__Inj_투자상세내역14"/>
      <sheetName val="3__Blow_투자_상세내역14"/>
      <sheetName val="Process_List14"/>
      <sheetName val="7_(2)14"/>
      <sheetName val="_손익기01_XL13"/>
      <sheetName val="Income_Stmt13"/>
      <sheetName val="drop_down_list13"/>
      <sheetName val="[손익기01_XL_x005f_x0000__x005f_x0000_DePara13"/>
      <sheetName val="Quarterly_LBO_Model13"/>
      <sheetName val="Figures_Report12"/>
      <sheetName val="[손익기01_XL13"/>
      <sheetName val="_손익기01_XL_x005f_x0000__x005f_x0000_DePara13"/>
      <sheetName val="Fare_prices12"/>
      <sheetName val="Hotel_prices12"/>
      <sheetName val="Set_Up13"/>
      <sheetName val="15년_BL_사계13"/>
      <sheetName val="1_종합손익(도급)13"/>
      <sheetName val="1_종합손익(주택,개발)13"/>
      <sheetName val="2_실행예산13"/>
      <sheetName val="2_2과부족13"/>
      <sheetName val="2_3원가절감13"/>
      <sheetName val="8_외주비집행현황13"/>
      <sheetName val="9_자재비13"/>
      <sheetName val="10_현장집행13"/>
      <sheetName val="3_추가원가13"/>
      <sheetName val="3_추가원가_(2)13"/>
      <sheetName val="4_사전공사13"/>
      <sheetName val="5_추정공사비13"/>
      <sheetName val="6_금융비용13"/>
      <sheetName val="7_공사비집행현황(총괄)13"/>
      <sheetName val="11_1생산성13"/>
      <sheetName val="11_2인원산출13"/>
      <sheetName val="Classification_分类12"/>
      <sheetName val="tab_STATUS_DO_PROCESSO_12"/>
      <sheetName val="Perf__Plan__Diário112"/>
      <sheetName val="In_(2)12"/>
      <sheetName val="__한국_AMP_ASP-23_판매가격__12"/>
      <sheetName val="CC_Down_load_071612"/>
      <sheetName val="변경실행(2차)_12"/>
      <sheetName val="나_출고12"/>
      <sheetName val="나_입고12"/>
      <sheetName val="09년_인건비(속리산)12"/>
      <sheetName val="합산목표(감가+57_5)12"/>
      <sheetName val="제조원가_원단위_분석12"/>
      <sheetName val="종합표양식(품의_&amp;_입고)_212"/>
      <sheetName val="원가관리_(동월대비)12"/>
      <sheetName val="b_balju_(2)12"/>
      <sheetName val="2-2_매출분석12"/>
      <sheetName val="몰드시스템_리스트12"/>
      <sheetName val="11_외화채무증권(AFS,HTM)0812"/>
      <sheetName val="13_감액TEST_0812"/>
      <sheetName val="12년_CF(9월)12"/>
      <sheetName val="중기조종사_단위단가12"/>
      <sheetName val="6PILE__(돌출)12"/>
      <sheetName val="기성청구_공문12"/>
      <sheetName val="Sheet1_(2)12"/>
      <sheetName val="CLASIFICACION_DE_AI12"/>
      <sheetName val="Base_da_Datos12"/>
      <sheetName val="slide_24_cat_A12"/>
      <sheetName val="slide_82_cat_b12"/>
      <sheetName val="Dados_dos_Produtos12"/>
      <sheetName val="09~10년_매출계획12"/>
      <sheetName val="1_MDF1공장12"/>
      <sheetName val="Incident_유형구분표12"/>
      <sheetName val="3YP2016-Bottom_up11"/>
      <sheetName val="DD_list12"/>
      <sheetName val="Base_de_Datos11"/>
      <sheetName val="Clasif_11"/>
      <sheetName val="Supply_Cost_Centers11"/>
      <sheetName val="Cond__Inseguros11"/>
      <sheetName val="Comp__Inseguros11"/>
      <sheetName val="Lista_de_datos11"/>
      <sheetName val="MASTER_APP11"/>
      <sheetName val="2_카드채권(대출포함)11"/>
      <sheetName val="表21_净利润调节表11"/>
      <sheetName val="Lista_CI11"/>
      <sheetName val="Dashboard_Prevención_Riesgos_10"/>
      <sheetName val="TOP_KPIs_MTM10"/>
      <sheetName val="PLAN_DE_ACCION10"/>
      <sheetName val="Faro_de_Indicadores10"/>
      <sheetName val="Farol_Acciones11"/>
      <sheetName val="Lista_de_Entrenamientos11"/>
      <sheetName val="Unidades_SAC-REVENDA12"/>
      <sheetName val="FornecM_Check10"/>
      <sheetName val="Share_Price_200211"/>
      <sheetName val="_DD_List11"/>
      <sheetName val="BEP_加薪_KPI10"/>
      <sheetName val="Estratificación_AI10"/>
      <sheetName val="condicion_inseguras10"/>
      <sheetName val="Actos_Inseguros10"/>
      <sheetName val="Control_de_incidentes10"/>
      <sheetName val="Plan_de_Acción10"/>
      <sheetName val="Issues_List_Payments10"/>
      <sheetName val="do_not_delete10"/>
      <sheetName val="Grafica_Actos10"/>
      <sheetName val="APAC_S10"/>
      <sheetName val="APAC_N10"/>
      <sheetName val="Slide_output10"/>
      <sheetName val="[손익기01_XL??DePara10"/>
      <sheetName val="Farol_Metas10"/>
      <sheetName val="Mod_Relac_10"/>
      <sheetName val="Condiciones_SyE10"/>
      <sheetName val="REALxMETA_-_CERVEJA12"/>
      <sheetName val="REALxMETA_-_REFRI12"/>
      <sheetName val="Directrices_de_Metas_201710"/>
      <sheetName val="Data_validation10"/>
      <sheetName val="_손익기01_XL_x005f_x005f_x005f_x0000__x005f_x005f_10"/>
      <sheetName val="Hazards_Analysis-隐患分析10"/>
      <sheetName val="F08_-_Asia_Pac_Full_Year_Q311"/>
      <sheetName val="Top_Priorities11"/>
      <sheetName val="Listco_Stock11"/>
      <sheetName val="Intl_Purchase11"/>
      <sheetName val="FY_outlook11"/>
      <sheetName val="CY_outlook11"/>
      <sheetName val="Cash_metrics11"/>
      <sheetName val="P6_711"/>
      <sheetName val="DATOS_BASE10"/>
      <sheetName val="97_사업추정(WEKI)10"/>
      <sheetName val="Tong_hop10"/>
      <sheetName val="95_1_1이후취득자산(숨기기상태)10"/>
      <sheetName val="sum1_(2)10"/>
      <sheetName val="3_바닥판설계10"/>
      <sheetName val="6월_공정외주10"/>
      <sheetName val="2_대외공문10"/>
      <sheetName val="2_총괄표10"/>
      <sheetName val="입출재고현황_(2)10"/>
      <sheetName val="504전기실_동부하-L10"/>
      <sheetName val="OUTER_AREA(겹침없음)10"/>
      <sheetName val="EL_표면적10"/>
      <sheetName val="TRE_TABLE10"/>
      <sheetName val="입찰내역_발주처_양식10"/>
      <sheetName val="POC_LIST10"/>
      <sheetName val="turnover_reason퇴직사유10"/>
      <sheetName val="SKU_Basic_Data10"/>
      <sheetName val="Entity_Target10"/>
      <sheetName val="DETALLE_MENSUAL10"/>
      <sheetName val="Drop-down_List9"/>
      <sheetName val="by_DD9"/>
      <sheetName val="VALIDACION_DE_DATOS9"/>
      <sheetName val="Jul-Sep_Actual_cost_(2)9"/>
      <sheetName val="Check_Qualidade8"/>
      <sheetName val="De_Para9"/>
      <sheetName val="Check_Aderencia8"/>
      <sheetName val="_손익기01_XL_x005f_x0000__x08"/>
      <sheetName val="부재료_비교(11년_vs_10년)8"/>
      <sheetName val="Base_Farol8"/>
      <sheetName val="Gerencial_IL8"/>
      <sheetName val="Ventas_Campo8"/>
      <sheetName val="ACTOS_POR_RIESGO8"/>
      <sheetName val="drop_lists8"/>
      <sheetName val="MRL_NON_SUPPLY_URU8"/>
      <sheetName val="AIIM_-_Empresas_Ext_20128"/>
      <sheetName val="KPIs_Hana8"/>
      <sheetName val="Catalago_de_refacciones_8"/>
      <sheetName val="Existencias_al_07-Nov-20128"/>
      <sheetName val="Check_GG8"/>
      <sheetName val="Sheet3_(2)8"/>
      <sheetName val="Nombre_de_SOP8"/>
      <sheetName val="Lao_&amp;_Cam8"/>
      <sheetName val="Hoegaarden_20198"/>
      <sheetName val="Lao_&amp;_Cam_20198"/>
      <sheetName val="Malaysia_20198"/>
      <sheetName val="Singapore_20198"/>
      <sheetName val="Sheet2_(2)8"/>
      <sheetName val="요일_테이블_8"/>
      <sheetName val="Other_Listings8"/>
      <sheetName val="2__Indicadores8"/>
      <sheetName val="Ta_8"/>
      <sheetName val="Lista_de_Entrenamientos_RSO8"/>
      <sheetName val="Tablero_SDG11"/>
      <sheetName val="Lista_Areas11"/>
      <sheetName val="One_Page11"/>
      <sheetName val="Sub-Productos_HN9"/>
      <sheetName val="Eficiencia_linea8"/>
      <sheetName val="_mngt_Pillar8"/>
      <sheetName val="Pauta_RPS_Distribuição7"/>
      <sheetName val="Estoque_(2)7"/>
      <sheetName val="BNR_2012_в_ящике7"/>
      <sheetName val="Comp_Inseguros7"/>
      <sheetName val="DO_NOT_MOVE7"/>
      <sheetName val="DATOS_DE_VALIDACIÓN7"/>
      <sheetName val="Datos_con7"/>
      <sheetName val="_Datos_Cond_7"/>
      <sheetName val="INGRESO_(2)7"/>
      <sheetName val="PG-K1610_(UEN_Areas)MNG7"/>
      <sheetName val="DATOS_GEN_7"/>
      <sheetName val="NUEVOS_CRITERIOS7"/>
      <sheetName val="Condiciones_Agua7"/>
      <sheetName val="__한국_AMP_ASP-23_판㧤가격__6"/>
      <sheetName val="11_䡸화채무줝ⴌ(AFS,HTM)086"/>
      <sheetName val="Drop_list6"/>
      <sheetName val="FX_Rates6"/>
      <sheetName val="Dropdown_list6"/>
      <sheetName val="Vagas_x_Candidatos6"/>
      <sheetName val="Proced_6"/>
      <sheetName val="Cut_Machine_Summary6"/>
      <sheetName val="Control_de_Fallas6"/>
      <sheetName val="Setup_for_Templates6"/>
      <sheetName val="Datos_emp6"/>
      <sheetName val="Validation_lists6"/>
      <sheetName val="TIPO_DE_ACTO6"/>
      <sheetName val="CRITICIDAD_DE_CI6"/>
      <sheetName val="Catálogo_de_CI6"/>
      <sheetName val="%_CUMPLIMIENTO6"/>
      <sheetName val="%_cumplimiento_6"/>
      <sheetName val="CALIFICACIONES_20194"/>
      <sheetName val="Lev_4_360_deg_check_Crit_Task4"/>
      <sheetName val="Lev_4_Chk_IC_Stock_Crit_Task4"/>
      <sheetName val="Lev_4_WMS_Putaway_Crit_Task4"/>
      <sheetName val="Listas_y_equipos_a_evaluar6"/>
      <sheetName val="Data_Reporte6"/>
      <sheetName val="Read_me6"/>
      <sheetName val="NAZ_Strategy4"/>
      <sheetName val="Champions_List5"/>
      <sheetName val="Daily_Dashboard6"/>
      <sheetName val="Mapeo_SKUs6"/>
      <sheetName val="Vol_(Ds)6"/>
      <sheetName val="Vol_(Ka)6"/>
      <sheetName val="Vol_(Oth)6"/>
      <sheetName val="Vol_(Oth)_Cortesias6"/>
      <sheetName val="INPUT-Cust_Sugg_Margin(Ds)6"/>
      <sheetName val="On_Invoice6"/>
      <sheetName val="INPUT-Cust_Sugg_Margin(Ka)6"/>
      <sheetName val="INPUT_SKUs6"/>
      <sheetName val="Brand_P&amp;L4"/>
      <sheetName val="SUPERMONT_P4"/>
      <sheetName val="Data_selection4"/>
      <sheetName val="1_4"/>
      <sheetName val="Customer_&amp;_SO4"/>
      <sheetName val="Session_Proposal4"/>
      <sheetName val="Análise_Tempos3"/>
      <sheetName val="Incentivo_Automóvil3"/>
      <sheetName val="Dropdown_Menu2"/>
      <sheetName val="PDA_BOP3"/>
      <sheetName val="Validação_de_Dados3"/>
      <sheetName val="No_llenar_3"/>
      <sheetName val="PROCESS_MD3"/>
      <sheetName val="Lista_de_Motivos3"/>
      <sheetName val="Ponto_Crítico_-_Resp__Plano3"/>
      <sheetName val="Lista_Funcionários_(2)3"/>
      <sheetName val="PAINEL_RECOLHA_CRÉDITO3"/>
      <sheetName val="Gráficos_-_CDD3"/>
      <sheetName val="Project_List2"/>
      <sheetName val="Выпадающие_списки2"/>
      <sheetName val="SOP_Freshness1"/>
      <sheetName val="Dimension_IN_Sheet1!D19121"/>
      <sheetName val="Dimension_IN_19121"/>
      <sheetName val="辅助表格"/>
      <sheetName val="10 麦汁CIP清洗标准水量"/>
      <sheetName val="BU"/>
      <sheetName val="Tipo Viaje"/>
      <sheetName val="Flota y Personal"/>
      <sheetName val="_손익기01_XL_x0000__x4"/>
      <sheetName val="_손익기01_XL_x0000__x5"/>
      <sheetName val="_손익기01_XL_x0000__x6"/>
      <sheetName val="_손익기01_XL_x0000__x7"/>
      <sheetName val="SAP info"/>
      <sheetName val="Target Book"/>
      <sheetName val="后台"/>
      <sheetName val="AL来源"/>
      <sheetName val="Name List"/>
      <sheetName val="Ref_New Contract Model"/>
      <sheetName val="Dec"/>
      <sheetName val="리스트용"/>
      <sheetName val="Mapeo_SKUs7"/>
      <sheetName val="Vol_(Ds)7"/>
      <sheetName val="Vol_(Ka)7"/>
      <sheetName val="Vol_(Oth)7"/>
      <sheetName val="Vol_(Oth)_Cortesias7"/>
      <sheetName val="INPUT-Cust_Sugg_Margin(Ds)7"/>
      <sheetName val="On_Invoice7"/>
      <sheetName val="INPUT-Cust_Sugg_Margin(Ka)7"/>
      <sheetName val="INPUT_SKUs7"/>
      <sheetName val="SUPERMONT_P5"/>
      <sheetName val="3__Training_&amp;_travel2"/>
      <sheetName val="3__Training_&amp;_travel1"/>
      <sheetName val="Mapeo_SKUs8"/>
      <sheetName val="Vol_(Ds)8"/>
      <sheetName val="Vol_(Ka)8"/>
      <sheetName val="Vol_(Oth)8"/>
      <sheetName val="Vol_(Oth)_Cortesias8"/>
      <sheetName val="INPUT-Cust_Sugg_Margin(Ds)8"/>
      <sheetName val="On_Invoice8"/>
      <sheetName val="INPUT-Cust_Sugg_Margin(Ka)8"/>
      <sheetName val="INPUT_SKUs8"/>
      <sheetName val="Brand_P&amp;L5"/>
      <sheetName val="SUPERMONT_P6"/>
      <sheetName val="3__Training_&amp;_travel3"/>
      <sheetName val="DIAGEO VENTURE"/>
      <sheetName val="Mapeo_SKUs9"/>
      <sheetName val="Vol_(Ds)9"/>
      <sheetName val="Vol_(Ka)9"/>
      <sheetName val="Vol_(Oth)9"/>
      <sheetName val="Vol_(Oth)_Cortesias9"/>
      <sheetName val="INPUT-Cust_Sugg_Margin(Ds)9"/>
      <sheetName val="On_Invoice9"/>
      <sheetName val="INPUT-Cust_Sugg_Margin(Ka)9"/>
      <sheetName val="INPUT_SKUs9"/>
      <sheetName val="Brand_P&amp;L6"/>
      <sheetName val="SUPERMONT_P7"/>
      <sheetName val="Data_selection5"/>
      <sheetName val="1_5"/>
      <sheetName val="3__Training_&amp;_travel4"/>
      <sheetName val="MAESTRO CODIGOS"/>
      <sheetName val="Por regional"/>
      <sheetName val="Por Proveedor"/>
      <sheetName val="X Categoria"/>
      <sheetName val="Por Vendedor"/>
      <sheetName val="Por Mayoristas"/>
      <sheetName val="Por Cliente"/>
      <sheetName val="Por producto"/>
      <sheetName val="Por producto cant."/>
      <sheetName val="Por producto cant. (2)"/>
      <sheetName val="Por Vendedor X Ciudad"/>
      <sheetName val="Act por cliente"/>
      <sheetName val="Act por Proveedor"/>
      <sheetName val="Act por producto"/>
      <sheetName val="토지조서(원본)"/>
      <sheetName val="4Q주석"/>
      <sheetName val="T13(P68~72,78)"/>
      <sheetName val="책임준비금"/>
      <sheetName val="예산관리대장"/>
      <sheetName val="Xunit (단위환산)"/>
      <sheetName val="기준표"/>
      <sheetName val="inter"/>
      <sheetName val="UPA(Part C,D,E,G,H)"/>
      <sheetName val="UPA(Part F)"/>
      <sheetName val="Materials"/>
      <sheetName val="일위대가 (Part C,D,E,G,H)"/>
      <sheetName val="Insulation_Utl_Off"/>
      <sheetName val="Note_Piping"/>
      <sheetName val="실행"/>
      <sheetName val="1_종합손익(주택,绘ÿ헾⽊"/>
      <sheetName val="504전기실__x0000_Ԁ_x0000_"/>
      <sheetName val="504전기실__x0000_Ԁ_x0000_က"/>
      <sheetName val="표준공사비-조명제외x10%up"/>
      <sheetName val="anaysis_sheet"/>
      <sheetName val="주관사업"/>
      <sheetName val="영업보증금"/>
      <sheetName val="GL"/>
      <sheetName val="2003FX"/>
      <sheetName val="#88"/>
      <sheetName val="#10"/>
      <sheetName val="#100"/>
      <sheetName val="#101"/>
      <sheetName val="#102"/>
      <sheetName val="#103"/>
      <sheetName val="#104"/>
      <sheetName val="#105"/>
      <sheetName val="#106"/>
      <sheetName val="#107"/>
      <sheetName val="#108"/>
      <sheetName val="#11"/>
      <sheetName val="#21"/>
      <sheetName val="#22"/>
      <sheetName val="#95"/>
      <sheetName val="#60"/>
      <sheetName val="#61"/>
      <sheetName val="#62"/>
      <sheetName val="#63"/>
      <sheetName val="#64"/>
      <sheetName val="#65"/>
      <sheetName val="#70"/>
      <sheetName val="#71"/>
      <sheetName val="#72"/>
      <sheetName val="#73"/>
      <sheetName val="#74"/>
      <sheetName val="#75"/>
      <sheetName val="#76"/>
      <sheetName val="#77"/>
      <sheetName val="#82"/>
      <sheetName val="#83"/>
      <sheetName val="#84"/>
      <sheetName val="#87"/>
      <sheetName val="#90"/>
      <sheetName val="#91"/>
      <sheetName val="#92"/>
      <sheetName val="#93"/>
      <sheetName val="#94"/>
      <sheetName val="#98"/>
      <sheetName val="암거날개벽"/>
      <sheetName val="Process Li"/>
      <sheetName val="합산목표(감가+5"/>
      <sheetName val="MTP1"/>
      <sheetName val="북마크"/>
      <sheetName val="금액집계(리포트)"/>
      <sheetName val="HERO01"/>
      <sheetName val="인건비"/>
      <sheetName val="04_4월말_합병시_지분변동차액"/>
      <sheetName val="2007"/>
      <sheetName val="연간점유"/>
      <sheetName val="업무계획1"/>
      <sheetName val="입찰내역 "/>
      <sheetName val="예산입력방법"/>
      <sheetName val="예산간사조직표"/>
      <sheetName val="특수,항공 부서코드표"/>
      <sheetName val="본부별예산편성총괄표"/>
      <sheetName val="집행부서별예산계획표"/>
      <sheetName val="집행부서별예산산출내역표"/>
      <sheetName val="본부별인원인건비총괄표"/>
      <sheetName val="부서별인원인건비계획"/>
      <sheetName val="용역인원인건비계획"/>
      <sheetName val="예산조정신청서 양식"/>
      <sheetName val="96예산신청을 위한 양식및 공문"/>
      <sheetName val="특수,항공_부서코드표"/>
      <sheetName val="예산조정신청서_양식"/>
      <sheetName val="96예산신청을_위한_양식및_공문"/>
      <sheetName val="세계수요종합OK"/>
      <sheetName val="사양조정"/>
      <sheetName val="투입분"/>
      <sheetName val="LASER"/>
      <sheetName val="PLASMA"/>
      <sheetName val="96예산신청을%20위한%20양식및%20공문.XLS"/>
      <sheetName val="96%EC%98%88%EC%82%B0%EC%8B%A0%E"/>
      <sheetName val="특수,항공_부서코드표1"/>
      <sheetName val="예산조정신청서_양식1"/>
      <sheetName val="96예산신청을_위한_양식및_공문1"/>
      <sheetName val="96예산신청을%20위한%20양식및%20공문_XLS"/>
      <sheetName val="특수,항공_부서코드표2"/>
      <sheetName val="예산조정신청서_양식2"/>
      <sheetName val="96예산신청을_위한_양식및_공문2"/>
      <sheetName val="_x005f_x005f_x005f_x0018_"/>
      <sheetName val="입찰내역 Ĉ_x005f_x0000__x005f_x0000_ᇆ"/>
      <sheetName val="입찰내역 Ĉ_x005f_x0000__x005f_x0000_ᇆ"/>
      <sheetName val="_x005f_x005f_x005f_x005f_x005f_x005f_x005f_x0000__x005f"/>
      <sheetName val="Noncurrent assets"/>
      <sheetName val="2장(1사업부)ERP"/>
      <sheetName val="유림콘도"/>
      <sheetName val="경영혁신본부"/>
      <sheetName val="504전기실_Ç"/>
      <sheetName val="견적 (2)"/>
      <sheetName val="▶ 일일출역 집계_20210819143316"/>
      <sheetName val="Ⅴ-2.공종별내역"/>
      <sheetName val="ITB COST"/>
      <sheetName val="Quantity"/>
      <sheetName val="장비명"/>
      <sheetName val="Ext. Stone-P"/>
      <sheetName val="Process Li 鸴"/>
      <sheetName val="DRUM"/>
      <sheetName val="L형옹벽"/>
      <sheetName val="물가정보"/>
      <sheetName val="정부노임"/>
      <sheetName val="입찰내역"/>
      <sheetName val="돈암사업"/>
      <sheetName val="직종부호"/>
      <sheetName val="Salary(해외)"/>
      <sheetName val="OH_Cost경비(배부呸2닑"/>
      <sheetName val="ENE-CAL"/>
      <sheetName val="제임스짐 예상매출 for 2023B"/>
      <sheetName val="97노임단가"/>
      <sheetName val="입력란"/>
      <sheetName val="자료입력"/>
      <sheetName val="sum_x0008__x0000_ _x0000__x0006__x0000_"/>
      <sheetName val="슬래?"/>
      <sheetName val="_x005f_x0000__x005f"/>
      <sheetName val="[손익기01_XL_x0000__x0000_DePara11"/>
      <sheetName val="_손익기01_XL_x0000__x0000_DePara11"/>
      <sheetName val="_손익기01_XL_x0000__x06"/>
      <sheetName val="_x0000___x0000__x0000__x0005__x0000_㴐ኰ"/>
      <sheetName val="_x0000___x0000__x0000__x0005__x0000_움ᕕ"/>
      <sheetName val="_x005f_x005f_x005f_x0018__x005f"/>
      <sheetName val="단양 00 아파트-세부내역"/>
      <sheetName val="수량이동"/>
      <sheetName val="Rate Analysis"/>
      <sheetName val="EE-PROP"/>
      <sheetName val="집계표(OPTION)"/>
      <sheetName val="일위"/>
      <sheetName val="Act vs. budget"/>
      <sheetName val="화기9901매출"/>
      <sheetName val="a.연결정리"/>
      <sheetName val="loading"/>
      <sheetName val="2014"/>
      <sheetName val="2018"/>
      <sheetName val="선택옵션"/>
      <sheetName val="옵션"/>
      <sheetName val="CriteriaUpdate"/>
      <sheetName val="주간남10대순위1"/>
      <sheetName val="주간여30대순위1"/>
      <sheetName val="건강_미결"/>
      <sheetName val="제조원가_원단"/>
      <sheetName val="제조원가_원단_x0010_"/>
      <sheetName val="CO"/>
      <sheetName val="@공통코드"/>
      <sheetName val="매출내역"/>
      <sheetName val="방법론선택및업로드"/>
      <sheetName val="건축개요_"/>
      <sheetName val="07~08 PL"/>
      <sheetName val="본사공가현황"/>
      <sheetName val="argl(1)"/>
      <sheetName val="表21_净利润釘×㜀࠷"/>
      <sheetName val="2담당0113"/>
      <sheetName val="1담당0113"/>
      <sheetName val="ASALTOTA"/>
      <sheetName val="국민연금"/>
      <sheetName val="추정99"/>
      <sheetName val="기준정보"/>
      <sheetName val="기성및원가"/>
      <sheetName val="Cash2"/>
      <sheetName val="Z"/>
      <sheetName val="major"/>
      <sheetName val="원형1호맨홀토공수량"/>
      <sheetName val="제조원가_원단_x0000_ǻ_x0000_"/>
      <sheetName val="시공비2"/>
      <sheetName val="DOOR"/>
      <sheetName val="STEEL"/>
      <sheetName val="비교표"/>
      <sheetName val="예산표 "/>
      <sheetName val="시공비"/>
      <sheetName val="M-UP"/>
      <sheetName val="상주비"/>
      <sheetName val="특수"/>
      <sheetName val="GLASS"/>
      <sheetName val="GRANITE"/>
      <sheetName val="PAINT (2)"/>
      <sheetName val="VOLUMN"/>
      <sheetName val="물량표 (2)"/>
      <sheetName val="MOCK-UP"/>
      <sheetName val="계정code"/>
      <sheetName val="통က"/>
      <sheetName val="TTL"/>
      <sheetName val="6PILE__(돌출_x0000_"/>
      <sheetName val="종합표양식(품의좲_xdd02_쒥⠀쮎_x001d__x0000__x0000_"/>
      <sheetName val="G2설비도급"/>
      <sheetName val="일위목차"/>
      <sheetName val="SS215065"/>
      <sheetName val="제주환경순환센터"/>
      <sheetName val="참고(3)고정비"/>
      <sheetName val="Requirement(Work Crew)"/>
      <sheetName val="B"/>
      <sheetName val="COVER-P"/>
      <sheetName val="member design"/>
      <sheetName val="design criteria"/>
      <sheetName val="working load at the btm ft."/>
      <sheetName val="plan&amp;section of foundation"/>
      <sheetName val="8호선 원가 투입내역"/>
      <sheetName val="CAL1"/>
      <sheetName val="0226"/>
      <sheetName val="database"/>
      <sheetName val="7_공사비집_x0000_跇˜_x0000__x0000__x0000_Ā_x0000_"/>
      <sheetName val="1) MALL"/>
      <sheetName val="DHEQSUPT"/>
      <sheetName val="96보완계획7.12"/>
      <sheetName val="_REF"/>
      <sheetName val="H.P견적(참조)"/>
      <sheetName val="공사예산하조서(O.K)"/>
      <sheetName val="DESBAST"/>
      <sheetName val="ACTIVITY CODE &amp; AREA LIST"/>
      <sheetName val="1-11조직표"/>
      <sheetName val="97 사업추정(W؀_x0001__x0000__x0000_"/>
      <sheetName val="투입계획서(변경)"/>
      <sheetName val="기안"/>
      <sheetName val="지하시설물작성"/>
      <sheetName val="사다리"/>
      <sheetName val="_Cash_Flo_x0000__x0000__x0000__x0000__x0000_"/>
      <sheetName val="설비등록ၒ_x0000_"/>
      <sheetName val="2)단가비교표"/>
      <sheetName val="SHEET"/>
      <sheetName val="1__시공측량4"/>
      <sheetName val="PAD_TR보호대기초4"/>
      <sheetName val="근거_및_가정4"/>
      <sheetName val="수종별수량_(2)4"/>
      <sheetName val="납부내역총괄표_(수정)4"/>
      <sheetName val="Weekly_Progress(계장)4"/>
      <sheetName val="설산1_나4"/>
      <sheetName val="1_차입금4"/>
      <sheetName val="부대시행1_(2)4"/>
      <sheetName val="3_6_2남양주택배4"/>
      <sheetName val="A(Rev_3)2"/>
      <sheetName val="BSD_(2)1"/>
      <sheetName val="입찰내역_Ĉ2"/>
      <sheetName val="1~9_하중계산1"/>
      <sheetName val="방배동내역_(총괄)1"/>
      <sheetName val="JT3_0견적-구11"/>
      <sheetName val="1_수인터널2"/>
      <sheetName val="시스템_개요_유효값1"/>
      <sheetName val="전기요금_산출내역1"/>
      <sheetName val="NCR_HEC_6_Opens1"/>
      <sheetName val="NCR_HEC_4_Open_&amp;_Vendor_2_Open1"/>
      <sheetName val="Ⅴ-2_공종별내역"/>
      <sheetName val="제조원가_원단༘֜"/>
      <sheetName val="▶_일일출역_집계_20210819143316"/>
      <sheetName val="UPA(Part_C,D,E,G,H)"/>
      <sheetName val="UPA(Part_F)"/>
      <sheetName val="일위대가_(Part_C,D,E,G,H)"/>
      <sheetName val="견적_(2)"/>
      <sheetName val="ITB_COST"/>
      <sheetName val="입찰내역_"/>
      <sheetName val="종합표양식(품의좲쒥⠀쮎"/>
      <sheetName val="Process_Li"/>
      <sheetName val="_㴐ኰ"/>
      <sheetName val="_움ᕕ"/>
      <sheetName val="단양_00_아파트-세부내역"/>
      <sheetName val="SAP_검증(평균환율)"/>
      <sheetName val="SAP_검증(월말환율)"/>
      <sheetName val="전분기말_정산표(PQE)"/>
      <sheetName val="전년동기_정산표"/>
      <sheetName val="전기말_정산표(PYE)"/>
      <sheetName val="당기말_정산표(CPE)"/>
      <sheetName val="A01-3_조정내역"/>
      <sheetName val="A01-3_단순합산"/>
      <sheetName val="매출채권_및_금융자산"/>
      <sheetName val="A03-3_연결조정"/>
      <sheetName val="A07__유형자산_차기이월,_미실현"/>
      <sheetName val="A07__유형자산_감가상각"/>
      <sheetName val="A08__연결_조정"/>
      <sheetName val="A09__연결_조정"/>
      <sheetName val="B01_연결_조정"/>
      <sheetName val="B04_연결_조정"/>
      <sheetName val="B05_연결_조정"/>
      <sheetName val="납입자본(연결자본변동표_참조_작성)"/>
      <sheetName val="이익잉여금(연결자본변동표_참조_작성)"/>
      <sheetName val="기타포괄손익누계액(연결자본변동표_참조_작성)"/>
      <sheetName val="D01_연결_조정"/>
      <sheetName val="주당손익(개별파일_작성)"/>
      <sheetName val="96보완계획7_12"/>
      <sheetName val="TEMP2"/>
      <sheetName val="표건"/>
      <sheetName val="Spreadsheet Information"/>
      <sheetName val="backdata"/>
      <sheetName val="부가가치"/>
      <sheetName val="2021 KPI_SD (대표이사)"/>
      <sheetName val="Ⅱ.추정종합"/>
      <sheetName val="PC%계산"/>
      <sheetName val="_손익기01.XL__DePara"/>
      <sheetName val="_손익기01_XL__DePara"/>
      <sheetName val="下拉框选项"/>
      <sheetName val="Criteria List"/>
      <sheetName val="应收帐款(외상매출금)"/>
      <sheetName val="0405比较_查询"/>
      <sheetName val="감가상각비(2002)"/>
      <sheetName val="해외_기술훈련비_(합계)5"/>
      <sheetName val="P_M_별6"/>
      <sheetName val="Facility_Information5"/>
      <sheetName val="118_세금과공과5"/>
      <sheetName val="2_주요계수총괄5"/>
      <sheetName val="1_본사계정별5"/>
      <sheetName val="B-1_기본정보4"/>
      <sheetName val="Utility_Usage_YTN_TOWER4"/>
      <sheetName val="Project_Brief5"/>
      <sheetName val="단면_(2)5"/>
      <sheetName val="Back_Data_15"/>
      <sheetName val="1월_예산4"/>
      <sheetName val="전선_및_전선관4"/>
      <sheetName val="설문_평가4"/>
      <sheetName val="외주현황_wq14"/>
      <sheetName val="_견적서4"/>
      <sheetName val="대투_보관자료_변경4"/>
      <sheetName val="#1)_투자_구분4"/>
      <sheetName val="Rev__Recon_13"/>
      <sheetName val="1_고객불만건수3"/>
      <sheetName val="1_변경범위3"/>
      <sheetName val="2013_2월_연결대상4"/>
      <sheetName val="Proj__Fin_4"/>
      <sheetName val="2-2_투자4"/>
      <sheetName val="ITS_Assumptions3"/>
      <sheetName val="Master_Data3"/>
      <sheetName val="HQ_급여_3"/>
      <sheetName val="OF_급여3"/>
      <sheetName val="F_Ma급여3"/>
      <sheetName val="SMT_급여3"/>
      <sheetName val="QC_급여3"/>
      <sheetName val="Sam_sung_급여3"/>
      <sheetName val="Dlock_급여3"/>
      <sheetName val="_thôi_việc_급여3"/>
      <sheetName val="Công_smt3"/>
      <sheetName val="Công_smt_(2)3"/>
      <sheetName val="Detail_smt3"/>
      <sheetName val="Công_QC3"/>
      <sheetName val="Detail_QC_3"/>
      <sheetName val="Công_SS3"/>
      <sheetName val="Detail_SS3"/>
      <sheetName val="Công_FMa3"/>
      <sheetName val="Detail_FMa3"/>
      <sheetName val="Công_OF3"/>
      <sheetName val="Detail_OF3"/>
      <sheetName val="Công_Dlock3"/>
      <sheetName val="Detail_Dlock3"/>
      <sheetName val="Công_thôi_việc3"/>
      <sheetName val="Detail_thôi3"/>
      <sheetName val="2-1_강사료,교통비_지급명세4"/>
      <sheetName val="C1_3_13"/>
      <sheetName val="7_Utility_Analysis3"/>
      <sheetName val="Operational_Activities3"/>
      <sheetName val="13_포장용역비표준4"/>
      <sheetName val="9_가공부자재표준4"/>
      <sheetName val="8_ROLL표준(TSW)4"/>
      <sheetName val="4_톤당조관량표준4"/>
      <sheetName val="5_조관부자재표준4"/>
      <sheetName val="KEY_CODE4"/>
      <sheetName val="산자사_운전용품2"/>
      <sheetName val="1__작성방식4"/>
      <sheetName val="표)CFT장_조직별_배분4"/>
      <sheetName val="20180214_P&amp;T4"/>
      <sheetName val="Ref__중점_추진_과제별_상세4"/>
      <sheetName val="Bank_code4"/>
      <sheetName val="Drop-down_RAW4"/>
      <sheetName val="실행기성_갑지4"/>
      <sheetName val="Eq__Mobilization3"/>
      <sheetName val="날개수량1_53"/>
      <sheetName val="2_6_三无_(2)3"/>
      <sheetName val="수량산출서_갑지3"/>
      <sheetName val="G_R300경비3"/>
      <sheetName val="AS포장복구_3"/>
      <sheetName val="설_계3"/>
      <sheetName val="Worker_List3"/>
      <sheetName val="GB-IC_Villingen_GG3"/>
      <sheetName val="Exchange_rate4"/>
      <sheetName val="업무_분류(Category)2"/>
      <sheetName val="진행_DATA_(2)3"/>
      <sheetName val="기초정보_코드3"/>
      <sheetName val="보고서_표3"/>
      <sheetName val="0__가정_및_결론3"/>
      <sheetName val="1__투자비3"/>
      <sheetName val="2__Rent-roll3"/>
      <sheetName val="3__Funding3"/>
      <sheetName val="4__운영수익3"/>
      <sheetName val="5__운영비용3"/>
      <sheetName val="6_1_N+1년차_NOI_산정3"/>
      <sheetName val="6__부동산매각3"/>
      <sheetName val="7__보유세3"/>
      <sheetName val="8__교통유발부담금3"/>
      <sheetName val="9__BS부속3"/>
      <sheetName val="10__CF(M)3"/>
      <sheetName val="11__IS(M)3"/>
      <sheetName val="12__BS(M)3"/>
      <sheetName val="14__IS(FY)3"/>
      <sheetName val="13__CF(FY)3"/>
      <sheetName val="15__BS(FY)3"/>
      <sheetName val="16__RE(FY)3"/>
      <sheetName val="4_1_월별_에너지_사용량3"/>
      <sheetName val="M&amp;Q_Lead3"/>
      <sheetName val="Basic_Information4"/>
      <sheetName val="3_일반사상2"/>
      <sheetName val="준검_내역서3"/>
      <sheetName val="6월_공嚺㓶가3"/>
      <sheetName val="조도계산서_(도서)3"/>
      <sheetName val="F_월별기성수금현황_3"/>
      <sheetName val="첨부#2_Cash_Flow(현장작성)2"/>
      <sheetName val="TOWER_12TON3"/>
      <sheetName val="TOWER_10TON3"/>
      <sheetName val="JIB_CRANE,HOIST3"/>
      <sheetName val="Investment_Category1"/>
      <sheetName val="Mot_So_Thuat_Ngu_EN-VI2"/>
      <sheetName val="노원열병합__건축공사기성내역서1"/>
      <sheetName val="NG_Item3"/>
      <sheetName val="Ref__Spec_Review_양식3"/>
      <sheetName val="Ref__시험항목_테이블3"/>
      <sheetName val="Ref__Search_Result_테이블3"/>
      <sheetName val="SRS_월별_BS2"/>
      <sheetName val="평가&amp;선급_미지급2"/>
      <sheetName val="EXC_IND1"/>
      <sheetName val="COLOR별_인쇄1"/>
      <sheetName val="유류대_현황2"/>
      <sheetName val="1__템플릿2"/>
      <sheetName val="2__작성_참고사항2"/>
      <sheetName val="mapping_(2)2"/>
      <sheetName val="Ref_2"/>
      <sheetName val="2_3_Projects_Status2"/>
      <sheetName val="Consolidated_Project_List2"/>
      <sheetName val="Fixed_Cost2"/>
      <sheetName val="Listas_desplegables2"/>
      <sheetName val="Resumen_General2"/>
      <sheetName val="Cátalogo_de_CI2"/>
      <sheetName val="Hoja2_(2)2"/>
      <sheetName val="Technology_check_list2"/>
      <sheetName val="Status_de_Usuario2"/>
      <sheetName val="Actos_y_Condiciones_2"/>
      <sheetName val="NO_BORRAR2"/>
      <sheetName val="Formato_checklist_Lab2"/>
      <sheetName val="Manage_to_Sustain1"/>
      <sheetName val="Meeting_List1"/>
      <sheetName val="Packages_Info1"/>
      <sheetName val="Preferred_Option1"/>
      <sheetName val="입문_트랜드(종합분석)1"/>
      <sheetName val="Master_CE1"/>
      <sheetName val="CE_Final_1"/>
      <sheetName val="OL_LIST1"/>
      <sheetName val="YTD_GUEST_LIST1"/>
      <sheetName val="Session_Full_list1"/>
      <sheetName val="FOOD_PAYMENT_update_JAN1"/>
      <sheetName val="Rate_card_F19_1"/>
      <sheetName val="Master_Plan__(update)1"/>
      <sheetName val="The_KPI_1"/>
      <sheetName val="Mentor_Plan_1"/>
      <sheetName val="Master_Plan_1"/>
      <sheetName val="Tier_1_GOV_PC_Networking_1"/>
      <sheetName val="Tier_1_LBO_1"/>
      <sheetName val="2020_MMR121"/>
      <sheetName val="Razão_Social1"/>
      <sheetName val="운영경비_세부작성근거1"/>
      <sheetName val="20년_동일기간_소테마1"/>
      <sheetName val="Dropbox_목록2"/>
      <sheetName val="3_공통공사대비1"/>
      <sheetName val="현장관리비_산출내역1"/>
      <sheetName val="무형자산_LS111"/>
      <sheetName val="10_예산_및_원가_계획(02년)1"/>
      <sheetName val="경영비율_2"/>
      <sheetName val="07_011"/>
      <sheetName val="수량산출서_(2)1"/>
      <sheetName val="2_FM_Fee_2차년도1"/>
      <sheetName val="3_감가장비1"/>
      <sheetName val="8月水电燃使用表"/>
      <sheetName val="자산LIST"/>
      <sheetName val="해외출자현황(원본틀)"/>
      <sheetName val="12월시산표"/>
      <sheetName val="손익계산서(출력)"/>
      <sheetName val="매출원가"/>
      <sheetName val="KENworth"/>
      <sheetName val="범한여행"/>
      <sheetName val="총괄표_전체"/>
      <sheetName val="총괄표_기본"/>
      <sheetName val="총괄표_확장"/>
      <sheetName val="분류기준"/>
      <sheetName val="_x005f_x0000__x00_x0000__x0000__x0000_"/>
      <sheetName val="업무연덽_(2)9"/>
      <sheetName val="1-8"/>
      <sheetName val="HK1.83站合力改善 "/>
      <sheetName val="종합"/>
      <sheetName val="504전기실_"/>
      <sheetName val="단"/>
      <sheetName val="Sheet376"/>
      <sheetName val="품목코드"/>
      <sheetName val="VS P-Q"/>
      <sheetName val="NOZZLE제작단가"/>
      <sheetName val="Electrical Load List"/>
      <sheetName val="월별"/>
      <sheetName val="리드14"/>
      <sheetName val="DATA SHEET(절대삭제 금지)"/>
      <sheetName val="표지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 refreshError="1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/>
      <sheetData sheetId="784"/>
      <sheetData sheetId="785"/>
      <sheetData sheetId="786"/>
      <sheetData sheetId="787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 refreshError="1"/>
      <sheetData sheetId="1121"/>
      <sheetData sheetId="1122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/>
      <sheetData sheetId="1270"/>
      <sheetData sheetId="127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/>
      <sheetData sheetId="1470"/>
      <sheetData sheetId="1471"/>
      <sheetData sheetId="1472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/>
      <sheetData sheetId="1481" refreshError="1"/>
      <sheetData sheetId="1482"/>
      <sheetData sheetId="1483" refreshError="1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/>
      <sheetData sheetId="1881" refreshError="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/>
      <sheetData sheetId="2432"/>
      <sheetData sheetId="2433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/>
      <sheetData sheetId="2826"/>
      <sheetData sheetId="2827" refreshError="1"/>
      <sheetData sheetId="2828"/>
      <sheetData sheetId="2829"/>
      <sheetData sheetId="2830"/>
      <sheetData sheetId="2831"/>
      <sheetData sheetId="2832" refreshError="1"/>
      <sheetData sheetId="2833" refreshError="1"/>
      <sheetData sheetId="2834" refreshError="1"/>
      <sheetData sheetId="2835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/>
      <sheetData sheetId="2847"/>
      <sheetData sheetId="2848"/>
      <sheetData sheetId="2849"/>
      <sheetData sheetId="2850"/>
      <sheetData sheetId="2851"/>
      <sheetData sheetId="2852"/>
      <sheetData sheetId="2853" refreshError="1"/>
      <sheetData sheetId="2854" refreshError="1"/>
      <sheetData sheetId="2855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/>
      <sheetData sheetId="2904" refreshError="1"/>
      <sheetData sheetId="2905" refreshError="1"/>
      <sheetData sheetId="2906"/>
      <sheetData sheetId="2907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/>
      <sheetData sheetId="3430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/>
      <sheetData sheetId="3442"/>
      <sheetData sheetId="3443"/>
      <sheetData sheetId="3444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/>
      <sheetData sheetId="4133"/>
      <sheetData sheetId="4134"/>
      <sheetData sheetId="4135" refreshError="1"/>
      <sheetData sheetId="4136" refreshError="1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 refreshError="1"/>
      <sheetData sheetId="4335" refreshError="1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 refreshError="1"/>
      <sheetData sheetId="4439" refreshError="1"/>
      <sheetData sheetId="4440" refreshError="1"/>
      <sheetData sheetId="4441" refreshError="1"/>
      <sheetData sheetId="4442"/>
      <sheetData sheetId="4443"/>
      <sheetData sheetId="4444"/>
      <sheetData sheetId="4445"/>
      <sheetData sheetId="4446"/>
      <sheetData sheetId="4447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 refreshError="1"/>
      <sheetData sheetId="4851" refreshError="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/>
      <sheetData sheetId="5240" refreshError="1"/>
      <sheetData sheetId="5241"/>
      <sheetData sheetId="5242" refreshError="1"/>
      <sheetData sheetId="5243" refreshError="1"/>
      <sheetData sheetId="5244"/>
      <sheetData sheetId="5245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/>
      <sheetData sheetId="5255"/>
      <sheetData sheetId="5256"/>
      <sheetData sheetId="5257" refreshError="1"/>
      <sheetData sheetId="5258" refreshError="1"/>
      <sheetData sheetId="5259"/>
      <sheetData sheetId="5260"/>
      <sheetData sheetId="5261"/>
      <sheetData sheetId="5262" refreshError="1"/>
      <sheetData sheetId="5263"/>
      <sheetData sheetId="5264"/>
      <sheetData sheetId="5265"/>
      <sheetData sheetId="5266"/>
      <sheetData sheetId="5267"/>
      <sheetData sheetId="5268"/>
      <sheetData sheetId="5269" refreshError="1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 refreshError="1"/>
      <sheetData sheetId="5362"/>
      <sheetData sheetId="5363" refreshError="1"/>
      <sheetData sheetId="5364" refreshError="1"/>
      <sheetData sheetId="5365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/>
      <sheetData sheetId="5404"/>
      <sheetData sheetId="5405"/>
      <sheetData sheetId="5406"/>
      <sheetData sheetId="5407"/>
      <sheetData sheetId="5408"/>
      <sheetData sheetId="5409" refreshError="1"/>
      <sheetData sheetId="5410" refreshError="1"/>
      <sheetData sheetId="5411"/>
      <sheetData sheetId="5412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 refreshError="1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/>
      <sheetData sheetId="5860"/>
      <sheetData sheetId="5861" refreshError="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 refreshError="1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 refreshError="1"/>
      <sheetData sheetId="6299"/>
      <sheetData sheetId="6300" refreshError="1"/>
      <sheetData sheetId="6301" refreshError="1"/>
      <sheetData sheetId="6302" refreshError="1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 refreshError="1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 refreshError="1"/>
      <sheetData sheetId="6399" refreshError="1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 refreshError="1"/>
      <sheetData sheetId="6476" refreshError="1"/>
      <sheetData sheetId="6477"/>
      <sheetData sheetId="6478"/>
      <sheetData sheetId="6479"/>
      <sheetData sheetId="6480" refreshError="1"/>
      <sheetData sheetId="6481" refreshError="1"/>
      <sheetData sheetId="6482" refreshError="1"/>
      <sheetData sheetId="6483" refreshError="1"/>
      <sheetData sheetId="6484"/>
      <sheetData sheetId="6485" refreshError="1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 refreshError="1"/>
      <sheetData sheetId="6499" refreshError="1"/>
      <sheetData sheetId="6500"/>
      <sheetData sheetId="6501" refreshError="1"/>
      <sheetData sheetId="6502"/>
      <sheetData sheetId="6503" refreshError="1"/>
      <sheetData sheetId="6504"/>
      <sheetData sheetId="6505"/>
      <sheetData sheetId="6506"/>
      <sheetData sheetId="6507"/>
      <sheetData sheetId="6508"/>
      <sheetData sheetId="6509"/>
      <sheetData sheetId="6510"/>
      <sheetData sheetId="6511" refreshError="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 refreshError="1"/>
      <sheetData sheetId="6561" refreshError="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 refreshError="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/>
      <sheetData sheetId="6700" refreshError="1"/>
      <sheetData sheetId="670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 refreshError="1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/>
      <sheetData sheetId="7064"/>
      <sheetData sheetId="7065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 refreshError="1"/>
      <sheetData sheetId="7085" refreshError="1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 refreshError="1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/>
      <sheetData sheetId="7226"/>
      <sheetData sheetId="7227"/>
      <sheetData sheetId="7228"/>
      <sheetData sheetId="7229"/>
      <sheetData sheetId="7230"/>
      <sheetData sheetId="7231"/>
      <sheetData sheetId="7232" refreshError="1"/>
      <sheetData sheetId="7233" refreshError="1"/>
      <sheetData sheetId="7234" refreshError="1"/>
      <sheetData sheetId="7235" refreshError="1"/>
      <sheetData sheetId="7236"/>
      <sheetData sheetId="7237" refreshError="1"/>
      <sheetData sheetId="7238" refreshError="1"/>
      <sheetData sheetId="7239" refreshError="1"/>
      <sheetData sheetId="7240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/>
      <sheetData sheetId="7365" refreshError="1"/>
      <sheetData sheetId="7366" refreshError="1"/>
      <sheetData sheetId="7367" refreshError="1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기초"/>
      <sheetName val="건축"/>
      <sheetName val="지표"/>
      <sheetName val="임대"/>
      <sheetName val="공정"/>
      <sheetName val="건설기간분석"/>
      <sheetName val="운영기간분석"/>
      <sheetName val="Dash Board"/>
      <sheetName val="목표세부명세"/>
      <sheetName val="Assumption"/>
      <sheetName val="A생명98"/>
      <sheetName val="TOWER 12TON"/>
      <sheetName val="TOWER 10TON"/>
      <sheetName val="JIB CRANE,HOIST"/>
      <sheetName val="손익"/>
      <sheetName val="현금흐름"/>
      <sheetName val="5층 건축물대장 등기 예정"/>
      <sheetName val="층별면적표-060411-5층 통합"/>
      <sheetName val="서피070607"/>
      <sheetName val="재원조달"/>
      <sheetName val="2F 회의실견적(5_14 일대)"/>
      <sheetName val="노무비"/>
      <sheetName val="Utility Usage YTN TOWER"/>
      <sheetName val="Dash_Board"/>
      <sheetName val="TOWER_12TON"/>
      <sheetName val="TOWER_10TON"/>
      <sheetName val="JIB_CRANE,HOIST"/>
      <sheetName val="5층_건축물대장_등기_예정"/>
      <sheetName val="층별면적표-060411-5층_통합"/>
      <sheetName val="시산표"/>
      <sheetName val="정부노임단가"/>
      <sheetName val="미납중도금후납시"/>
      <sheetName val="Base"/>
      <sheetName val="대구"/>
      <sheetName val="용연"/>
      <sheetName val="울산"/>
      <sheetName val="#REF"/>
      <sheetName val="구미"/>
      <sheetName val="광주"/>
      <sheetName val="언양"/>
      <sheetName val="진천"/>
      <sheetName val="중연"/>
      <sheetName val="대출금_분양율별민감도_토지비수익권"/>
      <sheetName val="손익분석"/>
      <sheetName val="사업보고"/>
      <sheetName val="CF"/>
      <sheetName val="A"/>
      <sheetName val="Dropdown list"/>
      <sheetName val="1ST"/>
      <sheetName val="Budget"/>
      <sheetName val="간이연락"/>
      <sheetName val="master"/>
      <sheetName val="유림골조"/>
      <sheetName val="공통비(전체)"/>
      <sheetName val="유림총괄"/>
      <sheetName val="Prices"/>
      <sheetName val="仲介業者"/>
      <sheetName val="DataWP"/>
      <sheetName val="일위대가(계측기설치)"/>
      <sheetName val="BCPAB"/>
      <sheetName val="fy09 ~12 erp"/>
      <sheetName val="fy09 erp"/>
      <sheetName val="단독빌딩 총합계본"/>
      <sheetName val="Dash_Board1"/>
      <sheetName val="TOWER_12TON1"/>
      <sheetName val="TOWER_10TON1"/>
      <sheetName val="JIB_CRANE,HOIST1"/>
      <sheetName val="5층_건축물대장_등기_예정1"/>
      <sheetName val="층별면적표-060411-5층_통합1"/>
      <sheetName val="2F_회의실견적(5_14_일대)"/>
      <sheetName val="Utility_Usage_YTN_TOWER"/>
      <sheetName val="Sheet1"/>
      <sheetName val="재료비"/>
      <sheetName val="list"/>
      <sheetName val="Raw data_카테고리별 매출"/>
      <sheetName val="Raw data_시설전체_일간,주간_매출&amp;트래픽"/>
      <sheetName val="Mapping"/>
      <sheetName val="Dash_Board2"/>
      <sheetName val="TOWER_12TON2"/>
      <sheetName val="TOWER_10TON2"/>
      <sheetName val="JIB_CRANE,HOIST2"/>
      <sheetName val="5층_건축물대장_등기_예정2"/>
      <sheetName val="층별면적표-060411-5층_통합2"/>
      <sheetName val="2F_회의실견적(5_14_일대)1"/>
      <sheetName val="Utility_Usage_YTN_TOWER1"/>
      <sheetName val="Dropdown_list"/>
      <sheetName val="fy09_~12_erp"/>
      <sheetName val="fy09_erp"/>
      <sheetName val="단독빌딩_총합계본"/>
      <sheetName val="Raw_data_카테고리별_매출"/>
      <sheetName val="Raw_data_시설전체_일간,주간_매출&amp;트래픽"/>
      <sheetName val="공문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5">
          <cell r="AH25" t="str">
            <v>진 척 도</v>
          </cell>
        </row>
        <row r="26">
          <cell r="AH26" t="str">
            <v>공통가설</v>
          </cell>
        </row>
        <row r="27">
          <cell r="AH27" t="str">
            <v>건축공사</v>
          </cell>
        </row>
        <row r="28">
          <cell r="AH28" t="str">
            <v>설비공사</v>
          </cell>
        </row>
        <row r="29">
          <cell r="AH29" t="str">
            <v>전기공사</v>
          </cell>
        </row>
        <row r="30">
          <cell r="AH30" t="str">
            <v>현관비등</v>
          </cell>
        </row>
        <row r="31">
          <cell r="AH31" t="str">
            <v>누계공정</v>
          </cell>
        </row>
        <row r="33">
          <cell r="AH33" t="str">
            <v>구  분</v>
          </cell>
        </row>
        <row r="34">
          <cell r="AH34" t="str">
            <v>진 척 도</v>
          </cell>
        </row>
        <row r="35">
          <cell r="AH35" t="str">
            <v>공통가설</v>
          </cell>
        </row>
        <row r="36">
          <cell r="AH36" t="str">
            <v>건축공사</v>
          </cell>
        </row>
        <row r="37">
          <cell r="AH37" t="str">
            <v>설비공사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"/>
      <sheetName val="청소 소모품비_구"/>
      <sheetName val="내역서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현금흐름"/>
      <sheetName val="Assumpti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내역"/>
      <sheetName val="내역서"/>
      <sheetName val="주차(현행)"/>
      <sheetName val="경비(현행)"/>
      <sheetName val="안내도우미(현행)"/>
      <sheetName val="시설(현행)"/>
      <sheetName val="인원계획-미화"/>
      <sheetName val="간접경상비"/>
      <sheetName val="장비당단가 (1)"/>
      <sheetName val="간 지1"/>
      <sheetName val="실행철강하도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2.대외공문"/>
      <sheetName val="LANGUAGE"/>
      <sheetName val="Sheet1"/>
      <sheetName val="Total"/>
      <sheetName val="일위(PN)"/>
      <sheetName val="남양구조시험동"/>
      <sheetName val="J直材4"/>
      <sheetName val="손익"/>
      <sheetName val="일위대가"/>
      <sheetName val="기숙사(파주)_프로에스콤"/>
      <sheetName val="거제도"/>
      <sheetName val="운동장 (2)"/>
      <sheetName val="장비당단가_(1)"/>
      <sheetName val="간_지1"/>
      <sheetName val="2_대외공문"/>
      <sheetName val="부진점(10.09)"/>
      <sheetName val="K(비품-사무용1)"/>
      <sheetName val="FC-101"/>
      <sheetName val="TABLE DB"/>
      <sheetName val="쌍용 data base"/>
      <sheetName val="간접"/>
      <sheetName val="분류"/>
      <sheetName val="노무비"/>
      <sheetName val="데이타"/>
      <sheetName val="Project Brief"/>
      <sheetName val="갑지"/>
      <sheetName val="을지"/>
      <sheetName val="통관비용"/>
      <sheetName val="spare"/>
      <sheetName val="투자비상환"/>
      <sheetName val="COVER"/>
      <sheetName val="검토기준"/>
      <sheetName val="산출근거_성능값"/>
      <sheetName val="계산근거"/>
      <sheetName val="요약"/>
      <sheetName val="분석_CASE1"/>
      <sheetName val="분석_CASE2"/>
      <sheetName val="분석_CASE3"/>
      <sheetName val="분석_CASE4"/>
      <sheetName val="13.Op. Activities"/>
      <sheetName val="식대견적"/>
      <sheetName val="外周区 "/>
      <sheetName val="2 카드채권(대출포함)"/>
      <sheetName val="소일위대가코드표"/>
      <sheetName val="BMC009"/>
      <sheetName val="1Month+Sheet2!"/>
      <sheetName val="Facility Information"/>
      <sheetName val="General"/>
      <sheetName val="Instructions"/>
      <sheetName val="People"/>
      <sheetName val="Quality"/>
      <sheetName val="Risk"/>
      <sheetName val="Training"/>
      <sheetName val="Prices"/>
      <sheetName val="Assumption"/>
      <sheetName val="의왕F사"/>
      <sheetName val="가공사"/>
      <sheetName val="의령"/>
      <sheetName val="대구"/>
      <sheetName val="안성"/>
      <sheetName val="재무가정"/>
      <sheetName val="118.세금과공과"/>
      <sheetName val="108.수선비"/>
      <sheetName val="'94자산"/>
      <sheetName val="근무변경검토"/>
      <sheetName val="Operational Activities"/>
      <sheetName val="17.채용자명단"/>
      <sheetName val="Project_Brief"/>
      <sheetName val="外周区_"/>
      <sheetName val="13_Op__Activities"/>
      <sheetName val="Facility_Information"/>
      <sheetName val="2_카드채권(대출포함)"/>
      <sheetName val="1ST"/>
      <sheetName val="표지"/>
      <sheetName val="CM 1"/>
      <sheetName val="입찰안"/>
      <sheetName val="일위대가(가설)"/>
      <sheetName val="CAL1"/>
      <sheetName val="단가비교"/>
      <sheetName val="입찰품의서"/>
      <sheetName val="체계"/>
      <sheetName val="하조서"/>
      <sheetName val="효율표"/>
      <sheetName val="공사설계서"/>
      <sheetName val="인근점포"/>
      <sheetName val="절감계산"/>
      <sheetName val="항목"/>
      <sheetName val="COA-17"/>
      <sheetName val="C-18"/>
      <sheetName val="할증 "/>
      <sheetName val="충주"/>
      <sheetName val="기본사항"/>
      <sheetName val="vlookup"/>
      <sheetName val="Scope Functional Categories"/>
      <sheetName val="GL Codes"/>
      <sheetName val="단가산출"/>
      <sheetName val="15.Op. Activities"/>
      <sheetName val="실행(1)"/>
      <sheetName val="CTEMCOST"/>
      <sheetName val="예산작성기준(전기)"/>
      <sheetName val="95삼성급(본사)"/>
      <sheetName val="#REF"/>
      <sheetName val="Project_Brief1"/>
      <sheetName val="外周区_1"/>
      <sheetName val="13_Op__Activities1"/>
      <sheetName val="Facility_Information1"/>
      <sheetName val="2_카드채권(대출포함)1"/>
      <sheetName val="118_세금과공과"/>
      <sheetName val="108_수선비"/>
      <sheetName val="Operational_Activities"/>
      <sheetName val="17_채용자명단"/>
      <sheetName val="Utility Cost Trend"/>
      <sheetName val="납부서"/>
      <sheetName val="산출내역서집계표"/>
      <sheetName val="목록"/>
      <sheetName val="FORM-0"/>
      <sheetName val="매립"/>
      <sheetName val="W-현원가"/>
      <sheetName val="B053 (990701)공정실적PP%계산"/>
      <sheetName val="B053 (990701)공정능력PC%계산"/>
      <sheetName val="하남요청"/>
      <sheetName val="CC Down load 0716"/>
      <sheetName val="DATA"/>
      <sheetName val="경제성분석"/>
      <sheetName val="980731"/>
      <sheetName val="JP_GP_UP통합"/>
      <sheetName val="Depreciation&amp;Interest"/>
      <sheetName val="二.POSITION.XLS"/>
      <sheetName val="major"/>
      <sheetName val="진행 DATA (2)"/>
      <sheetName val="B053_(990701)공정실적PP%계산"/>
      <sheetName val="B053_(990701)공정능력PC%계산"/>
      <sheetName val="CC_Down_load_0716"/>
      <sheetName val="진행_DATA_(2)"/>
      <sheetName val="정부노임단가"/>
      <sheetName val="금액내역서"/>
      <sheetName val="MP2006 data"/>
      <sheetName val="POOM_MOTO"/>
      <sheetName val="POOM_MOTO2"/>
      <sheetName val="목표세부명세"/>
      <sheetName val="Utility Usage엠닷컴 26"/>
      <sheetName val="직공비"/>
      <sheetName val="점수계산1-2"/>
      <sheetName val="신규투자종합"/>
      <sheetName val="직노"/>
      <sheetName val="dV&amp;Cl"/>
      <sheetName val="CAP"/>
      <sheetName val="변수"/>
      <sheetName val="전압하강"/>
      <sheetName val="F-T Voltage"/>
      <sheetName val="Var."/>
      <sheetName val="영업.일1"/>
      <sheetName val="18"/>
      <sheetName val="경비"/>
      <sheetName val="공예을"/>
      <sheetName val="설계서"/>
      <sheetName val="기초자료입력"/>
      <sheetName val="을02"/>
      <sheetName val="설계명세서"/>
      <sheetName val="임차비용"/>
      <sheetName val="재료비 산출표"/>
      <sheetName val="품셈표"/>
      <sheetName val="투입내역"/>
      <sheetName val="노임단가표"/>
      <sheetName val="マスタ"/>
      <sheetName val="1월"/>
      <sheetName val="Drop-down"/>
      <sheetName val="2공구산출내역"/>
      <sheetName val="Template"/>
      <sheetName val="入力用(家賃)"/>
      <sheetName val="入力用(駐車)"/>
      <sheetName val="5.위험군현황,Watch등급(양식)"/>
      <sheetName val="6.FocusSupplie(양식)"/>
      <sheetName val="입력"/>
      <sheetName val="준검 내역서"/>
      <sheetName val="FAB별"/>
      <sheetName val="조명율표"/>
      <sheetName val="wall"/>
      <sheetName val="Front"/>
      <sheetName val="업무용유지비실적"/>
      <sheetName val="자재단가"/>
      <sheetName val="N賃率-職"/>
      <sheetName val="단양 00 아파트-세부내역"/>
      <sheetName val="중기조종사 단위단가"/>
      <sheetName val="노무비 근거"/>
      <sheetName val="DB"/>
      <sheetName val="OPREV(대한)"/>
      <sheetName val="식음료"/>
      <sheetName val="설계내역서"/>
      <sheetName val="증감내역서"/>
      <sheetName val="하수급견적대비"/>
      <sheetName val="을 2"/>
      <sheetName val="을 1"/>
      <sheetName val="s"/>
      <sheetName val="인건-측정"/>
      <sheetName val="주식"/>
      <sheetName val="고합"/>
      <sheetName val="조건"/>
      <sheetName val="입찰보고"/>
      <sheetName val="시중노임단가"/>
      <sheetName val="투찰(하수)"/>
      <sheetName val="배수통관(좌)"/>
      <sheetName val="중기사용료"/>
      <sheetName val="확약서"/>
      <sheetName val="익월작업계힉"/>
      <sheetName val="(Monthly)"/>
      <sheetName val="장비당단가_(1)1"/>
      <sheetName val="간_지11"/>
      <sheetName val="2_대외공문1"/>
      <sheetName val="운동장_(2)"/>
      <sheetName val="부진점(10_09)"/>
      <sheetName val="TABLE_DB"/>
      <sheetName val="쌍용_data_base"/>
      <sheetName val="Project_Brief2"/>
      <sheetName val="13_Op__Activities2"/>
      <sheetName val="外周区_2"/>
      <sheetName val="2_카드채권(대출포함)2"/>
      <sheetName val="Facility_Information2"/>
      <sheetName val="118_세금과공과1"/>
      <sheetName val="108_수선비1"/>
      <sheetName val="Operational_Activities1"/>
      <sheetName val="17_채용자명단1"/>
      <sheetName val="CM_1"/>
      <sheetName val="할증_"/>
      <sheetName val="Scope_Functional_Categories"/>
      <sheetName val="GL_Codes"/>
      <sheetName val="15_Op__Activities"/>
      <sheetName val="Utility_Cost_Trend"/>
      <sheetName val="B053_(990701)공정실적PP%계산1"/>
      <sheetName val="B053_(990701)공정능력PC%계산1"/>
      <sheetName val="CC_Down_load_07161"/>
      <sheetName val="二_POSITION_XLS"/>
      <sheetName val="진행_DATA_(2)1"/>
      <sheetName val="MP2006_data"/>
      <sheetName val="Utility_Usage엠닷컴_26"/>
      <sheetName val="F-T_Voltage"/>
      <sheetName val="Var_"/>
      <sheetName val="영업_일1"/>
      <sheetName val="재료비_산출표"/>
      <sheetName val="5_위험군현황,Watch등급(양식)"/>
      <sheetName val="6_FocusSupplie(양식)"/>
      <sheetName val="준검_내역서"/>
      <sheetName val="단양_00_아파트-세부내역"/>
      <sheetName val="중기조종사_단위단가"/>
      <sheetName val="노무비_근거"/>
      <sheetName val="을_2"/>
      <sheetName val="을_1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영업.일1"/>
      <sheetName val="대차대조표"/>
      <sheetName val="Budget"/>
      <sheetName val="Sheet1"/>
      <sheetName val="Sheet2"/>
      <sheetName val="Sheet3"/>
      <sheetName val="추정12.別 "/>
      <sheetName val="추정12.別 (2)"/>
      <sheetName val="추정12.別 (3)"/>
      <sheetName val="總括.12"/>
      <sheetName val="總括.12 (3)"/>
      <sheetName val="總括.12 (2)"/>
      <sheetName val="원가분석"/>
      <sheetName val="원가분석1"/>
      <sheetName val="영업.細"/>
      <sheetName val="영업.細 (2)"/>
      <sheetName val="전년포함"/>
      <sheetName val="전년포함 (2)"/>
      <sheetName val="영업.일 계"/>
      <sheetName val="자금계획"/>
      <sheetName val="영업_일1"/>
      <sheetName val="판관(용역)"/>
      <sheetName val="17"/>
      <sheetName val="18"/>
      <sheetName val="19"/>
      <sheetName val="20"/>
      <sheetName val="21"/>
      <sheetName val="22"/>
      <sheetName val="손익(총괄)"/>
      <sheetName val="월별손익(총괄)"/>
      <sheetName val="월별손익(아케이드)"/>
      <sheetName val="월별손익(온정각)"/>
      <sheetName val="월별손익(용역) "/>
      <sheetName val="판관(총괄)"/>
      <sheetName val="월별판관(총괄)"/>
      <sheetName val="판관(아케이드)"/>
      <sheetName val="월별판관(아케이드)"/>
      <sheetName val="판관(온정각)"/>
      <sheetName val="월별판관(온정각)"/>
      <sheetName val="월별판관(용역)"/>
      <sheetName val="26"/>
      <sheetName val="23"/>
      <sheetName val="24"/>
      <sheetName val="25"/>
      <sheetName val="27"/>
      <sheetName val="28"/>
      <sheetName val="29"/>
      <sheetName val="30"/>
      <sheetName val="인원계획"/>
      <sheetName val="99년누계 (월별)"/>
      <sheetName val="별1-1"/>
      <sheetName val="별2-1"/>
      <sheetName val="별2-2"/>
      <sheetName val="별2-3"/>
      <sheetName val="별3-1"/>
      <sheetName val="별4-1"/>
      <sheetName val="별5-1"/>
      <sheetName val="표지"/>
      <sheetName val="목차"/>
      <sheetName val="Ⅰ사업지개요"/>
      <sheetName val="위치도"/>
      <sheetName val="Ⅱ환경분석"/>
      <sheetName val="환경분석 (2)"/>
      <sheetName val="매출액 확정"/>
      <sheetName val="면적구성"/>
      <sheetName val="소요자금"/>
      <sheetName val="사업성검토"/>
      <sheetName val="SWOT"/>
      <sheetName val="종합의견"/>
      <sheetName val="판관_용역_"/>
      <sheetName val="손익"/>
      <sheetName val="5.30(土)"/>
      <sheetName val="전직원(직영)"/>
      <sheetName val="계정"/>
      <sheetName val="9904주부식"/>
      <sheetName val="일별1"/>
      <sheetName val="TOT"/>
      <sheetName val="차종MH"/>
      <sheetName val="HP1AMLIST"/>
      <sheetName val="물량투입계획"/>
      <sheetName val="95확정"/>
      <sheetName val="results"/>
      <sheetName val="총괄장"/>
      <sheetName val="영업전략"/>
      <sheetName val="서울총괄"/>
      <sheetName val="운전자금97총괄"/>
      <sheetName val="guard(mac)"/>
      <sheetName val="Hyundai.Unit.cost.xls"/>
      <sheetName val="매출"/>
      <sheetName val="H112(1Q)08"/>
      <sheetName val="영업.일"/>
      <sheetName val="선급미지급비용"/>
      <sheetName val="TB"/>
      <sheetName val="매출예산96"/>
      <sheetName val="Menu_Link"/>
      <sheetName val="인원1"/>
      <sheetName val="인원2"/>
      <sheetName val="인건비"/>
      <sheetName val="근태"/>
      <sheetName val="30분연장"/>
      <sheetName val="협력"/>
      <sheetName val="CS"/>
      <sheetName val="교육"/>
      <sheetName val="지식경영"/>
      <sheetName val="근태산출자료"/>
      <sheetName val="인건비산출자료"/>
      <sheetName val="폐토수익화 "/>
      <sheetName val="항목(1)"/>
      <sheetName val="BOOK4"/>
      <sheetName val="전문품의"/>
      <sheetName val="97년 1월"/>
      <sheetName val="일반관리비"/>
      <sheetName val="공표손익"/>
      <sheetName val="선급비용"/>
      <sheetName val="견검"/>
      <sheetName val="인원_20001101"/>
      <sheetName val="공정회의자료(월요일 10시까지)"/>
      <sheetName val="sm"/>
      <sheetName val="판매2팀"/>
      <sheetName val="연회비"/>
      <sheetName val="원본(그룹제외)"/>
      <sheetName val="필요면적"/>
      <sheetName val="9-1차이내역"/>
      <sheetName val="차수"/>
      <sheetName val="TABLE DB"/>
      <sheetName val="쌍용 data base"/>
      <sheetName val="2.대외공문"/>
      <sheetName val="조건"/>
      <sheetName val="내역서"/>
      <sheetName val="재료율"/>
      <sheetName val="월별손익"/>
      <sheetName val="수입"/>
      <sheetName val="CALENDAR"/>
      <sheetName val="년간업무"/>
      <sheetName val="신상자료"/>
      <sheetName val="점공통경비배부"/>
      <sheetName val="TEL"/>
      <sheetName val="총괄표"/>
      <sheetName val="각종data"/>
      <sheetName val="예산계획"/>
      <sheetName val="집계표"/>
      <sheetName val="개시대사 (2)"/>
      <sheetName val="완성차 미수금"/>
      <sheetName val="기준총수주"/>
      <sheetName val="npv"/>
      <sheetName val="퇴직율"/>
      <sheetName val="명부"/>
      <sheetName val="내역"/>
      <sheetName val="3.3검토국"/>
      <sheetName val="2"/>
      <sheetName val="산출근거1"/>
      <sheetName val="9612서울"/>
      <sheetName val="월현황(내자)"/>
      <sheetName val="천호"/>
      <sheetName val="주요공사"/>
      <sheetName val="EP0618"/>
      <sheetName val="3"/>
      <sheetName val="S1.1총괄"/>
      <sheetName val="Sheet4"/>
      <sheetName val="해외월별"/>
      <sheetName val="무전표"/>
      <sheetName val="1장"/>
      <sheetName val="수당 Table"/>
      <sheetName val="세부추진"/>
      <sheetName val="상용보강"/>
      <sheetName val="항목등록"/>
      <sheetName val="#REF"/>
      <sheetName val="지수"/>
      <sheetName val="일위대가표"/>
      <sheetName val="시화점실행"/>
      <sheetName val="RD제품개발투자비(매가)"/>
      <sheetName val="MAIN"/>
      <sheetName val="추정12_別_"/>
      <sheetName val="추정12_別_(2)"/>
      <sheetName val="추정12_別_(3)"/>
      <sheetName val="總括_12"/>
      <sheetName val="總括_12_(3)"/>
      <sheetName val="總括_12_(2)"/>
      <sheetName val="영업_細"/>
      <sheetName val="영업_細_(2)"/>
      <sheetName val="전년포함_(2)"/>
      <sheetName val="영업_일_계"/>
      <sheetName val="현재"/>
      <sheetName val="원가계산서"/>
      <sheetName val="98지급계획"/>
      <sheetName val="BM_NEW2"/>
      <sheetName val="신규DEP"/>
      <sheetName val="-15.0"/>
      <sheetName val="2.주요계수총괄"/>
      <sheetName val="TRIM-Y3"/>
      <sheetName val="구동"/>
      <sheetName val="관람석제출"/>
      <sheetName val="5사남"/>
      <sheetName val="전입"/>
      <sheetName val="인원01"/>
      <sheetName val="bai1-ke"/>
      <sheetName val="입력"/>
      <sheetName val="DANGA"/>
      <sheetName val="Dae_Jiju"/>
      <sheetName val="Sikje_ingun"/>
      <sheetName val="TREE_D"/>
      <sheetName val="계열사현황종합"/>
      <sheetName val="추가예산"/>
      <sheetName val="2000년1차"/>
      <sheetName val="설계"/>
      <sheetName val="CAUDIT"/>
      <sheetName val="본사인상전"/>
      <sheetName val="수리결과"/>
      <sheetName val="영업_일11"/>
      <sheetName val="월별손익(용역)_"/>
      <sheetName val="99년누계_(월별)"/>
      <sheetName val="환경분석_(2)"/>
      <sheetName val="매출액_확정"/>
      <sheetName val="제안서"/>
      <sheetName val="행정표준(1)"/>
      <sheetName val="행정표준(2)"/>
      <sheetName val="95하U$가격"/>
      <sheetName val="BUS제원1"/>
      <sheetName val="대외공문"/>
      <sheetName val="DATA"/>
      <sheetName val="지급자재"/>
      <sheetName val="파이프류"/>
      <sheetName val="일반자료"/>
      <sheetName val="98년매출액및매출원가"/>
      <sheetName val="손익계산서(가로)"/>
      <sheetName val="견적과실행예산"/>
      <sheetName val="주간기성"/>
      <sheetName val="Scenario"/>
      <sheetName val="시산표"/>
      <sheetName val="입력데이타"/>
      <sheetName val="유통망계획"/>
      <sheetName val="통합"/>
      <sheetName val="실행철강하도"/>
      <sheetName val="5월매출분석"/>
      <sheetName val="일위대가"/>
      <sheetName val="업무분장"/>
      <sheetName val="가정"/>
      <sheetName val="세목별"/>
      <sheetName val="982월원안"/>
      <sheetName val="자압"/>
      <sheetName val="MOTOR"/>
      <sheetName val="총괄"/>
      <sheetName val="간이연락"/>
      <sheetName val="공통가설"/>
      <sheetName val="VAT duoc khau tru"/>
      <sheetName val="경상비"/>
      <sheetName val="현금경비중역"/>
      <sheetName val="담당자"/>
      <sheetName val="원가서"/>
      <sheetName val="BCPAB"/>
      <sheetName val="지역개발"/>
      <sheetName val="토지(세부명세)"/>
      <sheetName val="업무계획1"/>
      <sheetName val="1ST"/>
      <sheetName val="조명시설"/>
      <sheetName val="간선계산"/>
      <sheetName val="DATE"/>
      <sheetName val="콘크리트타설집계표"/>
      <sheetName val="자재단가비교표"/>
      <sheetName val="의왕F사"/>
      <sheetName val="가공사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Assumption"/>
      <sheetName val="기초정보"/>
      <sheetName val="실행내역"/>
      <sheetName val="Hyundai_Unit_cost_xls"/>
      <sheetName val="2_대외공문"/>
      <sheetName val="추정12_別_3"/>
      <sheetName val="추정12_別_(2)3"/>
      <sheetName val="추정12_別_(3)3"/>
      <sheetName val="總括_123"/>
      <sheetName val="總括_12_(3)3"/>
      <sheetName val="總括_12_(2)3"/>
      <sheetName val="영업_細3"/>
      <sheetName val="영업_細_(2)3"/>
      <sheetName val="전년포함_(2)3"/>
      <sheetName val="영업_일_계3"/>
      <sheetName val="영업_일14"/>
      <sheetName val="월별손익(용역)_3"/>
      <sheetName val="99년누계_(월별)3"/>
      <sheetName val="환경분석_(2)3"/>
      <sheetName val="매출액_확정3"/>
      <sheetName val="Hyundai_Unit_cost_xls3"/>
      <sheetName val="2_대외공문3"/>
      <sheetName val="추정12_別_1"/>
      <sheetName val="추정12_別_(2)1"/>
      <sheetName val="추정12_別_(3)1"/>
      <sheetName val="總括_121"/>
      <sheetName val="總括_12_(3)1"/>
      <sheetName val="總括_12_(2)1"/>
      <sheetName val="영업_細1"/>
      <sheetName val="영업_細_(2)1"/>
      <sheetName val="전년포함_(2)1"/>
      <sheetName val="영업_일_계1"/>
      <sheetName val="영업_일12"/>
      <sheetName val="월별손익(용역)_1"/>
      <sheetName val="99년누계_(월별)1"/>
      <sheetName val="환경분석_(2)1"/>
      <sheetName val="매출액_확정1"/>
      <sheetName val="2_대외공문1"/>
      <sheetName val="Hyundai_Unit_cost_xls1"/>
      <sheetName val="추정12_別_2"/>
      <sheetName val="추정12_別_(2)2"/>
      <sheetName val="추정12_別_(3)2"/>
      <sheetName val="總括_122"/>
      <sheetName val="總括_12_(3)2"/>
      <sheetName val="總括_12_(2)2"/>
      <sheetName val="영업_細2"/>
      <sheetName val="영업_細_(2)2"/>
      <sheetName val="전년포함_(2)2"/>
      <sheetName val="영업_일_계2"/>
      <sheetName val="영업_일13"/>
      <sheetName val="월별손익(용역)_2"/>
      <sheetName val="99년누계_(월별)2"/>
      <sheetName val="환경분석_(2)2"/>
      <sheetName val="매출액_확정2"/>
      <sheetName val="Hyundai_Unit_cost_xls2"/>
      <sheetName val="2_대외공문2"/>
      <sheetName val="추정12_別_4"/>
      <sheetName val="추정12_別_(2)4"/>
      <sheetName val="추정12_別_(3)4"/>
      <sheetName val="總括_124"/>
      <sheetName val="總括_12_(3)4"/>
      <sheetName val="總括_12_(2)4"/>
      <sheetName val="영업_細4"/>
      <sheetName val="영업_細_(2)4"/>
      <sheetName val="전년포함_(2)4"/>
      <sheetName val="영업_일_계4"/>
      <sheetName val="영업_일15"/>
      <sheetName val="월별손익(용역)_4"/>
      <sheetName val="99년누계_(월별)4"/>
      <sheetName val="환경분석_(2)4"/>
      <sheetName val="매출액_확정4"/>
      <sheetName val="Hyundai_Unit_cost_xls4"/>
      <sheetName val="2_대외공문4"/>
      <sheetName val="일일(2월,현대정유)"/>
      <sheetName val="SAM"/>
      <sheetName val="주관사업"/>
      <sheetName val="입력값"/>
      <sheetName val="영업소실적"/>
      <sheetName val="성남"/>
      <sheetName val="95MAKER"/>
      <sheetName val="중동상가"/>
      <sheetName val="Project Brief"/>
      <sheetName val="자재단가"/>
      <sheetName val="광혁기성"/>
      <sheetName val="월별수입"/>
      <sheetName val="건축집계합계"/>
      <sheetName val="건축집계표이수"/>
      <sheetName val="당정동공통이수"/>
      <sheetName val="당정동경상이수"/>
      <sheetName val="Factor"/>
      <sheetName val="S0"/>
      <sheetName val="울산시산표"/>
      <sheetName val="LEGEND"/>
      <sheetName val="Summary"/>
      <sheetName val="EACT10"/>
      <sheetName val="XREF"/>
      <sheetName val="부하계산서"/>
      <sheetName val="주식"/>
      <sheetName val="화환비상"/>
      <sheetName val="경쟁실분"/>
      <sheetName val="결의서(일반)"/>
      <sheetName val="5_30(土)"/>
      <sheetName val="영업_일"/>
      <sheetName val="폐토수익화_"/>
      <sheetName val="97년_1월"/>
      <sheetName val="공정회의자료(월요일_10시까지)"/>
      <sheetName val="완성차_미수금"/>
      <sheetName val="개시대사_(2)"/>
      <sheetName val="3_3검토국"/>
      <sheetName val="S1_1총괄"/>
      <sheetName val="수당_Table"/>
      <sheetName val="5_30(土)1"/>
      <sheetName val="영업_일2"/>
      <sheetName val="폐토수익화_1"/>
      <sheetName val="97년_1월1"/>
      <sheetName val="공정회의자료(월요일_10시까지)1"/>
      <sheetName val="3_3검토국1"/>
      <sheetName val="완성차_미수금1"/>
      <sheetName val="개시대사_(2)1"/>
      <sheetName val="S1_1총괄1"/>
      <sheetName val="수당_Table1"/>
      <sheetName val="108.수선비"/>
      <sheetName val="분양금할인"/>
      <sheetName val="Tool"/>
      <sheetName val="PART_DISCOUNT"/>
      <sheetName val="내역서을지"/>
      <sheetName val="Total"/>
      <sheetName val="기본 상수"/>
      <sheetName val="주안3차A-A"/>
      <sheetName val="ITB COST"/>
      <sheetName val="갑지(추정)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관리비"/>
      <sheetName val="Details"/>
      <sheetName val="영업.일1"/>
      <sheetName val="대차대조표"/>
      <sheetName val="표"/>
      <sheetName val="중복브랜드실적"/>
      <sheetName val="2F엘레강스"/>
      <sheetName val="2F캐릭터"/>
      <sheetName val="9-1차이내역"/>
      <sheetName val="공문.사"/>
      <sheetName val="손익"/>
      <sheetName val="매출원가"/>
      <sheetName val="공문1"/>
      <sheetName val="표지"/>
      <sheetName val="표지2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9확정실적"/>
      <sheetName val="xxxxxx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2월15일"/>
      <sheetName val="아산공문"/>
      <sheetName val="매출현황"/>
      <sheetName val="총괄현황"/>
      <sheetName val="9_1차이내역"/>
      <sheetName val="합계잔액시산표"/>
      <sheetName val="비교대차대조표"/>
      <sheetName val="비교손익계산서 "/>
      <sheetName val="결손금처리계산서"/>
      <sheetName val="현금흐름표정산표"/>
      <sheetName val="현금흐름표"/>
      <sheetName val="현금흐름표_명세"/>
      <sheetName val="0312대차대조표"/>
      <sheetName val="(기준서반영)0312손익계산서"/>
      <sheetName val="상품"/>
      <sheetName val="매장상품"/>
      <sheetName val="외상매입금"/>
      <sheetName val="2003.12"/>
      <sheetName val="2002.12"/>
      <sheetName val="대차대조표_보고"/>
      <sheetName val="손익계산서_보고"/>
      <sheetName val="요약대차당해년"/>
      <sheetName val="요약대차대조표"/>
      <sheetName val="년도별손익계산서"/>
      <sheetName val="년도별대차대조표"/>
      <sheetName val="주요계정명세서_보고"/>
      <sheetName val="결산공고용"/>
      <sheetName val="수정시산표"/>
      <sheetName val="98지급계획"/>
      <sheetName val="FS"/>
      <sheetName val="주차구획선수량"/>
      <sheetName val="신공항A-9(원가수정)"/>
      <sheetName val="Foreign Exchange Rates"/>
      <sheetName val="INCOME STATEMENT INPUT"/>
      <sheetName val="Data Input Sheet"/>
      <sheetName val="일일총괄"/>
      <sheetName val="Asset9809CAK"/>
      <sheetName val="물량투입계획"/>
      <sheetName val="A1"/>
      <sheetName val="DATE"/>
      <sheetName val="차량별점검"/>
      <sheetName val="입력"/>
      <sheetName val="일괄인쇄"/>
      <sheetName val="2.대외공문"/>
      <sheetName val="선급미지급비용"/>
      <sheetName val="영업_일1"/>
      <sheetName val="97년 1월"/>
      <sheetName val="sm"/>
      <sheetName val="판관(용역)"/>
      <sheetName val="①매출"/>
      <sheetName val="2"/>
      <sheetName val="인건비기준"/>
      <sheetName val="#REF"/>
      <sheetName val="18"/>
      <sheetName val="운전자금97총괄"/>
      <sheetName val="공표손익"/>
      <sheetName val="213"/>
      <sheetName val="전직원(직영)"/>
      <sheetName val="Sheet6"/>
      <sheetName val="산출기준(파견전산실)"/>
      <sheetName val="종기실자료"/>
      <sheetName val="Inout"/>
      <sheetName val="TABLE DB"/>
      <sheetName val="쌍용 data base"/>
      <sheetName val="95MAKER"/>
      <sheetName val="일별1"/>
      <sheetName val="TOT"/>
      <sheetName val="TRIM-Y3"/>
      <sheetName val="일위(PN)"/>
      <sheetName val="계정"/>
      <sheetName val="대외공문"/>
      <sheetName val="총괄표"/>
      <sheetName val="업무분장"/>
      <sheetName val="수입"/>
      <sheetName val="조건"/>
      <sheetName val="관람석제출"/>
      <sheetName val="1-11조직표"/>
      <sheetName val="노무비"/>
      <sheetName val="Sheet1"/>
      <sheetName val="월별수입"/>
      <sheetName val="해외"/>
      <sheetName val="9904주부식"/>
      <sheetName val="간이연락"/>
      <sheetName val="기계"/>
      <sheetName val="9609추"/>
      <sheetName val="감충변동"/>
      <sheetName val="인원_20001101"/>
      <sheetName val="별첨1"/>
      <sheetName val="광혁기성"/>
      <sheetName val="수량산출"/>
      <sheetName val="경비공통"/>
      <sheetName val="주요기준"/>
      <sheetName val="식음료"/>
      <sheetName val="영업.일"/>
      <sheetName val="A-Property"/>
      <sheetName val="A-UW1"/>
      <sheetName val="A-General"/>
      <sheetName val="C"/>
      <sheetName val="Control"/>
      <sheetName val="Xaxis"/>
      <sheetName val="B"/>
      <sheetName val="A"/>
      <sheetName val="의왕F사"/>
      <sheetName val="가공사"/>
      <sheetName val="교각1"/>
      <sheetName val="교통대책내역"/>
      <sheetName val="정렬"/>
      <sheetName val="HP1AMLIST"/>
      <sheetName val="신우"/>
      <sheetName val="골조시행"/>
      <sheetName val="단"/>
      <sheetName val="AILC004"/>
      <sheetName val="유동자산"/>
      <sheetName val="부하계산서"/>
      <sheetName val="선급비용"/>
      <sheetName val="대비"/>
      <sheetName val="회사정보"/>
      <sheetName val="탄산"/>
      <sheetName val="절대지우지말것"/>
      <sheetName val="일위대가표"/>
      <sheetName val="인건비"/>
      <sheetName val="#참조_코드분류표"/>
      <sheetName val="#참조_CODE_팀"/>
      <sheetName val="단기차입금"/>
      <sheetName val="공문_사"/>
      <sheetName val="목차_(2)"/>
      <sheetName val="영업_일11"/>
      <sheetName val="비교손익계산서_"/>
      <sheetName val="2003_12"/>
      <sheetName val="2002_12"/>
      <sheetName val="Foreign_Exchange_Rates"/>
      <sheetName val="INCOME_STATEMENT_INPUT"/>
      <sheetName val="Data_Input_Sheet"/>
      <sheetName val="2_대외공문"/>
      <sheetName val="97년_1월"/>
      <sheetName val="공문_사1"/>
      <sheetName val="목차_(2)1"/>
      <sheetName val="영업_일12"/>
      <sheetName val="비교손익계산서_1"/>
      <sheetName val="2003_121"/>
      <sheetName val="2002_121"/>
      <sheetName val="Foreign_Exchange_Rates1"/>
      <sheetName val="INCOME_STATEMENT_INPUT1"/>
      <sheetName val="Data_Input_Sheet1"/>
      <sheetName val="2_대외공문1"/>
      <sheetName val="97년_1월1"/>
      <sheetName val="영업_일"/>
      <sheetName val="기초코드"/>
      <sheetName val="법인구분"/>
      <sheetName val="수목데이타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/>
      <sheetData sheetId="209"/>
      <sheetData sheetId="210"/>
      <sheetData sheetId="211" refreshError="1"/>
      <sheetData sheetId="212" refreshError="1"/>
      <sheetData sheetId="2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양재"/>
      <sheetName val="여의도"/>
      <sheetName val="가락"/>
      <sheetName val="사당"/>
      <sheetName val="인천"/>
      <sheetName val="광주"/>
      <sheetName val="전주"/>
      <sheetName val="대전"/>
      <sheetName val="동원텔"/>
      <sheetName val="일반관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 Summary"/>
      <sheetName val="Initial Input Variable"/>
      <sheetName val="Rent Roll at present"/>
      <sheetName val="Rent roll"/>
      <sheetName val="Rent Projection"/>
      <sheetName val="Cash Flow Month"/>
      <sheetName val="Cash Flow Year"/>
      <sheetName val="손익"/>
      <sheetName val="노무비"/>
      <sheetName val="conclusion"/>
      <sheetName val="결정단가"/>
      <sheetName val="comparables"/>
      <sheetName val="Deduction"/>
      <sheetName val="other"/>
      <sheetName val="issued"/>
      <sheetName val="util"/>
      <sheetName val="Assumptions"/>
      <sheetName val="Samsung Heavy Industry Bldg"/>
      <sheetName val="전기일위대가"/>
      <sheetName val="데이타"/>
      <sheetName val="지급어음(일별)"/>
      <sheetName val="인원계획-미화"/>
      <sheetName val="경율산정.XLS"/>
      <sheetName val="감가상각"/>
      <sheetName val="Scenario_Summary"/>
      <sheetName val="Initial_Input_Variable"/>
      <sheetName val="Rent_Roll_at_present"/>
      <sheetName val="Rent_roll"/>
      <sheetName val="Rent_Projection"/>
      <sheetName val="Cash_Flow_Month"/>
      <sheetName val="Cash_Flow_Year"/>
      <sheetName val="Samsung_Heavy_Industry_Bldg"/>
      <sheetName val="경율산정_XLS"/>
      <sheetName val="Sheet1"/>
      <sheetName val="내역서"/>
      <sheetName val="2 Harajuku Jimusho"/>
      <sheetName val="CHECK LIST"/>
      <sheetName val="식재인부"/>
      <sheetName val="24.보증금(전신전화가입권)"/>
    </sheetNames>
    <sheetDataSet>
      <sheetData sheetId="0">
        <row r="18">
          <cell r="C18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Building Check List"/>
      <sheetName val="2.rentroll"/>
      <sheetName val="3.Tenant contact"/>
      <sheetName val="6.radiophone"/>
      <sheetName val="9.Supplylist"/>
      <sheetName val="10.expense"/>
      <sheetName val="19.escalation"/>
      <sheetName val="22.vendor"/>
      <sheetName val="27.Service contract"/>
      <sheetName val="32.  Floor Area Table"/>
      <sheetName val="Airconditioner"/>
      <sheetName val="Siganage"/>
      <sheetName val="picture"/>
      <sheetName val="Initial Input Variable"/>
      <sheetName val="#REF"/>
      <sheetName val="Intro2"/>
      <sheetName val="Id"/>
      <sheetName val="주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pproximate BC"/>
      <sheetName val="Redevelopment"/>
      <sheetName val="Remodelling"/>
      <sheetName val="Architecture"/>
      <sheetName val="Cash Flow"/>
      <sheetName val="New Cash"/>
      <sheetName val="Source"/>
      <sheetName val="부동산세금"/>
      <sheetName val="Error festival"/>
      <sheetName val="Architecture(출력용)"/>
      <sheetName val="Operational Activities"/>
      <sheetName val="12.수도광열비"/>
      <sheetName val="Balance"/>
      <sheetName val="P &amp;L"/>
      <sheetName val="RECIEPT&amp;PAYMENT"/>
      <sheetName val="CoA map"/>
      <sheetName val="FM 인건비(KB)"/>
      <sheetName val="노무비"/>
      <sheetName val="Main"/>
      <sheetName val="Rent Roll_py"/>
      <sheetName val="노임이"/>
      <sheetName val="A (Calcs)"/>
      <sheetName val="B (Controls)"/>
      <sheetName val="Set-Up"/>
      <sheetName val="Multi-Iteration"/>
      <sheetName val="WREK자산임대현황-1(2월06일) "/>
      <sheetName val="KDB final cash flow"/>
      <sheetName val="++++"/>
      <sheetName val="Voucher"/>
      <sheetName val="Building 1"/>
      <sheetName val="재무가정"/>
      <sheetName val="인원계획-미화"/>
      <sheetName val="Excess Calc"/>
      <sheetName val="Initial Input Variable"/>
      <sheetName val="Co-Invest"/>
      <sheetName val="Approximate_BC"/>
      <sheetName val="Cash_Flow"/>
      <sheetName val="New_Cash"/>
      <sheetName val="Error_festival"/>
      <sheetName val="CoA_map"/>
      <sheetName val="FM_인건비(KB)"/>
      <sheetName val="Rent_Roll_py"/>
      <sheetName val="A_(Calcs)"/>
      <sheetName val="B_(Controls)"/>
      <sheetName val="Building_1"/>
      <sheetName val="Operational_Activities"/>
      <sheetName val="12_수도광열비"/>
      <sheetName val="P_&amp;L"/>
      <sheetName val="WREK자산임대현황-1(2월06일)_"/>
      <sheetName val="KDB_final_cash_flow"/>
      <sheetName val="guard(mac)"/>
      <sheetName val="CodeTable"/>
      <sheetName val="회사정보"/>
      <sheetName val="Macro Codes"/>
      <sheetName val="Input"/>
      <sheetName val="yakumo"/>
      <sheetName val="현금흐름"/>
      <sheetName val="Assumptions"/>
      <sheetName val="Input - Global"/>
      <sheetName val="Database - Tenant"/>
      <sheetName val="Model"/>
      <sheetName val="Control Tables- Hotel"/>
      <sheetName val="ControlTablesII"/>
      <sheetName val="Roll-Over"/>
      <sheetName val="Database - Eyechart"/>
      <sheetName val="A"/>
      <sheetName val="PL Summary"/>
      <sheetName val="1Month+Sheet2!"/>
      <sheetName val="IC Accounts"/>
      <sheetName val="사옥별"/>
      <sheetName val="CostData"/>
      <sheetName val="IncomeData"/>
      <sheetName val="Summary"/>
      <sheetName val="PropertyData"/>
      <sheetName val="기본사항"/>
      <sheetName val="Matrix"/>
      <sheetName val="仲介業者"/>
      <sheetName val="Lookup"/>
      <sheetName val="CostApp."/>
      <sheetName val="입찰안"/>
      <sheetName val="96월경계 (2)"/>
      <sheetName val="ENTRIES"/>
      <sheetName val="Pro-Forma"/>
      <sheetName val="시멘트"/>
      <sheetName val="감사회사"/>
      <sheetName val="Approximate_BC1"/>
      <sheetName val="Cash_Flow1"/>
      <sheetName val="New_Cash1"/>
      <sheetName val="Error_festival1"/>
      <sheetName val="KDB_final_cash_flow1"/>
      <sheetName val="CoA_map1"/>
      <sheetName val="FM_인건비(KB)1"/>
      <sheetName val="Operational_Activities1"/>
      <sheetName val="12_수도광열비1"/>
      <sheetName val="P_&amp;L1"/>
      <sheetName val="WREK자산임대현황-1(2월06일)_1"/>
      <sheetName val="Rent_Roll_py1"/>
      <sheetName val="A_(Calcs)1"/>
      <sheetName val="B_(Controls)1"/>
      <sheetName val="Building_11"/>
      <sheetName val="Excess_Calc"/>
      <sheetName val="Initial_Input_Variable"/>
      <sheetName val="Macro_Codes"/>
      <sheetName val="PL_Summary"/>
      <sheetName val="해외법인"/>
      <sheetName val="카니발(자105노60)"/>
      <sheetName val="ControlNoLinks"/>
      <sheetName val="MIML RECONCILIATIONS"/>
      <sheetName val="RAMM RECONCILIATIONS"/>
      <sheetName val="ﾘｽﾄ"/>
      <sheetName val="편입조서"/>
      <sheetName val="45,46"/>
      <sheetName val="Tenants"/>
      <sheetName val="자재단가비교표"/>
      <sheetName val="CARPENTER"/>
      <sheetName val="ALICO"/>
      <sheetName val="지분법(지분수정전)"/>
      <sheetName val="SP-B1"/>
      <sheetName val="C"/>
      <sheetName val="Control"/>
      <sheetName val="Xaxis"/>
      <sheetName val="B"/>
      <sheetName val="주차"/>
      <sheetName val="재무결과_현금"/>
      <sheetName val="Cash_Flow2"/>
      <sheetName val="準備ｼｰﾄ"/>
      <sheetName val="1차 내역서"/>
      <sheetName val="수량산출1"/>
      <sheetName val="변수"/>
      <sheetName val="2월가격"/>
      <sheetName val="ABUT수량-A1"/>
      <sheetName val="지장물"/>
      <sheetName val="수입"/>
      <sheetName val="수지"/>
      <sheetName val="데이타"/>
      <sheetName val="주관사업"/>
      <sheetName val="안산기계장치"/>
      <sheetName val="Parm"/>
      <sheetName val="2010 Autal"/>
      <sheetName val="2010 Budget"/>
      <sheetName val="Appendix 01"/>
      <sheetName val="I. Assumptions"/>
      <sheetName val="현장"/>
      <sheetName val="출자한도"/>
      <sheetName val="CashFlows"/>
      <sheetName val="APOD"/>
      <sheetName val="Sales"/>
      <sheetName val="익월작업계힉"/>
      <sheetName val="내역서"/>
      <sheetName val="수식변수"/>
      <sheetName val="A-General"/>
      <sheetName val="시화점실행"/>
      <sheetName val="97 사업추정(WEKI)"/>
      <sheetName val="내역"/>
      <sheetName val="갑지(추정)"/>
      <sheetName val="GAEYO"/>
      <sheetName val="ACPREF"/>
      <sheetName val="Exchange rates"/>
      <sheetName val="Import_FX"/>
      <sheetName val="YTD"/>
      <sheetName val="AJE"/>
      <sheetName val="Assumption"/>
      <sheetName val="보증금(전신전화가입권)"/>
      <sheetName val="보증금(임차보증금외)"/>
      <sheetName val="1월"/>
      <sheetName val="금액내역서"/>
      <sheetName val="0"/>
      <sheetName val="제조원가명세서"/>
      <sheetName val="추정1안계획1,2,3안"/>
      <sheetName val="data"/>
      <sheetName val="법곳동"/>
      <sheetName val="대화동"/>
      <sheetName val="표준지"/>
      <sheetName val="명세표"/>
      <sheetName val="Intro2"/>
      <sheetName val="Id"/>
      <sheetName val="토지평가조서(발송용)"/>
      <sheetName val="Financ. Overview"/>
      <sheetName val="Toolbox"/>
      <sheetName val="KDB final cash flow.xls"/>
      <sheetName val="payment"/>
      <sheetName val="설직재-1"/>
      <sheetName val="Sheet6"/>
      <sheetName val="A-Property"/>
      <sheetName val="ANALY"/>
      <sheetName val="Col"/>
      <sheetName val="Scoping"/>
      <sheetName val="Drop down"/>
      <sheetName val="EXRATE"/>
      <sheetName val="Cashflow(Scenario)"/>
      <sheetName val="시산표"/>
      <sheetName val="要旨"/>
      <sheetName val="6月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복리후생비"/>
      <sheetName val="교육훈련비"/>
      <sheetName val="도서인쇄비"/>
      <sheetName val="소모품비"/>
      <sheetName val="광고선전비"/>
      <sheetName val="판촉비"/>
      <sheetName val="여비교통비"/>
      <sheetName val="사무용품"/>
      <sheetName val="물류운반비"/>
      <sheetName val="잡급"/>
      <sheetName val="2.세목별집계표"/>
      <sheetName val="3.항목별집계표"/>
      <sheetName val="6-1.투자(부문)"/>
      <sheetName val="6-2.투자(월별)"/>
      <sheetName val="산출근거양식"/>
      <sheetName val="Sheet2"/>
      <sheetName val="Sheet1"/>
      <sheetName val="Establishment Cost-Dec 05"/>
      <sheetName val="Establishment Cost-Nov 05"/>
      <sheetName val="외화비용 2005.11.22"/>
      <sheetName val="2005년 Legal fees"/>
      <sheetName val="Sheet3"/>
      <sheetName val="Chart1"/>
      <sheetName val="Sheet3 (2)"/>
      <sheetName val="Utilities (2)"/>
      <sheetName val="조직도"/>
      <sheetName val="관리비 요약"/>
      <sheetName val="관리비 세부예산"/>
      <sheetName val="인건비 세부예산"/>
      <sheetName val="Cash Flow"/>
      <sheetName val="Source"/>
      <sheetName val="TOTAL 전력 현황"/>
      <sheetName val="Sheet1 (2)"/>
      <sheetName val="Sheet2 (2)"/>
      <sheetName val="실적표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99' C-1,2,3배분 실적완료"/>
      <sheetName val="98' C-1,2,3배분 실적완료"/>
      <sheetName val="1월"/>
      <sheetName val="98' C-1,2,3배분 실적완료 (3)"/>
      <sheetName val="6월분석"/>
      <sheetName val="xxxxxx"/>
      <sheetName val="0000000"/>
      <sheetName val="예산 현황"/>
      <sheetName val="예산 현황 (4)"/>
      <sheetName val="예산 현황 (3)"/>
      <sheetName val="예산 현황 (2)"/>
      <sheetName val="연료비Trend"/>
      <sheetName val="2001확정계획"/>
      <sheetName val="2001확정계획(1팀)"/>
      <sheetName val="2001확정계획(2팀)"/>
      <sheetName val="2001최초계획"/>
      <sheetName val="2001최초계획(1팀)"/>
      <sheetName val="2001최초계획(2팀)"/>
      <sheetName val="확정예산UT배분 (2)"/>
      <sheetName val="2001당초계획"/>
      <sheetName val="CAPA_REV.1"/>
      <sheetName val="CAPA"/>
      <sheetName val="사용계획REV.1"/>
      <sheetName val="사용계획"/>
      <sheetName val="절감세부계획"/>
      <sheetName val="설비담당월별GP (2)"/>
      <sheetName val="설비담당월별GP"/>
      <sheetName val="설비담당월별"/>
      <sheetName val="설비월별1GP"/>
      <sheetName val="설비월별1"/>
      <sheetName val="설비월별2GP"/>
      <sheetName val="설비월별2"/>
      <sheetName val="설비1"/>
      <sheetName val="설비2"/>
      <sheetName val="목표"/>
      <sheetName val="전체절감광열분리"/>
      <sheetName val="전체절감"/>
      <sheetName val=" 연료비절감"/>
      <sheetName val="수도료절감"/>
      <sheetName val="문제점"/>
      <sheetName val="loadsheeding"/>
      <sheetName val="계통도"/>
      <sheetName val="계통도 (2)"/>
      <sheetName val="00000"/>
      <sheetName val="99年한전 "/>
      <sheetName val="96실적기준"/>
      <sheetName val="97실적기준"/>
      <sheetName val="98실적기준"/>
      <sheetName val="99실적기준 "/>
      <sheetName val="00실적기준"/>
      <sheetName val="전력요금"/>
      <sheetName val="실적총괄표"/>
      <sheetName val="광열비분리"/>
      <sheetName val="1팀절감"/>
      <sheetName val="2팀절감"/>
      <sheetName val="연료비절감"/>
      <sheetName val="갑지(설비기술담당)"/>
      <sheetName val="갑지(설비1팀)"/>
      <sheetName val="갑지(설비2팀)"/>
      <sheetName val="갑지(300mm)"/>
      <sheetName val="설비기술담당 (2)"/>
      <sheetName val="설비기술담당"/>
      <sheetName val="설비1팀"/>
      <sheetName val="설비2팀"/>
      <sheetName val="동력"/>
      <sheetName val="연료용수"/>
      <sheetName val="전산2팀"/>
      <sheetName val="actual 2팀"/>
      <sheetName val="2팀fab"/>
      <sheetName val="산출근거1"/>
      <sheetName val="산출근거1_2"/>
      <sheetName val="산출근거2_1"/>
      <sheetName val="산출근거2-1"/>
      <sheetName val="산출근거2-2"/>
      <sheetName val="산출근거2-3"/>
      <sheetName val="산출근거2_2"/>
      <sheetName val="2002년 월별예산"/>
      <sheetName val="TOTAL"/>
      <sheetName val="FAB-1(300mm)"/>
      <sheetName val="FAB-2,3(기숙사,R동포함)"/>
      <sheetName val="C-1ASSY"/>
      <sheetName val="C-2"/>
      <sheetName val="C-3"/>
      <sheetName val="B-1"/>
      <sheetName val="교육동"/>
      <sheetName val="전력료 산출"/>
      <sheetName val="전력료 산출 (교육동)"/>
      <sheetName val="표지"/>
      <sheetName val="검침계통"/>
      <sheetName val="흐름"/>
      <sheetName val="흐름세부"/>
      <sheetName val="본사요금"/>
      <sheetName val="년도별TABLE"/>
      <sheetName val="발전요금"/>
      <sheetName val="열병합"/>
      <sheetName val="4"/>
      <sheetName val="5"/>
      <sheetName val="6"/>
      <sheetName val="7"/>
      <sheetName val="냉동 부하"/>
      <sheetName val="전류측정"/>
      <sheetName val="승강기 측정"/>
      <sheetName val="공용전등"/>
      <sheetName val="공조설비"/>
      <sheetName val="전력량 비율"/>
      <sheetName val="측정내용1"/>
      <sheetName val="네트웍스"/>
      <sheetName val="SYSTEM"/>
      <sheetName val="큐리1"/>
      <sheetName val="큐리2"/>
      <sheetName val="큐리3"/>
      <sheetName val="큐리4"/>
      <sheetName val="큐리5"/>
      <sheetName val="큐리6"/>
      <sheetName val="큐리7"/>
      <sheetName val="큐리8"/>
      <sheetName val="큐리9"/>
      <sheetName val="큐리10"/>
      <sheetName val="큐리텔 전등"/>
      <sheetName val="노조"/>
      <sheetName val="특수"/>
      <sheetName val="FLASH"/>
      <sheetName val="메모리"/>
      <sheetName val="계약서표지 (2)"/>
      <sheetName val="세부안"/>
      <sheetName val="세부안 (2)"/>
      <sheetName val="계통도(네트웍스)"/>
      <sheetName val="현대 큐리텔"/>
      <sheetName val="현대 큐리텔 (2)"/>
      <sheetName val="현대네트윅"/>
      <sheetName val="계약서표지 (3)"/>
      <sheetName val="큐리텔"/>
      <sheetName val="큐리텔8"/>
      <sheetName val="LCD "/>
      <sheetName val="Ⅰ.조직 및 업무"/>
      <sheetName val="환경사업팀"/>
      <sheetName val="안전보건PART"/>
      <sheetName val="업무FLOW 1-1"/>
      <sheetName val="1-2"/>
      <sheetName val="1-3"/>
      <sheetName val="2.업무분장"/>
      <sheetName val="2-1.전결규정(환경)"/>
      <sheetName val="2-2.전결규정(안전)"/>
      <sheetName val="3.계약관련 세부항목"/>
      <sheetName val="3-1. 세부업무분장(환경)"/>
      <sheetName val="3-2.세부업무분장(안전보건)"/>
      <sheetName val="4.비용청구 세부내역"/>
      <sheetName val="4-1.SSG예산"/>
      <sheetName val="4-1.CAO예산(변경)"/>
      <sheetName val="5.단가산정"/>
      <sheetName val="5-1.단가산정(환경)"/>
      <sheetName val="5-2.단가산정(안전)"/>
      <sheetName val="6.월간서비스비용"/>
      <sheetName val="6-1.월간금액(환경)"/>
      <sheetName val="6-1-1.연봉제"/>
      <sheetName val="6-1-1.이천월급시급제"/>
      <sheetName val="6-1-2.감가상각&amp;금융비"/>
      <sheetName val="6-1-3.복리후생비"/>
      <sheetName val="6-1-4.수질측정"/>
      <sheetName val="6-1-5.법정보험회사부담분 "/>
      <sheetName val="6-1-6.약품비"/>
      <sheetName val="6-1-7.전력비"/>
      <sheetName val="6-1-7.별첨1(폐수처리물량)"/>
      <sheetName val="6-1-8.폐기물"/>
      <sheetName val="6-1-7.별첨2(폐기물량)"/>
      <sheetName val="6-1-9.기타경비"/>
      <sheetName val="오폐수자산LIST_별첨(환경)"/>
      <sheetName val="월비용(소방)"/>
      <sheetName val="월비용(의료)"/>
      <sheetName val="6-2-1.인건비"/>
      <sheetName val="6-2-2.H수입금"/>
      <sheetName val="6-2-3.H예산실적"/>
      <sheetName val="6-2-4.S실적"/>
      <sheetName val="6-2-5.안전보건자산"/>
      <sheetName val="6-2-6.방재자산표"/>
      <sheetName val="6-2-7.부속의원자산표"/>
      <sheetName val="SH보험료"/>
      <sheetName val="S자산_별첨(안전)"/>
      <sheetName val="H자산_별첨_(안전)"/>
      <sheetName val="6.계약서표지(환경)"/>
      <sheetName val="결재"/>
      <sheetName val="찬재♥정희3"/>
      <sheetName val="본사 (3)"/>
      <sheetName val="본사"/>
      <sheetName val="합계"/>
      <sheetName val="합계 (2)"/>
      <sheetName val="목표vs실적"/>
      <sheetName val="계정별"/>
      <sheetName val="VXXXXXXXXXXXXXXXXXXXXXXXX"/>
      <sheetName val="wafer"/>
      <sheetName val="전체"/>
      <sheetName val="연료"/>
      <sheetName val="DI"/>
      <sheetName val="CDA"/>
      <sheetName val="GN2"/>
      <sheetName val="O2"/>
      <sheetName val="H2"/>
      <sheetName val="설명자료"/>
      <sheetName val="연간총괄표('03년 전기)"/>
      <sheetName val="연간총괄표('03년 DI)"/>
      <sheetName val="세부산출근거 ('03년 전기)"/>
      <sheetName val="세부산출근거 ('03년 DI)"/>
      <sheetName val="2-1.업무분장및전결규정(환경)"/>
      <sheetName val="2-2.부업무분장(소방)"/>
      <sheetName val="2-2.업무분장(의료)"/>
      <sheetName val="2-2.업무전결(안전보건)"/>
      <sheetName val="의료표지"/>
      <sheetName val="6.월간서비스비용표지"/>
      <sheetName val="안전보건 (4)"/>
      <sheetName val="하이닉스"/>
      <sheetName val="하이닉스(2)"/>
      <sheetName val="목차"/>
      <sheetName val="사업개요"/>
      <sheetName val="직무분석"/>
      <sheetName val="업무Flow"/>
      <sheetName val="경쟁사비교"/>
      <sheetName val="인력,예산"/>
      <sheetName val="인력계획"/>
      <sheetName val="투자예산"/>
      <sheetName val="02물류P원가"/>
      <sheetName val="각CO전체예산"/>
      <sheetName val="물류part총실적"/>
      <sheetName val="각CO전체실적"/>
      <sheetName val="실적분석"/>
      <sheetName val="비용절감안"/>
      <sheetName val="향후사업방안"/>
      <sheetName val="점검사항"/>
      <sheetName val="아이랩"/>
      <sheetName val="아이테스트"/>
      <sheetName val="코스페이스(공조기)"/>
      <sheetName val="코스페이스(항온항습)"/>
      <sheetName val="현대교정(공조기)"/>
      <sheetName val="현대교정(항온항습) "/>
      <sheetName val="현대교정(항온항습)  (2)"/>
      <sheetName val="현대시스콤(공조기)"/>
      <sheetName val="현대시스콤(공조기) (2)"/>
      <sheetName val="현대시스콤(공조기) (3)"/>
      <sheetName val="현대시스콤(항온항습)"/>
      <sheetName val="현대시스콤(항온항습)  (2)"/>
      <sheetName val="현대시스콤(항온항습)  (3)"/>
      <sheetName val="현대시스콤(항온항습)  (4)"/>
      <sheetName val="현대시스콤(항온항습) "/>
      <sheetName val="현대시스콤"/>
      <sheetName val="현대시스콤(연)"/>
      <sheetName val="현대시스콤(MM)"/>
      <sheetName val="현대교정인증기술원"/>
      <sheetName val="현대교정인증기술원(1)"/>
      <sheetName val="코스페이스"/>
      <sheetName val="코스페이스(1)"/>
      <sheetName val="아이랩(1)"/>
      <sheetName val="아이테스트(1)"/>
      <sheetName val="네트웍"/>
      <sheetName val="네트웍2"/>
      <sheetName val="이미지퀘스트"/>
      <sheetName val="이미지퀘스트 "/>
      <sheetName val="큐리텔(1)"/>
      <sheetName val="현대오토넷"/>
      <sheetName val="현대오토넷(1)"/>
      <sheetName val="현대오토넷(2)"/>
      <sheetName val="현대오토넷(3)"/>
      <sheetName val="아이랩(공조기)"/>
      <sheetName val="아이테스트(공조기)"/>
      <sheetName val="코스페이스(항온항습,에어컨)"/>
      <sheetName val="현대교정(항온항습,에어컨) "/>
      <sheetName val="현대교정(항온항습,에어컨)  (2)"/>
      <sheetName val="현대시스콤(에어컨)  (4)"/>
      <sheetName val="현대네트웍스(공조기)"/>
      <sheetName val="현대네트웍스(공조기) (2)"/>
      <sheetName val="큐리텔(공조기)"/>
      <sheetName val="큐리텔(공조기) (2)"/>
      <sheetName val="큐리텔(공조기) (3)"/>
      <sheetName val="큐리텔(공조기) (4)"/>
      <sheetName val="큐리텔(에어콘)"/>
      <sheetName val="큐리텔(에어콘) (2)"/>
      <sheetName val="큐리텔(에어콘) (3)"/>
      <sheetName val="큐리텔(에어콘) (4)"/>
      <sheetName val="큐리텔(에어콘) (5)"/>
      <sheetName val="현대오토넷본관(공조)"/>
      <sheetName val="현대오토넷본관(공조) (2)"/>
      <sheetName val="현대오토넷본관(공조) (3)"/>
      <sheetName val="현대오토넷본관(공조) (4)"/>
      <sheetName val="오토넷본관(에어콘)"/>
      <sheetName val="오토넷본관(에어콘) (2)"/>
      <sheetName val="현대오토넷연구동(공조) "/>
      <sheetName val="현대오토넷연구동(공조)  (2)"/>
      <sheetName val="현대오토넷연구동(공조)  (3)"/>
      <sheetName val="오토넷연구동(에어콘) "/>
      <sheetName val="오토넷연구동(에어콘)  (2)"/>
      <sheetName val="오토넷연구동(항온항습)  "/>
      <sheetName val="오토넷연구동(항온항습)   (2)"/>
      <sheetName val="오토넷연구동(항온항습)   (3)"/>
      <sheetName val="오토넷연구동(항온항습)   (4)"/>
      <sheetName val="오토넷연구동(항온항습)   (5)"/>
      <sheetName val="오토넷연구동(항온항습)   (6)"/>
      <sheetName val="현대오토넷금형(공조기)"/>
      <sheetName val="현대오토넷금형(공조기) (2)"/>
      <sheetName val="이큐베스텍"/>
      <sheetName val="이미지케스트"/>
      <sheetName val="오토넷연구동(에어콘)  (3)"/>
      <sheetName val="오토넷연구동(항온항습)   (7)"/>
      <sheetName val="오토넷연구동(항온항습)   (8)"/>
      <sheetName val="이미지퀘스트(공조기)"/>
      <sheetName val="현대시스콤 (2)"/>
      <sheetName val="사진"/>
      <sheetName val="아스텍조직"/>
      <sheetName val="물류조직"/>
      <sheetName val="인원현황"/>
      <sheetName val="현요율표"/>
      <sheetName val="요율표_3%↓"/>
      <sheetName val="경유견적"/>
      <sheetName val="택배견적"/>
      <sheetName val="택배견적 (2)"/>
      <sheetName val="Chart4"/>
      <sheetName val="수량EA"/>
      <sheetName val="수량kea"/>
      <sheetName val="2월누계256M"/>
      <sheetName val="2월누계128M"/>
      <sheetName val="1월누계256M"/>
      <sheetName val="1월누계128M"/>
      <sheetName val="법인2월sales"/>
      <sheetName val="법인1월sales"/>
      <sheetName val="메모리2월"/>
      <sheetName val="시스템IC2월"/>
      <sheetName val="본사출하(bill)01"/>
      <sheetName val="ALVXXL01"/>
      <sheetName val="이관예산"/>
      <sheetName val="이관예산 (2)"/>
      <sheetName val="내역"/>
      <sheetName val="총괄표"/>
      <sheetName val="동력팀"/>
      <sheetName val="설기1팀"/>
      <sheetName val="청주"/>
      <sheetName val="청주내역"/>
      <sheetName val="청주내역2"/>
      <sheetName val="이관(세부)"/>
      <sheetName val="02년 수도료 배분기준표"/>
      <sheetName val="03년 수도료 배분기준표"/>
      <sheetName val="02년 수도료 배분기준표 (2)"/>
      <sheetName val="개선제안"/>
      <sheetName val="표준안"/>
      <sheetName val="Chart6"/>
      <sheetName val="FAB1~8 (2)"/>
      <sheetName val="FAB1~8"/>
      <sheetName val="수정1 (3)"/>
      <sheetName val="수정1 (2)"/>
      <sheetName val="수정1"/>
      <sheetName val="Sys (2)"/>
      <sheetName val="연료비(전체)r2"/>
      <sheetName val="03년도 산출근거(전체)"/>
      <sheetName val="연료비(Sys)r2 "/>
      <sheetName val="03년도 산출근거(Sys)"/>
      <sheetName val="연료비(Mem)r2"/>
      <sheetName val="03년도 산출근거(Mem)"/>
      <sheetName val="경유(전체)"/>
      <sheetName val="2003 배분계획(전체)"/>
      <sheetName val="Sys"/>
      <sheetName val="Mem"/>
      <sheetName val="스팀 (2)"/>
      <sheetName val="DI (2)"/>
      <sheetName val="겉장"/>
      <sheetName val="전력"/>
      <sheetName val="스팀"/>
      <sheetName val="WC Requirements"/>
      <sheetName val="Other Cash"/>
      <sheetName val="총괄표 (2)"/>
      <sheetName val="건물"/>
      <sheetName val="토지"/>
      <sheetName val="FA"/>
      <sheetName val="FA_1"/>
      <sheetName val="FA_2"/>
      <sheetName val="FA_3"/>
      <sheetName val="IT자산"/>
      <sheetName val="List (2)"/>
      <sheetName val="Chart5"/>
      <sheetName val="1,2처리장배분(DI비율)"/>
      <sheetName val="1,2처리장배분(2002)"/>
      <sheetName val="Hynix분율(2003)"/>
      <sheetName val="(2003년)UPW usage"/>
      <sheetName val="(2003년)Monthy Rep."/>
      <sheetName val="(2003년)graph"/>
      <sheetName val="(2002년)Monthy Rep."/>
      <sheetName val="(2002년)graph"/>
      <sheetName val="(2001년)Monthy Rep."/>
      <sheetName val="(2001년)graph"/>
      <sheetName val="(2001~3년)Monthy Rep."/>
      <sheetName val="양식"/>
      <sheetName val="평가설문"/>
      <sheetName val="일반설문"/>
      <sheetName val="VXX"/>
      <sheetName val="공통 부분 배분기준案"/>
      <sheetName val="C-1현황"/>
      <sheetName val="C-2현황"/>
      <sheetName val="C-3현황"/>
      <sheetName val="B-1현황"/>
      <sheetName val="배분율 현황"/>
      <sheetName val="Chart9"/>
      <sheetName val="갑지"/>
      <sheetName val="Wafer 실적비교(첨부1)"/>
      <sheetName val="예산대비 실적(첨부2)"/>
      <sheetName val="Pro vs UT 비교 (03년)"/>
      <sheetName val="Pro vs UT 비교 (03년 그래프)"/>
      <sheetName val="Pro vs UT 비교 (03년 그래프) (2)"/>
      <sheetName val="Pro vs UT 비교 (03년 그래프) (3)"/>
      <sheetName val="fab별 비교 (03년 대비)"/>
      <sheetName val="fab별 비교(03년 그래프용)"/>
      <sheetName val="UT별 비교 (03년 대비)"/>
      <sheetName val="실적대비(첨부3)"/>
      <sheetName val="Chart7"/>
      <sheetName val="그래프"/>
      <sheetName val="그래프 (2)"/>
      <sheetName val="그래프 (3)"/>
      <sheetName val="그래프 (4)"/>
      <sheetName val="그래프 (6)"/>
      <sheetName val="그래프 (5)"/>
      <sheetName val="메뉴관리"/>
      <sheetName val="검수관리"/>
      <sheetName val="저장출고"/>
      <sheetName val="집기류"/>
      <sheetName val="집기류2"/>
      <sheetName val="집기류3"/>
      <sheetName val="집기류4"/>
      <sheetName val="업무FLOW소개"/>
      <sheetName val="제품창고업무FLOW"/>
      <sheetName val="운송현황"/>
      <sheetName val="운송업무FLOW"/>
      <sheetName val="업무분장"/>
      <sheetName val="팀업무전결규정"/>
      <sheetName val="물류팀문서현황"/>
      <sheetName val="견적제출공문"/>
      <sheetName val="단가비교 (2)"/>
      <sheetName val="Chart"/>
      <sheetName val="Data"/>
      <sheetName val="노무비"/>
      <sheetName val="conclusion"/>
      <sheetName val="결정단가"/>
      <sheetName val="comparables"/>
      <sheetName val="Deduction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自販機手数料"/>
      <sheetName val="関内（按分後データ"/>
      <sheetName val="関内（会計データ作成シート"/>
      <sheetName val="Pibot"/>
      <sheetName val="0203月次債権"/>
      <sheetName val="0203"/>
      <sheetName val="ｴｼﾞｿﾝPibot"/>
      <sheetName val="ｴｼﾞｿﾝ自用分"/>
      <sheetName val="マスタ"/>
      <sheetName val="노무비"/>
      <sheetName val="anaysis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카테고리매출"/>
      <sheetName val="카테고리매출 (2)"/>
      <sheetName val="카테고리매출총이익 (상반기)"/>
      <sheetName val="카테고리매출총이익(년계)"/>
      <sheetName val="손익실적 "/>
      <sheetName val="손익실적  (2)"/>
      <sheetName val="EVA실적및계획"/>
      <sheetName val="인원인건비"/>
      <sheetName val="재무구조-EC"/>
      <sheetName val="투자분석"/>
      <sheetName val="투자"/>
      <sheetName val="매출채권"/>
      <sheetName val="카테고리 매익"/>
      <sheetName val="Sheet1"/>
      <sheetName val="물류부문비"/>
      <sheetName val="손익"/>
      <sheetName val="Sheet3"/>
      <sheetName val="손익 (2)"/>
      <sheetName val="マスタ"/>
      <sheetName val="조건"/>
      <sheetName val="실행대비"/>
      <sheetName val="Total"/>
      <sheetName val="견적공통"/>
      <sheetName val="BID"/>
      <sheetName val="공통비조정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"/>
      <sheetName val="Sort"/>
      <sheetName val="PRICING"/>
      <sheetName val="sp"/>
      <sheetName val="SUMS"/>
      <sheetName val="Ultimate System Table"/>
      <sheetName val="INVENTORY 7E"/>
      <sheetName val="burn hrs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B4" t="str">
            <v>DND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DND</v>
          </cell>
          <cell r="J4" t="str">
            <v>DO NOT DO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 t="str">
            <v>0</v>
          </cell>
        </row>
        <row r="6">
          <cell r="B6">
            <v>1</v>
          </cell>
          <cell r="C6">
            <v>11</v>
          </cell>
          <cell r="D6">
            <v>1</v>
          </cell>
          <cell r="E6">
            <v>15</v>
          </cell>
          <cell r="F6" t="str">
            <v>ST</v>
          </cell>
          <cell r="G6" t="str">
            <v>NO</v>
          </cell>
          <cell r="H6">
            <v>17</v>
          </cell>
          <cell r="I6" t="str">
            <v>no code</v>
          </cell>
          <cell r="J6" t="str">
            <v>1'x 1'x 1 15w lamp &amp; ST bal</v>
          </cell>
        </row>
        <row r="7">
          <cell r="B7">
            <v>3</v>
          </cell>
          <cell r="C7">
            <v>12</v>
          </cell>
          <cell r="D7">
            <v>1</v>
          </cell>
          <cell r="E7">
            <v>17</v>
          </cell>
          <cell r="F7" t="str">
            <v>EL</v>
          </cell>
          <cell r="G7" t="str">
            <v>YES</v>
          </cell>
          <cell r="H7">
            <v>23</v>
          </cell>
          <cell r="I7" t="str">
            <v>F21LE</v>
          </cell>
          <cell r="J7" t="str">
            <v>1'x 2'x 1 17w lamp &amp; EL bal &amp; Refl</v>
          </cell>
        </row>
        <row r="8">
          <cell r="B8">
            <v>5</v>
          </cell>
          <cell r="C8">
            <v>12</v>
          </cell>
          <cell r="D8">
            <v>1</v>
          </cell>
          <cell r="E8">
            <v>17</v>
          </cell>
          <cell r="F8" t="str">
            <v>EL</v>
          </cell>
          <cell r="G8" t="str">
            <v>NO</v>
          </cell>
          <cell r="H8">
            <v>23</v>
          </cell>
          <cell r="I8" t="str">
            <v>F21LE</v>
          </cell>
          <cell r="J8" t="str">
            <v>1'x 2'x 1 17w lamp &amp; EL bal</v>
          </cell>
        </row>
        <row r="9">
          <cell r="B9" t="str">
            <v>005L</v>
          </cell>
          <cell r="C9">
            <v>12</v>
          </cell>
          <cell r="D9">
            <v>1</v>
          </cell>
          <cell r="E9">
            <v>17</v>
          </cell>
          <cell r="F9" t="str">
            <v>L-EL</v>
          </cell>
          <cell r="G9" t="str">
            <v>NO</v>
          </cell>
          <cell r="H9" t="str">
            <v>????</v>
          </cell>
          <cell r="I9" t="str">
            <v>no code</v>
          </cell>
          <cell r="J9" t="str">
            <v>1'x 2'x 1 17w lamp &amp; L-EL bal</v>
          </cell>
        </row>
        <row r="10">
          <cell r="B10">
            <v>7</v>
          </cell>
          <cell r="C10">
            <v>12</v>
          </cell>
          <cell r="D10">
            <v>1</v>
          </cell>
          <cell r="E10">
            <v>20</v>
          </cell>
          <cell r="F10" t="str">
            <v>ST</v>
          </cell>
          <cell r="G10" t="str">
            <v>YES</v>
          </cell>
          <cell r="H10">
            <v>25</v>
          </cell>
          <cell r="I10" t="str">
            <v>F21SS</v>
          </cell>
          <cell r="J10" t="str">
            <v>1'x 2'x 1 20w lamp &amp; ST bal &amp; Refl</v>
          </cell>
        </row>
        <row r="11">
          <cell r="B11">
            <v>9</v>
          </cell>
          <cell r="C11">
            <v>12</v>
          </cell>
          <cell r="D11">
            <v>1</v>
          </cell>
          <cell r="E11">
            <v>20</v>
          </cell>
          <cell r="F11" t="str">
            <v>ST</v>
          </cell>
          <cell r="G11" t="str">
            <v>NO</v>
          </cell>
          <cell r="H11">
            <v>25</v>
          </cell>
          <cell r="I11" t="str">
            <v>F21SS</v>
          </cell>
          <cell r="J11" t="str">
            <v>1'x 2'x 1 20w lamp &amp; ST bal</v>
          </cell>
        </row>
        <row r="12">
          <cell r="B12">
            <v>11</v>
          </cell>
          <cell r="C12">
            <v>12</v>
          </cell>
          <cell r="D12">
            <v>1</v>
          </cell>
          <cell r="E12">
            <v>20</v>
          </cell>
          <cell r="F12" t="str">
            <v>ES</v>
          </cell>
          <cell r="G12" t="str">
            <v>YES</v>
          </cell>
          <cell r="H12">
            <v>25</v>
          </cell>
          <cell r="I12" t="str">
            <v>F21EE</v>
          </cell>
          <cell r="J12" t="str">
            <v>1'x 2'x 1 20w lamp &amp; ES bal &amp; Refl</v>
          </cell>
        </row>
        <row r="13">
          <cell r="B13">
            <v>13</v>
          </cell>
          <cell r="C13">
            <v>12</v>
          </cell>
          <cell r="D13">
            <v>1</v>
          </cell>
          <cell r="E13">
            <v>20</v>
          </cell>
          <cell r="F13" t="str">
            <v>ES</v>
          </cell>
          <cell r="G13" t="str">
            <v>NO</v>
          </cell>
          <cell r="H13">
            <v>25</v>
          </cell>
          <cell r="I13" t="str">
            <v>F21EE</v>
          </cell>
          <cell r="J13" t="str">
            <v>1'x 2'x 1 20w lamp &amp; ES bal</v>
          </cell>
        </row>
        <row r="14">
          <cell r="B14">
            <v>15</v>
          </cell>
          <cell r="C14">
            <v>12</v>
          </cell>
          <cell r="D14">
            <v>2</v>
          </cell>
          <cell r="E14">
            <v>17</v>
          </cell>
          <cell r="F14" t="str">
            <v>EL</v>
          </cell>
          <cell r="G14" t="str">
            <v>YES</v>
          </cell>
          <cell r="H14">
            <v>34</v>
          </cell>
          <cell r="I14" t="str">
            <v>F22LL</v>
          </cell>
          <cell r="J14" t="str">
            <v>1'x 2'x 2 17w lamps &amp; EL bal &amp; Refl</v>
          </cell>
        </row>
        <row r="15">
          <cell r="B15">
            <v>17</v>
          </cell>
          <cell r="C15">
            <v>12</v>
          </cell>
          <cell r="D15">
            <v>2</v>
          </cell>
          <cell r="E15">
            <v>17</v>
          </cell>
          <cell r="F15" t="str">
            <v>EL</v>
          </cell>
          <cell r="G15" t="str">
            <v>NO</v>
          </cell>
          <cell r="H15">
            <v>34</v>
          </cell>
          <cell r="I15" t="str">
            <v>F22LL</v>
          </cell>
          <cell r="J15" t="str">
            <v>1'x 2'x 2 17w lamps &amp; EL bal</v>
          </cell>
        </row>
        <row r="16">
          <cell r="B16">
            <v>19</v>
          </cell>
          <cell r="C16">
            <v>12</v>
          </cell>
          <cell r="D16">
            <v>2</v>
          </cell>
          <cell r="E16">
            <v>20</v>
          </cell>
          <cell r="F16" t="str">
            <v>ST</v>
          </cell>
          <cell r="G16" t="str">
            <v>YES</v>
          </cell>
          <cell r="H16">
            <v>50</v>
          </cell>
          <cell r="I16" t="str">
            <v>F22SS</v>
          </cell>
          <cell r="J16" t="str">
            <v>1'x 2'x 2 17w lamps &amp; ST bal &amp; Refl</v>
          </cell>
        </row>
        <row r="17">
          <cell r="B17">
            <v>21</v>
          </cell>
          <cell r="C17">
            <v>12</v>
          </cell>
          <cell r="D17">
            <v>2</v>
          </cell>
          <cell r="E17">
            <v>20</v>
          </cell>
          <cell r="F17" t="str">
            <v>ST</v>
          </cell>
          <cell r="G17" t="str">
            <v>NO</v>
          </cell>
          <cell r="H17">
            <v>50</v>
          </cell>
          <cell r="I17" t="str">
            <v>F22SS</v>
          </cell>
          <cell r="J17" t="str">
            <v>1'x 2'x 2 20w lamps &amp; ST bal</v>
          </cell>
        </row>
        <row r="18">
          <cell r="B18" t="str">
            <v>21HO</v>
          </cell>
          <cell r="C18">
            <v>12</v>
          </cell>
          <cell r="D18">
            <v>2</v>
          </cell>
          <cell r="E18">
            <v>35</v>
          </cell>
          <cell r="F18" t="str">
            <v>ST</v>
          </cell>
          <cell r="G18" t="str">
            <v>NO</v>
          </cell>
          <cell r="H18">
            <v>97</v>
          </cell>
          <cell r="I18" t="str">
            <v>F22HS</v>
          </cell>
          <cell r="J18" t="str">
            <v>1'x 2'x 2 35w HO lamps &amp; ST bal</v>
          </cell>
        </row>
        <row r="19">
          <cell r="B19">
            <v>23</v>
          </cell>
          <cell r="C19">
            <v>12</v>
          </cell>
          <cell r="D19">
            <v>2</v>
          </cell>
          <cell r="E19">
            <v>20</v>
          </cell>
          <cell r="F19" t="str">
            <v>ES</v>
          </cell>
          <cell r="G19" t="str">
            <v>YES</v>
          </cell>
          <cell r="H19" t="str">
            <v>????</v>
          </cell>
          <cell r="I19" t="str">
            <v>????</v>
          </cell>
          <cell r="J19" t="str">
            <v>1'x 2'x 2 20w lamps &amp; ES bal &amp; Refl</v>
          </cell>
        </row>
        <row r="20">
          <cell r="B20">
            <v>25</v>
          </cell>
          <cell r="C20">
            <v>12</v>
          </cell>
          <cell r="D20">
            <v>2</v>
          </cell>
          <cell r="E20">
            <v>20</v>
          </cell>
          <cell r="F20" t="str">
            <v>ES</v>
          </cell>
          <cell r="G20" t="str">
            <v>NO</v>
          </cell>
          <cell r="H20">
            <v>45</v>
          </cell>
          <cell r="I20" t="str">
            <v>F22SE</v>
          </cell>
          <cell r="J20" t="str">
            <v>1'x 2'x 2 20w lamps &amp; ES bal</v>
          </cell>
        </row>
        <row r="21">
          <cell r="B21">
            <v>27</v>
          </cell>
          <cell r="C21">
            <v>12</v>
          </cell>
          <cell r="D21">
            <v>3</v>
          </cell>
          <cell r="E21">
            <v>20</v>
          </cell>
          <cell r="F21" t="str">
            <v>ST</v>
          </cell>
          <cell r="G21" t="str">
            <v>NO</v>
          </cell>
          <cell r="H21">
            <v>75</v>
          </cell>
          <cell r="I21" t="str">
            <v>F23SS</v>
          </cell>
          <cell r="J21" t="str">
            <v>1'x 2'x 3 20w lamps &amp; ST bal</v>
          </cell>
        </row>
        <row r="22">
          <cell r="B22">
            <v>29</v>
          </cell>
          <cell r="C22">
            <v>13</v>
          </cell>
          <cell r="D22">
            <v>1</v>
          </cell>
          <cell r="E22">
            <v>25</v>
          </cell>
          <cell r="F22" t="str">
            <v>EL</v>
          </cell>
          <cell r="G22" t="str">
            <v>YES</v>
          </cell>
          <cell r="H22">
            <v>25</v>
          </cell>
          <cell r="I22" t="str">
            <v>F31LL</v>
          </cell>
          <cell r="J22" t="str">
            <v>1'x 3'x 1 25w lamp &amp; EL bal &amp; Refl</v>
          </cell>
        </row>
        <row r="23">
          <cell r="B23" t="str">
            <v>029L</v>
          </cell>
          <cell r="C23">
            <v>13</v>
          </cell>
          <cell r="D23">
            <v>1</v>
          </cell>
          <cell r="E23">
            <v>25</v>
          </cell>
          <cell r="F23" t="str">
            <v>L-EL</v>
          </cell>
          <cell r="G23" t="str">
            <v>YES</v>
          </cell>
          <cell r="H23" t="str">
            <v>????</v>
          </cell>
          <cell r="I23" t="str">
            <v>no code</v>
          </cell>
          <cell r="J23" t="str">
            <v>1'x 3'x 1 25w lamp &amp; L-EL bal &amp; Refl</v>
          </cell>
        </row>
        <row r="24">
          <cell r="B24">
            <v>31</v>
          </cell>
          <cell r="C24">
            <v>13</v>
          </cell>
          <cell r="D24">
            <v>1</v>
          </cell>
          <cell r="E24">
            <v>25</v>
          </cell>
          <cell r="F24" t="str">
            <v>EL</v>
          </cell>
          <cell r="G24" t="str">
            <v>NO</v>
          </cell>
          <cell r="H24">
            <v>25</v>
          </cell>
          <cell r="I24" t="str">
            <v>F31LL</v>
          </cell>
          <cell r="J24" t="str">
            <v>1'x 3'x 1 25w lamp &amp; EL bal</v>
          </cell>
        </row>
        <row r="25">
          <cell r="B25">
            <v>33</v>
          </cell>
          <cell r="C25">
            <v>13</v>
          </cell>
          <cell r="D25">
            <v>1</v>
          </cell>
          <cell r="E25">
            <v>30</v>
          </cell>
          <cell r="F25" t="str">
            <v>ST</v>
          </cell>
          <cell r="G25" t="str">
            <v>YES</v>
          </cell>
          <cell r="H25">
            <v>46</v>
          </cell>
          <cell r="I25" t="str">
            <v>F31SS</v>
          </cell>
          <cell r="J25" t="str">
            <v xml:space="preserve">1'x 3'x 1 30w lamp &amp; ST bal &amp; Refl. </v>
          </cell>
        </row>
        <row r="26">
          <cell r="B26">
            <v>35</v>
          </cell>
          <cell r="C26">
            <v>13</v>
          </cell>
          <cell r="D26">
            <v>1</v>
          </cell>
          <cell r="E26">
            <v>30</v>
          </cell>
          <cell r="F26" t="str">
            <v>ST</v>
          </cell>
          <cell r="G26" t="str">
            <v>NO</v>
          </cell>
          <cell r="H26">
            <v>46</v>
          </cell>
          <cell r="I26" t="str">
            <v>F31SS</v>
          </cell>
          <cell r="J26" t="str">
            <v>1'x 3'x 1 30w lamp &amp; ST bal</v>
          </cell>
        </row>
        <row r="27">
          <cell r="B27">
            <v>37</v>
          </cell>
          <cell r="C27">
            <v>13</v>
          </cell>
          <cell r="D27">
            <v>1</v>
          </cell>
          <cell r="E27">
            <v>30</v>
          </cell>
          <cell r="F27" t="str">
            <v>ES</v>
          </cell>
          <cell r="G27" t="str">
            <v>YES</v>
          </cell>
          <cell r="H27" t="str">
            <v>????</v>
          </cell>
          <cell r="I27" t="str">
            <v>????</v>
          </cell>
          <cell r="J27" t="str">
            <v>1'x 3'x 1 30w lamp &amp; ES bal &amp; Refl</v>
          </cell>
        </row>
        <row r="28">
          <cell r="B28">
            <v>39</v>
          </cell>
          <cell r="C28">
            <v>13</v>
          </cell>
          <cell r="D28">
            <v>1</v>
          </cell>
          <cell r="E28">
            <v>30</v>
          </cell>
          <cell r="F28" t="str">
            <v>ES</v>
          </cell>
          <cell r="G28" t="str">
            <v>NO</v>
          </cell>
          <cell r="H28">
            <v>33</v>
          </cell>
          <cell r="I28" t="str">
            <v>F31LE</v>
          </cell>
          <cell r="J28" t="str">
            <v>1'x 3'x 1 30w lamp &amp; ES bal</v>
          </cell>
        </row>
        <row r="29">
          <cell r="B29">
            <v>41</v>
          </cell>
          <cell r="C29">
            <v>13</v>
          </cell>
          <cell r="D29">
            <v>2</v>
          </cell>
          <cell r="E29">
            <v>25</v>
          </cell>
          <cell r="F29" t="str">
            <v>EL</v>
          </cell>
          <cell r="G29" t="str">
            <v>YES</v>
          </cell>
          <cell r="H29">
            <v>30</v>
          </cell>
          <cell r="I29" t="str">
            <v>F31LL</v>
          </cell>
          <cell r="J29" t="str">
            <v>1'x 3'x 2 25w lamps &amp; EL bal &amp; Refl</v>
          </cell>
        </row>
        <row r="30">
          <cell r="B30">
            <v>43</v>
          </cell>
          <cell r="C30">
            <v>13</v>
          </cell>
          <cell r="D30">
            <v>2</v>
          </cell>
          <cell r="E30">
            <v>25</v>
          </cell>
          <cell r="F30" t="str">
            <v>EL</v>
          </cell>
          <cell r="G30" t="str">
            <v>NO</v>
          </cell>
          <cell r="H30">
            <v>30</v>
          </cell>
          <cell r="I30" t="str">
            <v>F32LL</v>
          </cell>
          <cell r="J30" t="str">
            <v>1'x 3'x 2 25w lamps &amp; EL bal</v>
          </cell>
        </row>
        <row r="31">
          <cell r="B31">
            <v>45</v>
          </cell>
          <cell r="C31">
            <v>13</v>
          </cell>
          <cell r="D31">
            <v>2</v>
          </cell>
          <cell r="E31">
            <v>30</v>
          </cell>
          <cell r="F31" t="str">
            <v>ST</v>
          </cell>
          <cell r="G31" t="str">
            <v>YES</v>
          </cell>
          <cell r="H31">
            <v>81</v>
          </cell>
          <cell r="I31" t="str">
            <v>????</v>
          </cell>
          <cell r="J31" t="str">
            <v>1'x 3'x 2 30w lamps &amp; ST bal &amp; Refl</v>
          </cell>
        </row>
        <row r="32">
          <cell r="B32">
            <v>47</v>
          </cell>
          <cell r="C32">
            <v>13</v>
          </cell>
          <cell r="D32">
            <v>2</v>
          </cell>
          <cell r="E32">
            <v>30</v>
          </cell>
          <cell r="F32" t="str">
            <v>ST</v>
          </cell>
          <cell r="G32" t="str">
            <v>NO</v>
          </cell>
          <cell r="H32">
            <v>81</v>
          </cell>
          <cell r="I32" t="str">
            <v>????</v>
          </cell>
          <cell r="J32" t="str">
            <v>1'x 3'x 2 30w lamps &amp; ST bal</v>
          </cell>
        </row>
        <row r="33">
          <cell r="B33">
            <v>49</v>
          </cell>
          <cell r="C33">
            <v>13</v>
          </cell>
          <cell r="D33">
            <v>2</v>
          </cell>
          <cell r="E33">
            <v>30</v>
          </cell>
          <cell r="F33" t="str">
            <v>ES</v>
          </cell>
          <cell r="G33" t="str">
            <v>YES</v>
          </cell>
          <cell r="H33">
            <v>74</v>
          </cell>
          <cell r="I33" t="str">
            <v>????</v>
          </cell>
          <cell r="J33" t="str">
            <v>1'x 3'x 2 30w lamps &amp; ES bal &amp; Refl</v>
          </cell>
        </row>
        <row r="34">
          <cell r="B34">
            <v>51</v>
          </cell>
          <cell r="C34">
            <v>13</v>
          </cell>
          <cell r="D34">
            <v>2</v>
          </cell>
          <cell r="E34">
            <v>30</v>
          </cell>
          <cell r="F34" t="str">
            <v>ES</v>
          </cell>
          <cell r="G34" t="str">
            <v>NO</v>
          </cell>
          <cell r="H34">
            <v>74</v>
          </cell>
          <cell r="I34" t="str">
            <v>????</v>
          </cell>
          <cell r="J34" t="str">
            <v>1'x 3'x 2 30w lamps &amp; ES bal</v>
          </cell>
        </row>
        <row r="35">
          <cell r="B35">
            <v>52</v>
          </cell>
          <cell r="C35">
            <v>13</v>
          </cell>
          <cell r="D35">
            <v>4</v>
          </cell>
          <cell r="E35">
            <v>30</v>
          </cell>
          <cell r="F35" t="str">
            <v>EL</v>
          </cell>
          <cell r="G35" t="str">
            <v>NO</v>
          </cell>
          <cell r="H35">
            <v>162</v>
          </cell>
          <cell r="I35" t="str">
            <v>F34SE</v>
          </cell>
          <cell r="J35" t="str">
            <v>1'x 3'x 4 30w lamps &amp; ST Bal</v>
          </cell>
        </row>
        <row r="36">
          <cell r="B36" t="str">
            <v>52a</v>
          </cell>
          <cell r="C36">
            <v>13</v>
          </cell>
          <cell r="D36">
            <v>4</v>
          </cell>
          <cell r="E36">
            <v>25</v>
          </cell>
          <cell r="F36" t="str">
            <v>EL</v>
          </cell>
          <cell r="G36" t="str">
            <v>NO</v>
          </cell>
          <cell r="H36">
            <v>90</v>
          </cell>
          <cell r="I36" t="str">
            <v>F31LL</v>
          </cell>
          <cell r="J36" t="str">
            <v>1'x 3'x 4 25w lamps &amp; EL Bal</v>
          </cell>
        </row>
        <row r="37">
          <cell r="B37">
            <v>53</v>
          </cell>
          <cell r="C37">
            <v>14</v>
          </cell>
          <cell r="D37">
            <v>1</v>
          </cell>
          <cell r="E37">
            <v>32</v>
          </cell>
          <cell r="F37" t="str">
            <v>EL</v>
          </cell>
          <cell r="G37" t="str">
            <v>YES</v>
          </cell>
          <cell r="H37">
            <v>30</v>
          </cell>
          <cell r="I37" t="str">
            <v>F41LL</v>
          </cell>
          <cell r="J37" t="str">
            <v>1'x 4'x 1 32w lamp &amp; EL bal &amp; Refl</v>
          </cell>
        </row>
        <row r="38">
          <cell r="B38" t="str">
            <v>53T2</v>
          </cell>
          <cell r="C38">
            <v>14</v>
          </cell>
          <cell r="D38">
            <v>1</v>
          </cell>
          <cell r="E38">
            <v>32</v>
          </cell>
          <cell r="F38" t="str">
            <v>EL</v>
          </cell>
          <cell r="G38" t="str">
            <v>YES</v>
          </cell>
          <cell r="H38">
            <v>31</v>
          </cell>
          <cell r="I38" t="str">
            <v>F41LL/T2</v>
          </cell>
          <cell r="J38" t="str">
            <v>1'x 4'x 1 32w lamp &amp; EL bal tandem2 &amp; Refl</v>
          </cell>
        </row>
        <row r="39">
          <cell r="B39" t="str">
            <v>53T3</v>
          </cell>
          <cell r="C39">
            <v>14</v>
          </cell>
          <cell r="D39">
            <v>1</v>
          </cell>
          <cell r="E39">
            <v>32</v>
          </cell>
          <cell r="F39" t="str">
            <v>EL</v>
          </cell>
          <cell r="G39" t="str">
            <v>YES</v>
          </cell>
          <cell r="H39">
            <v>29.5</v>
          </cell>
          <cell r="I39" t="str">
            <v>F41LL/T3</v>
          </cell>
          <cell r="J39" t="str">
            <v>1'x 4'x 1 32w lamp &amp; EL bal tandem3 &amp; Refl</v>
          </cell>
        </row>
        <row r="40">
          <cell r="B40" t="str">
            <v>53T4</v>
          </cell>
          <cell r="C40">
            <v>14</v>
          </cell>
          <cell r="D40">
            <v>1</v>
          </cell>
          <cell r="E40">
            <v>32</v>
          </cell>
          <cell r="F40" t="str">
            <v>EL</v>
          </cell>
          <cell r="G40" t="str">
            <v>YES</v>
          </cell>
          <cell r="H40">
            <v>27.5</v>
          </cell>
          <cell r="I40" t="str">
            <v>F41LL/T4</v>
          </cell>
          <cell r="J40" t="str">
            <v>1'x 4'x 1 32w lamp &amp; EL bal tandem4 &amp; Refl</v>
          </cell>
        </row>
        <row r="41">
          <cell r="B41" t="str">
            <v>053L</v>
          </cell>
          <cell r="C41">
            <v>14</v>
          </cell>
          <cell r="D41">
            <v>1</v>
          </cell>
          <cell r="E41">
            <v>32</v>
          </cell>
          <cell r="F41" t="str">
            <v>L-EL</v>
          </cell>
          <cell r="G41" t="str">
            <v>YES</v>
          </cell>
          <cell r="H41" t="str">
            <v>????</v>
          </cell>
          <cell r="I41" t="str">
            <v>????</v>
          </cell>
          <cell r="J41" t="str">
            <v>1'x 4'x 1 32w lamp &amp; L-EL bal &amp; Refl</v>
          </cell>
        </row>
        <row r="42">
          <cell r="B42">
            <v>55</v>
          </cell>
          <cell r="C42">
            <v>14</v>
          </cell>
          <cell r="D42">
            <v>1</v>
          </cell>
          <cell r="E42">
            <v>32</v>
          </cell>
          <cell r="F42" t="str">
            <v>EL</v>
          </cell>
          <cell r="G42" t="str">
            <v>NO</v>
          </cell>
          <cell r="H42">
            <v>32</v>
          </cell>
          <cell r="I42" t="str">
            <v>F41LL</v>
          </cell>
          <cell r="J42" t="str">
            <v>1'x 4'x 1 32w lamp &amp; EL bal</v>
          </cell>
        </row>
        <row r="43">
          <cell r="B43" t="str">
            <v>55T2</v>
          </cell>
          <cell r="C43">
            <v>14</v>
          </cell>
          <cell r="D43">
            <v>1</v>
          </cell>
          <cell r="E43">
            <v>32</v>
          </cell>
          <cell r="F43" t="str">
            <v>EL</v>
          </cell>
          <cell r="G43" t="str">
            <v>NO</v>
          </cell>
          <cell r="H43">
            <v>31</v>
          </cell>
          <cell r="I43" t="str">
            <v>F41LL/T2</v>
          </cell>
          <cell r="J43" t="str">
            <v>1'x 4'x 1 32w lamp &amp; EL bal tandem2</v>
          </cell>
        </row>
        <row r="44">
          <cell r="B44" t="str">
            <v>55T3</v>
          </cell>
          <cell r="C44">
            <v>14</v>
          </cell>
          <cell r="D44">
            <v>1</v>
          </cell>
          <cell r="E44">
            <v>32</v>
          </cell>
          <cell r="F44" t="str">
            <v>EL</v>
          </cell>
          <cell r="G44" t="str">
            <v>NO</v>
          </cell>
          <cell r="H44">
            <v>30</v>
          </cell>
          <cell r="I44" t="str">
            <v>F41LL/T3</v>
          </cell>
          <cell r="J44" t="str">
            <v>1'x 4'x 1 32w lamp &amp; EL bal tandem3</v>
          </cell>
        </row>
        <row r="45">
          <cell r="B45" t="str">
            <v>55T4</v>
          </cell>
          <cell r="C45">
            <v>14</v>
          </cell>
          <cell r="D45">
            <v>1</v>
          </cell>
          <cell r="E45">
            <v>32</v>
          </cell>
          <cell r="F45" t="str">
            <v>EL</v>
          </cell>
          <cell r="G45" t="str">
            <v>NO</v>
          </cell>
          <cell r="H45">
            <v>28</v>
          </cell>
          <cell r="I45" t="str">
            <v>F41LL/T4</v>
          </cell>
          <cell r="J45" t="str">
            <v>1'x 4'x 1 32w lamp &amp; EL bal tandem4</v>
          </cell>
        </row>
        <row r="46">
          <cell r="B46" t="str">
            <v>055L</v>
          </cell>
          <cell r="C46">
            <v>14</v>
          </cell>
          <cell r="D46">
            <v>1</v>
          </cell>
          <cell r="E46">
            <v>32</v>
          </cell>
          <cell r="F46" t="str">
            <v>L-EL</v>
          </cell>
          <cell r="G46" t="str">
            <v>NO</v>
          </cell>
          <cell r="H46">
            <v>28</v>
          </cell>
          <cell r="I46" t="str">
            <v>????</v>
          </cell>
          <cell r="J46" t="str">
            <v>1'x 4'x 1 32w lamp &amp; L-EL bal</v>
          </cell>
        </row>
        <row r="47">
          <cell r="B47">
            <v>57</v>
          </cell>
          <cell r="C47">
            <v>14</v>
          </cell>
          <cell r="D47">
            <v>1</v>
          </cell>
          <cell r="E47">
            <v>34</v>
          </cell>
          <cell r="F47" t="str">
            <v>ST</v>
          </cell>
          <cell r="G47" t="str">
            <v>YES</v>
          </cell>
          <cell r="H47">
            <v>50</v>
          </cell>
          <cell r="I47" t="str">
            <v>F41ES</v>
          </cell>
          <cell r="J47" t="str">
            <v>1'x 4'x 1 34w lamp &amp; ST bal &amp; Refl</v>
          </cell>
        </row>
        <row r="48">
          <cell r="B48">
            <v>59</v>
          </cell>
          <cell r="C48">
            <v>14</v>
          </cell>
          <cell r="D48">
            <v>1</v>
          </cell>
          <cell r="E48">
            <v>34</v>
          </cell>
          <cell r="F48" t="str">
            <v>ST</v>
          </cell>
          <cell r="G48" t="str">
            <v>NO</v>
          </cell>
          <cell r="H48">
            <v>50</v>
          </cell>
          <cell r="I48" t="str">
            <v>F41ES</v>
          </cell>
          <cell r="J48" t="str">
            <v>1'x 4'x 1 34w lamp &amp; ST bal</v>
          </cell>
        </row>
        <row r="49">
          <cell r="B49">
            <v>61</v>
          </cell>
          <cell r="C49">
            <v>14</v>
          </cell>
          <cell r="D49">
            <v>1</v>
          </cell>
          <cell r="E49">
            <v>34</v>
          </cell>
          <cell r="F49" t="str">
            <v>ES</v>
          </cell>
          <cell r="G49" t="str">
            <v>YES</v>
          </cell>
          <cell r="H49">
            <v>43</v>
          </cell>
          <cell r="I49" t="str">
            <v>F41EE</v>
          </cell>
          <cell r="J49" t="str">
            <v>1'x 4'x 1 34w lamp &amp; ES bal &amp; Refl</v>
          </cell>
        </row>
        <row r="50">
          <cell r="B50">
            <v>63</v>
          </cell>
          <cell r="C50">
            <v>14</v>
          </cell>
          <cell r="D50">
            <v>1</v>
          </cell>
          <cell r="E50">
            <v>34</v>
          </cell>
          <cell r="F50" t="str">
            <v>ES</v>
          </cell>
          <cell r="G50" t="str">
            <v>NO</v>
          </cell>
          <cell r="H50">
            <v>43</v>
          </cell>
          <cell r="I50" t="str">
            <v>F41EE</v>
          </cell>
          <cell r="J50" t="str">
            <v>1'x 4'x 1 34w lamp &amp; ES bal</v>
          </cell>
        </row>
        <row r="51">
          <cell r="B51">
            <v>65</v>
          </cell>
          <cell r="C51">
            <v>14</v>
          </cell>
          <cell r="D51">
            <v>1</v>
          </cell>
          <cell r="E51">
            <v>40</v>
          </cell>
          <cell r="F51" t="str">
            <v>ST</v>
          </cell>
          <cell r="G51" t="str">
            <v>YES</v>
          </cell>
          <cell r="H51">
            <v>57</v>
          </cell>
          <cell r="I51" t="str">
            <v>F41SS</v>
          </cell>
          <cell r="J51" t="str">
            <v>1'x 4'x 1 40w lamp &amp; ST bal &amp; Refl</v>
          </cell>
        </row>
        <row r="52">
          <cell r="B52">
            <v>67</v>
          </cell>
          <cell r="C52">
            <v>14</v>
          </cell>
          <cell r="D52">
            <v>1</v>
          </cell>
          <cell r="E52">
            <v>40</v>
          </cell>
          <cell r="F52" t="str">
            <v>ST</v>
          </cell>
          <cell r="G52" t="str">
            <v>NO</v>
          </cell>
          <cell r="H52">
            <v>57</v>
          </cell>
          <cell r="I52" t="str">
            <v>F41SS</v>
          </cell>
          <cell r="J52" t="str">
            <v>1'x 4'x 1 40w lamp &amp; ST bal</v>
          </cell>
        </row>
        <row r="53">
          <cell r="B53">
            <v>69</v>
          </cell>
          <cell r="C53">
            <v>14</v>
          </cell>
          <cell r="D53">
            <v>1</v>
          </cell>
          <cell r="E53">
            <v>40</v>
          </cell>
          <cell r="F53" t="str">
            <v>ES</v>
          </cell>
          <cell r="G53" t="str">
            <v>YES</v>
          </cell>
          <cell r="H53">
            <v>50</v>
          </cell>
          <cell r="I53" t="str">
            <v>F41SE</v>
          </cell>
          <cell r="J53" t="str">
            <v>1'x 4'x 1 40w lamp &amp; ES bal &amp; Refl</v>
          </cell>
        </row>
        <row r="54">
          <cell r="B54">
            <v>71</v>
          </cell>
          <cell r="C54">
            <v>14</v>
          </cell>
          <cell r="D54">
            <v>1</v>
          </cell>
          <cell r="E54">
            <v>40</v>
          </cell>
          <cell r="F54" t="str">
            <v>ES</v>
          </cell>
          <cell r="G54" t="str">
            <v>NO</v>
          </cell>
          <cell r="H54">
            <v>50</v>
          </cell>
          <cell r="I54" t="str">
            <v>F41SE</v>
          </cell>
          <cell r="J54" t="str">
            <v>1'x 4'x 1 40w lamp &amp; ES bal</v>
          </cell>
        </row>
        <row r="55">
          <cell r="B55">
            <v>73</v>
          </cell>
          <cell r="C55">
            <v>14</v>
          </cell>
          <cell r="D55">
            <v>1</v>
          </cell>
          <cell r="E55">
            <v>63</v>
          </cell>
          <cell r="F55" t="str">
            <v>ST</v>
          </cell>
          <cell r="G55" t="str">
            <v>YES</v>
          </cell>
          <cell r="H55">
            <v>85</v>
          </cell>
          <cell r="I55" t="str">
            <v>F41SHS</v>
          </cell>
          <cell r="J55" t="str">
            <v>1'x 4'x 1 60w lamp &amp; ST bal &amp; Refl</v>
          </cell>
        </row>
        <row r="56">
          <cell r="B56">
            <v>75</v>
          </cell>
          <cell r="C56">
            <v>14</v>
          </cell>
          <cell r="D56">
            <v>1</v>
          </cell>
          <cell r="E56">
            <v>63</v>
          </cell>
          <cell r="F56" t="str">
            <v>ST</v>
          </cell>
          <cell r="G56" t="str">
            <v>NO</v>
          </cell>
          <cell r="H56">
            <v>85</v>
          </cell>
          <cell r="I56" t="str">
            <v>F41SHS</v>
          </cell>
          <cell r="J56" t="str">
            <v>1'x 4'x 1 60w lamp &amp; ST bal</v>
          </cell>
        </row>
        <row r="57">
          <cell r="B57">
            <v>77</v>
          </cell>
          <cell r="C57">
            <v>14</v>
          </cell>
          <cell r="D57">
            <v>1</v>
          </cell>
          <cell r="E57">
            <v>115</v>
          </cell>
          <cell r="F57" t="str">
            <v>ST</v>
          </cell>
          <cell r="G57" t="str">
            <v>YES</v>
          </cell>
          <cell r="H57">
            <v>0</v>
          </cell>
          <cell r="I57" t="str">
            <v>????</v>
          </cell>
          <cell r="J57" t="str">
            <v>1'x 4'x 1 115w lamp &amp; ST bal &amp; Refl</v>
          </cell>
        </row>
        <row r="58">
          <cell r="B58">
            <v>79</v>
          </cell>
          <cell r="C58">
            <v>14</v>
          </cell>
          <cell r="D58">
            <v>1</v>
          </cell>
          <cell r="E58">
            <v>115</v>
          </cell>
          <cell r="F58" t="str">
            <v>ST</v>
          </cell>
          <cell r="G58" t="str">
            <v>NO</v>
          </cell>
          <cell r="H58">
            <v>0</v>
          </cell>
          <cell r="I58" t="str">
            <v>????</v>
          </cell>
          <cell r="J58" t="str">
            <v>1'x 4'x 1 115w lamp &amp; ST bal</v>
          </cell>
        </row>
        <row r="59">
          <cell r="B59">
            <v>80</v>
          </cell>
          <cell r="C59">
            <v>14</v>
          </cell>
          <cell r="D59">
            <v>2</v>
          </cell>
          <cell r="E59">
            <v>30</v>
          </cell>
          <cell r="F59" t="str">
            <v>ST</v>
          </cell>
          <cell r="G59" t="str">
            <v>NO</v>
          </cell>
          <cell r="H59">
            <v>0</v>
          </cell>
          <cell r="I59" t="str">
            <v>????</v>
          </cell>
          <cell r="J59" t="str">
            <v>1'x 4'x 2 30w lamps &amp; ST bal</v>
          </cell>
        </row>
        <row r="60">
          <cell r="B60">
            <v>81</v>
          </cell>
          <cell r="C60">
            <v>14</v>
          </cell>
          <cell r="D60">
            <v>2</v>
          </cell>
          <cell r="E60">
            <v>32</v>
          </cell>
          <cell r="F60" t="str">
            <v>EL</v>
          </cell>
          <cell r="G60" t="str">
            <v>YES</v>
          </cell>
          <cell r="H60">
            <v>62</v>
          </cell>
          <cell r="I60" t="str">
            <v>F42LL</v>
          </cell>
          <cell r="J60" t="str">
            <v>1'x 4'x 2 32w lamps &amp; EL bal &amp; Refl</v>
          </cell>
        </row>
        <row r="61">
          <cell r="B61" t="str">
            <v>81T2</v>
          </cell>
          <cell r="C61">
            <v>14</v>
          </cell>
          <cell r="D61">
            <v>2</v>
          </cell>
          <cell r="E61">
            <v>32</v>
          </cell>
          <cell r="F61" t="str">
            <v>EL</v>
          </cell>
          <cell r="G61" t="str">
            <v>YES</v>
          </cell>
          <cell r="H61">
            <v>55</v>
          </cell>
          <cell r="I61" t="str">
            <v>F42LL/T2</v>
          </cell>
          <cell r="J61" t="str">
            <v>1'x 4'x 2 32w lamps &amp; EL bal &amp; Refl, TANDEM 2</v>
          </cell>
        </row>
        <row r="62">
          <cell r="B62">
            <v>83</v>
          </cell>
          <cell r="C62">
            <v>14</v>
          </cell>
          <cell r="D62">
            <v>2</v>
          </cell>
          <cell r="E62">
            <v>32</v>
          </cell>
          <cell r="F62" t="str">
            <v>EL</v>
          </cell>
          <cell r="G62" t="str">
            <v>NO</v>
          </cell>
          <cell r="H62">
            <v>62</v>
          </cell>
          <cell r="I62" t="str">
            <v>F42LL</v>
          </cell>
          <cell r="J62" t="str">
            <v>1'x 4'x 2 32w lamps &amp; EL bal</v>
          </cell>
        </row>
        <row r="63">
          <cell r="B63" t="str">
            <v>83T2</v>
          </cell>
          <cell r="C63">
            <v>14</v>
          </cell>
          <cell r="D63">
            <v>2</v>
          </cell>
          <cell r="E63">
            <v>32</v>
          </cell>
          <cell r="F63" t="str">
            <v>EL</v>
          </cell>
          <cell r="G63" t="str">
            <v>NO</v>
          </cell>
          <cell r="H63">
            <v>55</v>
          </cell>
          <cell r="I63" t="str">
            <v>F42LL/T2</v>
          </cell>
          <cell r="J63" t="str">
            <v>1'x 4'x 2 32w lamps &amp; EL bal Tandem2</v>
          </cell>
        </row>
        <row r="64">
          <cell r="B64" t="str">
            <v>083L</v>
          </cell>
          <cell r="C64">
            <v>14</v>
          </cell>
          <cell r="D64">
            <v>2</v>
          </cell>
          <cell r="E64">
            <v>32</v>
          </cell>
          <cell r="F64" t="str">
            <v>L-EL</v>
          </cell>
          <cell r="G64" t="str">
            <v>NO</v>
          </cell>
          <cell r="H64">
            <v>52</v>
          </cell>
          <cell r="I64" t="str">
            <v>????</v>
          </cell>
          <cell r="J64" t="str">
            <v>1'x 4'x 2 32w lamps &amp; L-EL bal</v>
          </cell>
        </row>
        <row r="65">
          <cell r="B65" t="str">
            <v>83BR</v>
          </cell>
          <cell r="C65">
            <v>14</v>
          </cell>
          <cell r="D65">
            <v>2</v>
          </cell>
          <cell r="E65">
            <v>32</v>
          </cell>
          <cell r="F65" t="str">
            <v>EL</v>
          </cell>
          <cell r="G65" t="str">
            <v>BR</v>
          </cell>
          <cell r="H65">
            <v>62</v>
          </cell>
          <cell r="I65" t="str">
            <v>F42LL</v>
          </cell>
          <cell r="J65" t="str">
            <v>1'x 4'x 2 32w lamps &amp; EL bal  and bracket</v>
          </cell>
        </row>
        <row r="66">
          <cell r="B66" t="str">
            <v>83EM</v>
          </cell>
          <cell r="C66">
            <v>14</v>
          </cell>
          <cell r="D66">
            <v>2</v>
          </cell>
          <cell r="E66">
            <v>32</v>
          </cell>
          <cell r="F66" t="str">
            <v>EL</v>
          </cell>
          <cell r="G66" t="str">
            <v>NO</v>
          </cell>
          <cell r="H66">
            <v>62</v>
          </cell>
          <cell r="I66" t="str">
            <v>F42LL</v>
          </cell>
          <cell r="J66" t="str">
            <v>1'x 4'x 2 32w lamps &amp; EL Emerg. bal</v>
          </cell>
        </row>
        <row r="67">
          <cell r="B67">
            <v>84</v>
          </cell>
          <cell r="C67">
            <v>14</v>
          </cell>
          <cell r="D67">
            <v>2</v>
          </cell>
          <cell r="E67">
            <v>34</v>
          </cell>
          <cell r="F67" t="str">
            <v>EL</v>
          </cell>
          <cell r="G67" t="str">
            <v>NO</v>
          </cell>
          <cell r="H67">
            <v>59</v>
          </cell>
          <cell r="I67" t="str">
            <v>????</v>
          </cell>
          <cell r="J67" t="str">
            <v>1'x 4'x 2 34w lamps &amp; EL bal</v>
          </cell>
        </row>
        <row r="68">
          <cell r="B68">
            <v>85</v>
          </cell>
          <cell r="C68">
            <v>14</v>
          </cell>
          <cell r="D68">
            <v>2</v>
          </cell>
          <cell r="E68">
            <v>34</v>
          </cell>
          <cell r="F68" t="str">
            <v>ST</v>
          </cell>
          <cell r="G68" t="str">
            <v>YES</v>
          </cell>
          <cell r="H68">
            <v>82</v>
          </cell>
          <cell r="I68" t="str">
            <v>F42ES</v>
          </cell>
          <cell r="J68" t="str">
            <v>1'x 4'x 2 34w lamps &amp; ST bal &amp; Refl</v>
          </cell>
        </row>
        <row r="69">
          <cell r="B69">
            <v>87</v>
          </cell>
          <cell r="C69">
            <v>14</v>
          </cell>
          <cell r="D69">
            <v>2</v>
          </cell>
          <cell r="E69">
            <v>34</v>
          </cell>
          <cell r="F69" t="str">
            <v>ST</v>
          </cell>
          <cell r="G69" t="str">
            <v>NO</v>
          </cell>
          <cell r="H69">
            <v>82</v>
          </cell>
          <cell r="I69" t="str">
            <v>F42ES</v>
          </cell>
          <cell r="J69" t="str">
            <v>1'x 4'x 2 34w lamps &amp; ST bal</v>
          </cell>
        </row>
        <row r="70">
          <cell r="B70">
            <v>89</v>
          </cell>
          <cell r="C70">
            <v>14</v>
          </cell>
          <cell r="D70">
            <v>2</v>
          </cell>
          <cell r="E70">
            <v>34</v>
          </cell>
          <cell r="F70" t="str">
            <v>ES</v>
          </cell>
          <cell r="G70" t="str">
            <v>YES</v>
          </cell>
          <cell r="H70">
            <v>72</v>
          </cell>
          <cell r="I70" t="str">
            <v>F42EE</v>
          </cell>
          <cell r="J70" t="str">
            <v>1'x 4'x 2 34w lamps &amp; ES bal &amp; Refl</v>
          </cell>
        </row>
        <row r="71">
          <cell r="B71">
            <v>91</v>
          </cell>
          <cell r="C71">
            <v>14</v>
          </cell>
          <cell r="D71">
            <v>2</v>
          </cell>
          <cell r="E71">
            <v>34</v>
          </cell>
          <cell r="F71" t="str">
            <v>ES</v>
          </cell>
          <cell r="G71" t="str">
            <v>NO</v>
          </cell>
          <cell r="H71">
            <v>72</v>
          </cell>
          <cell r="I71" t="str">
            <v>F42EE</v>
          </cell>
          <cell r="J71" t="str">
            <v>1'x 4'x 2 34w lamps &amp; ES bal</v>
          </cell>
        </row>
        <row r="72">
          <cell r="B72">
            <v>93</v>
          </cell>
          <cell r="C72">
            <v>14</v>
          </cell>
          <cell r="D72">
            <v>2</v>
          </cell>
          <cell r="E72">
            <v>40</v>
          </cell>
          <cell r="F72" t="str">
            <v>ST</v>
          </cell>
          <cell r="G72" t="str">
            <v>YES</v>
          </cell>
          <cell r="H72">
            <v>96</v>
          </cell>
          <cell r="I72" t="str">
            <v>F42SS</v>
          </cell>
          <cell r="J72" t="str">
            <v>1'x 4'x 2 40w lamps &amp; ST bal &amp; Refl</v>
          </cell>
        </row>
        <row r="73">
          <cell r="B73">
            <v>95</v>
          </cell>
          <cell r="C73">
            <v>14</v>
          </cell>
          <cell r="D73">
            <v>2</v>
          </cell>
          <cell r="E73">
            <v>40</v>
          </cell>
          <cell r="F73" t="str">
            <v>ST</v>
          </cell>
          <cell r="G73" t="str">
            <v>NO</v>
          </cell>
          <cell r="H73">
            <v>96</v>
          </cell>
          <cell r="I73" t="str">
            <v>F42SS</v>
          </cell>
          <cell r="J73" t="str">
            <v>1'x 4'x 2 40w lamps &amp; ST bal</v>
          </cell>
        </row>
        <row r="74">
          <cell r="B74">
            <v>97</v>
          </cell>
          <cell r="C74">
            <v>14</v>
          </cell>
          <cell r="D74">
            <v>2</v>
          </cell>
          <cell r="E74">
            <v>40</v>
          </cell>
          <cell r="F74" t="str">
            <v>ES</v>
          </cell>
          <cell r="G74" t="str">
            <v>YES</v>
          </cell>
          <cell r="H74">
            <v>92</v>
          </cell>
          <cell r="I74" t="str">
            <v>F42SE</v>
          </cell>
          <cell r="J74" t="str">
            <v>1'x 4'x 2 40w lamps &amp; ES bal &amp; Refl</v>
          </cell>
        </row>
        <row r="75">
          <cell r="B75">
            <v>99</v>
          </cell>
          <cell r="C75">
            <v>14</v>
          </cell>
          <cell r="D75">
            <v>2</v>
          </cell>
          <cell r="E75">
            <v>40</v>
          </cell>
          <cell r="F75" t="str">
            <v>ES</v>
          </cell>
          <cell r="G75" t="str">
            <v>NO</v>
          </cell>
          <cell r="H75">
            <v>86</v>
          </cell>
          <cell r="I75" t="str">
            <v>F42SE</v>
          </cell>
          <cell r="J75" t="str">
            <v>1'x 4'x 2 40w lamps &amp; ES bal</v>
          </cell>
        </row>
        <row r="76">
          <cell r="B76">
            <v>100</v>
          </cell>
          <cell r="C76">
            <v>14</v>
          </cell>
          <cell r="D76">
            <v>3</v>
          </cell>
          <cell r="E76">
            <v>30</v>
          </cell>
          <cell r="F76" t="str">
            <v>ST</v>
          </cell>
          <cell r="G76" t="str">
            <v>NO</v>
          </cell>
          <cell r="H76">
            <v>86</v>
          </cell>
          <cell r="I76" t="str">
            <v>F43EIS</v>
          </cell>
          <cell r="J76" t="str">
            <v>1'x 4'x 3 30w lamps &amp; ST bal</v>
          </cell>
        </row>
        <row r="77">
          <cell r="B77">
            <v>101</v>
          </cell>
          <cell r="C77">
            <v>14</v>
          </cell>
          <cell r="D77">
            <v>3</v>
          </cell>
          <cell r="E77">
            <v>32</v>
          </cell>
          <cell r="F77" t="str">
            <v>EL</v>
          </cell>
          <cell r="G77" t="str">
            <v>YES</v>
          </cell>
          <cell r="H77">
            <v>88.5</v>
          </cell>
          <cell r="I77" t="str">
            <v>F43LL</v>
          </cell>
          <cell r="J77" t="str">
            <v>1'x 4'x 3 32w lamps &amp; EL bal &amp; Refl</v>
          </cell>
        </row>
        <row r="78">
          <cell r="B78">
            <v>103</v>
          </cell>
          <cell r="C78">
            <v>14</v>
          </cell>
          <cell r="D78">
            <v>3</v>
          </cell>
          <cell r="E78">
            <v>34</v>
          </cell>
          <cell r="F78" t="str">
            <v>ST</v>
          </cell>
          <cell r="G78" t="str">
            <v>NO</v>
          </cell>
          <cell r="H78">
            <v>115</v>
          </cell>
          <cell r="I78" t="str">
            <v>F43ES</v>
          </cell>
          <cell r="J78" t="str">
            <v>1'x 4'x 3 34w lamps &amp; ST bal</v>
          </cell>
        </row>
        <row r="79">
          <cell r="B79">
            <v>105</v>
          </cell>
          <cell r="C79">
            <v>14</v>
          </cell>
          <cell r="D79">
            <v>3</v>
          </cell>
          <cell r="E79">
            <v>34</v>
          </cell>
          <cell r="F79" t="str">
            <v>ES</v>
          </cell>
          <cell r="G79" t="str">
            <v>NO</v>
          </cell>
          <cell r="H79">
            <v>115</v>
          </cell>
          <cell r="I79" t="str">
            <v>F43EE</v>
          </cell>
          <cell r="J79" t="str">
            <v>1'x 4'x 3 34w lamps &amp; ES bal</v>
          </cell>
        </row>
        <row r="80">
          <cell r="B80">
            <v>107</v>
          </cell>
          <cell r="C80">
            <v>14</v>
          </cell>
          <cell r="D80">
            <v>3</v>
          </cell>
          <cell r="E80">
            <v>40</v>
          </cell>
          <cell r="F80" t="str">
            <v>ST</v>
          </cell>
          <cell r="G80" t="str">
            <v>NO</v>
          </cell>
          <cell r="H80">
            <v>153</v>
          </cell>
          <cell r="I80" t="str">
            <v>F43SS</v>
          </cell>
          <cell r="J80" t="str">
            <v>1'x 4'x 3 40w lamps &amp; ST bal</v>
          </cell>
        </row>
        <row r="81">
          <cell r="B81">
            <v>109</v>
          </cell>
          <cell r="C81">
            <v>14</v>
          </cell>
          <cell r="D81">
            <v>3</v>
          </cell>
          <cell r="E81">
            <v>40</v>
          </cell>
          <cell r="F81" t="str">
            <v>ES</v>
          </cell>
          <cell r="G81" t="str">
            <v>NO</v>
          </cell>
          <cell r="H81">
            <v>136</v>
          </cell>
          <cell r="I81" t="str">
            <v>F43SE</v>
          </cell>
          <cell r="J81" t="str">
            <v>1'x 4'x 3 40w lamps &amp; ES bal</v>
          </cell>
        </row>
        <row r="82">
          <cell r="B82">
            <v>110</v>
          </cell>
          <cell r="C82">
            <v>14</v>
          </cell>
          <cell r="D82">
            <v>4</v>
          </cell>
          <cell r="E82">
            <v>32</v>
          </cell>
          <cell r="F82" t="str">
            <v>EL</v>
          </cell>
          <cell r="G82" t="str">
            <v>NO</v>
          </cell>
          <cell r="H82">
            <v>110</v>
          </cell>
          <cell r="I82" t="str">
            <v>F44LL</v>
          </cell>
          <cell r="J82" t="str">
            <v>1'x 4'x 4 32w lamps &amp; EL bal</v>
          </cell>
        </row>
        <row r="83">
          <cell r="B83">
            <v>111</v>
          </cell>
          <cell r="C83">
            <v>14</v>
          </cell>
          <cell r="D83">
            <v>4</v>
          </cell>
          <cell r="E83">
            <v>34</v>
          </cell>
          <cell r="F83" t="str">
            <v>ST</v>
          </cell>
          <cell r="G83" t="str">
            <v>NO</v>
          </cell>
          <cell r="H83">
            <v>164</v>
          </cell>
          <cell r="I83" t="str">
            <v>F44ES</v>
          </cell>
          <cell r="J83" t="str">
            <v>1'x 4'x 4 34w lamps &amp; ST  bal</v>
          </cell>
        </row>
        <row r="84">
          <cell r="B84">
            <v>113</v>
          </cell>
          <cell r="C84">
            <v>14</v>
          </cell>
          <cell r="D84">
            <v>4</v>
          </cell>
          <cell r="E84">
            <v>34</v>
          </cell>
          <cell r="F84" t="str">
            <v>ES</v>
          </cell>
          <cell r="G84" t="str">
            <v>NO</v>
          </cell>
          <cell r="H84">
            <v>144</v>
          </cell>
          <cell r="I84" t="str">
            <v>F44EE</v>
          </cell>
          <cell r="J84" t="str">
            <v>1'x 4'x 4 34w lamps &amp; ES bal</v>
          </cell>
        </row>
        <row r="85">
          <cell r="B85">
            <v>115</v>
          </cell>
          <cell r="C85">
            <v>14</v>
          </cell>
          <cell r="D85">
            <v>4</v>
          </cell>
          <cell r="E85">
            <v>40</v>
          </cell>
          <cell r="F85" t="str">
            <v>ST</v>
          </cell>
          <cell r="G85" t="str">
            <v>NO</v>
          </cell>
          <cell r="H85">
            <v>192</v>
          </cell>
          <cell r="I85" t="str">
            <v>F44SS</v>
          </cell>
          <cell r="J85" t="str">
            <v>1'x 4'x 4 40w lamps &amp; ST bal</v>
          </cell>
        </row>
        <row r="86">
          <cell r="B86">
            <v>117</v>
          </cell>
          <cell r="C86">
            <v>14</v>
          </cell>
          <cell r="D86">
            <v>4</v>
          </cell>
          <cell r="E86">
            <v>40</v>
          </cell>
          <cell r="F86" t="str">
            <v>ES</v>
          </cell>
          <cell r="G86" t="str">
            <v>NO</v>
          </cell>
          <cell r="H86">
            <v>172</v>
          </cell>
          <cell r="I86" t="str">
            <v>F44SE</v>
          </cell>
          <cell r="J86" t="str">
            <v>1'x 4'x 4 40w lamps &amp; ES bal</v>
          </cell>
        </row>
        <row r="87">
          <cell r="B87">
            <v>119</v>
          </cell>
          <cell r="C87">
            <v>16</v>
          </cell>
          <cell r="D87">
            <v>1</v>
          </cell>
          <cell r="E87">
            <v>56</v>
          </cell>
          <cell r="F87" t="str">
            <v>ST</v>
          </cell>
          <cell r="G87" t="str">
            <v>NO</v>
          </cell>
          <cell r="H87">
            <v>70</v>
          </cell>
          <cell r="I87" t="str">
            <v>????</v>
          </cell>
          <cell r="J87" t="str">
            <v>1'x 6'x 1 56w lamps &amp; ST bal</v>
          </cell>
        </row>
        <row r="88">
          <cell r="B88">
            <v>121</v>
          </cell>
          <cell r="C88">
            <v>16</v>
          </cell>
          <cell r="D88">
            <v>1</v>
          </cell>
          <cell r="E88">
            <v>56</v>
          </cell>
          <cell r="F88" t="str">
            <v>ES</v>
          </cell>
          <cell r="G88" t="str">
            <v>NO</v>
          </cell>
          <cell r="H88">
            <v>0</v>
          </cell>
          <cell r="I88" t="str">
            <v>????</v>
          </cell>
          <cell r="J88" t="str">
            <v>1'x 6'x 1 56w lamps &amp; ES bal</v>
          </cell>
        </row>
        <row r="89">
          <cell r="B89">
            <v>123</v>
          </cell>
          <cell r="C89">
            <v>16</v>
          </cell>
          <cell r="D89">
            <v>1</v>
          </cell>
          <cell r="E89">
            <v>85</v>
          </cell>
          <cell r="F89" t="str">
            <v>ST</v>
          </cell>
          <cell r="G89" t="str">
            <v>NO</v>
          </cell>
          <cell r="H89">
            <v>135</v>
          </cell>
          <cell r="I89" t="str">
            <v>????</v>
          </cell>
          <cell r="J89" t="str">
            <v>1'x 6'x 1 56w lamps &amp; ST bal</v>
          </cell>
        </row>
        <row r="90">
          <cell r="B90">
            <v>125</v>
          </cell>
          <cell r="C90">
            <v>16</v>
          </cell>
          <cell r="D90">
            <v>1</v>
          </cell>
          <cell r="E90">
            <v>85</v>
          </cell>
          <cell r="F90" t="str">
            <v>ES</v>
          </cell>
          <cell r="G90" t="str">
            <v>NO</v>
          </cell>
          <cell r="H90">
            <v>0</v>
          </cell>
          <cell r="I90" t="str">
            <v>????</v>
          </cell>
          <cell r="J90" t="str">
            <v>1'x 6'x 1 56w lamps &amp; ES bal</v>
          </cell>
        </row>
        <row r="91">
          <cell r="B91">
            <v>127</v>
          </cell>
          <cell r="C91">
            <v>16</v>
          </cell>
          <cell r="D91">
            <v>2</v>
          </cell>
          <cell r="E91">
            <v>25</v>
          </cell>
          <cell r="F91" t="str">
            <v>EL</v>
          </cell>
          <cell r="G91" t="str">
            <v>YES</v>
          </cell>
          <cell r="H91">
            <v>0</v>
          </cell>
          <cell r="I91" t="str">
            <v>????</v>
          </cell>
          <cell r="J91" t="str">
            <v>1'x 6'x 2 25w lamps &amp; EL bal &amp; Refl</v>
          </cell>
        </row>
        <row r="92">
          <cell r="B92">
            <v>129</v>
          </cell>
          <cell r="C92">
            <v>16</v>
          </cell>
          <cell r="D92">
            <v>2</v>
          </cell>
          <cell r="E92">
            <v>25</v>
          </cell>
          <cell r="F92" t="str">
            <v>EL</v>
          </cell>
          <cell r="G92" t="str">
            <v>NO</v>
          </cell>
          <cell r="H92">
            <v>0</v>
          </cell>
          <cell r="I92" t="str">
            <v>????</v>
          </cell>
          <cell r="J92" t="str">
            <v>1'x 6'x 2 25w lamps &amp; EL bal</v>
          </cell>
        </row>
        <row r="93">
          <cell r="B93">
            <v>131</v>
          </cell>
          <cell r="C93">
            <v>16</v>
          </cell>
          <cell r="D93">
            <v>2</v>
          </cell>
          <cell r="E93">
            <v>25</v>
          </cell>
          <cell r="F93" t="str">
            <v>EL</v>
          </cell>
          <cell r="G93" t="str">
            <v>BR</v>
          </cell>
          <cell r="H93">
            <v>0</v>
          </cell>
          <cell r="I93" t="str">
            <v>????</v>
          </cell>
          <cell r="J93" t="str">
            <v>1'x 6'x 2 25w lamps &amp; EL bal &amp; BR</v>
          </cell>
        </row>
        <row r="94">
          <cell r="B94">
            <v>133</v>
          </cell>
          <cell r="C94">
            <v>16</v>
          </cell>
          <cell r="D94">
            <v>2</v>
          </cell>
          <cell r="E94">
            <v>30</v>
          </cell>
          <cell r="F94" t="str">
            <v>ST</v>
          </cell>
          <cell r="G94" t="str">
            <v>YES</v>
          </cell>
          <cell r="H94">
            <v>0</v>
          </cell>
          <cell r="I94" t="str">
            <v>????</v>
          </cell>
          <cell r="J94" t="str">
            <v>1'x 6'x 2 30w lamps &amp; ST bal &amp; Refl</v>
          </cell>
        </row>
        <row r="95">
          <cell r="B95">
            <v>135</v>
          </cell>
          <cell r="C95">
            <v>16</v>
          </cell>
          <cell r="D95">
            <v>2</v>
          </cell>
          <cell r="E95">
            <v>30</v>
          </cell>
          <cell r="F95" t="str">
            <v>ST</v>
          </cell>
          <cell r="G95" t="str">
            <v>NO</v>
          </cell>
          <cell r="H95">
            <v>0</v>
          </cell>
          <cell r="I95" t="str">
            <v>????</v>
          </cell>
          <cell r="J95" t="str">
            <v>1'x 6'x 2 30w lamps &amp; ST bal</v>
          </cell>
        </row>
        <row r="96">
          <cell r="B96">
            <v>137</v>
          </cell>
          <cell r="C96">
            <v>16</v>
          </cell>
          <cell r="D96">
            <v>2</v>
          </cell>
          <cell r="E96">
            <v>30</v>
          </cell>
          <cell r="F96" t="str">
            <v>ES</v>
          </cell>
          <cell r="G96" t="str">
            <v>YES</v>
          </cell>
          <cell r="H96">
            <v>0</v>
          </cell>
          <cell r="I96" t="str">
            <v>????</v>
          </cell>
          <cell r="J96" t="str">
            <v>1'x 6'x 2 30w lamps &amp; ES bal &amp; Refl</v>
          </cell>
        </row>
        <row r="97">
          <cell r="B97">
            <v>139</v>
          </cell>
          <cell r="C97">
            <v>16</v>
          </cell>
          <cell r="D97">
            <v>2</v>
          </cell>
          <cell r="E97">
            <v>30</v>
          </cell>
          <cell r="F97" t="str">
            <v>ES</v>
          </cell>
          <cell r="G97" t="str">
            <v>NO</v>
          </cell>
          <cell r="H97">
            <v>0</v>
          </cell>
          <cell r="I97" t="str">
            <v>????</v>
          </cell>
          <cell r="J97" t="str">
            <v xml:space="preserve">1'x 6'x 2 30w lamps &amp; ES bal </v>
          </cell>
        </row>
        <row r="98">
          <cell r="B98">
            <v>141</v>
          </cell>
          <cell r="C98">
            <v>16</v>
          </cell>
          <cell r="D98">
            <v>2</v>
          </cell>
          <cell r="E98">
            <v>56</v>
          </cell>
          <cell r="F98" t="str">
            <v>ST</v>
          </cell>
          <cell r="G98" t="str">
            <v>NO</v>
          </cell>
          <cell r="H98">
            <v>122</v>
          </cell>
          <cell r="I98" t="str">
            <v>????</v>
          </cell>
          <cell r="J98" t="str">
            <v>1'x 6'x 2 56w lamps &amp; ST bal</v>
          </cell>
        </row>
        <row r="99">
          <cell r="B99">
            <v>143</v>
          </cell>
          <cell r="C99">
            <v>16</v>
          </cell>
          <cell r="D99">
            <v>2</v>
          </cell>
          <cell r="E99">
            <v>56</v>
          </cell>
          <cell r="F99" t="str">
            <v>ES</v>
          </cell>
          <cell r="G99" t="str">
            <v>NO</v>
          </cell>
          <cell r="H99">
            <v>0</v>
          </cell>
          <cell r="I99" t="str">
            <v>????</v>
          </cell>
          <cell r="J99" t="str">
            <v>1'x 6'x 2 56w lamps &amp; ES bal</v>
          </cell>
        </row>
        <row r="100">
          <cell r="B100">
            <v>145</v>
          </cell>
          <cell r="C100">
            <v>16</v>
          </cell>
          <cell r="D100">
            <v>2</v>
          </cell>
          <cell r="E100">
            <v>85</v>
          </cell>
          <cell r="F100" t="str">
            <v>ST</v>
          </cell>
          <cell r="G100" t="str">
            <v>NO</v>
          </cell>
          <cell r="H100">
            <v>132</v>
          </cell>
          <cell r="I100" t="str">
            <v>????</v>
          </cell>
          <cell r="J100" t="str">
            <v>1'x 6'x 2 85w lamps &amp; ST bal</v>
          </cell>
        </row>
        <row r="101">
          <cell r="B101">
            <v>147</v>
          </cell>
          <cell r="C101">
            <v>16</v>
          </cell>
          <cell r="D101">
            <v>2</v>
          </cell>
          <cell r="E101">
            <v>85</v>
          </cell>
          <cell r="F101" t="str">
            <v>ES</v>
          </cell>
          <cell r="G101" t="str">
            <v>NO</v>
          </cell>
          <cell r="H101">
            <v>187</v>
          </cell>
          <cell r="I101" t="str">
            <v>????</v>
          </cell>
          <cell r="J101" t="str">
            <v>1'x 6'x 2 85w lamps &amp; ES bal</v>
          </cell>
        </row>
        <row r="102">
          <cell r="B102">
            <v>149</v>
          </cell>
          <cell r="C102">
            <v>16</v>
          </cell>
          <cell r="D102">
            <v>3</v>
          </cell>
          <cell r="E102">
            <v>56</v>
          </cell>
          <cell r="F102" t="str">
            <v>ST</v>
          </cell>
          <cell r="G102" t="str">
            <v>NO</v>
          </cell>
          <cell r="H102">
            <v>0</v>
          </cell>
          <cell r="I102" t="str">
            <v>????</v>
          </cell>
          <cell r="J102" t="str">
            <v>1'x 6'x 3 56w lamps &amp; ST bal</v>
          </cell>
        </row>
        <row r="103">
          <cell r="B103">
            <v>151</v>
          </cell>
          <cell r="C103">
            <v>16</v>
          </cell>
          <cell r="D103">
            <v>3</v>
          </cell>
          <cell r="E103">
            <v>56</v>
          </cell>
          <cell r="F103" t="str">
            <v>ES</v>
          </cell>
          <cell r="G103" t="str">
            <v>NO</v>
          </cell>
          <cell r="H103">
            <v>0</v>
          </cell>
          <cell r="I103" t="str">
            <v>????</v>
          </cell>
          <cell r="J103" t="str">
            <v>1'x 6'x 3 56w lamps &amp; ES bal</v>
          </cell>
        </row>
        <row r="104">
          <cell r="B104">
            <v>153</v>
          </cell>
          <cell r="C104">
            <v>16</v>
          </cell>
          <cell r="D104">
            <v>3</v>
          </cell>
          <cell r="E104">
            <v>85</v>
          </cell>
          <cell r="F104" t="str">
            <v>ST</v>
          </cell>
          <cell r="G104" t="str">
            <v>NO</v>
          </cell>
          <cell r="H104">
            <v>0</v>
          </cell>
          <cell r="I104" t="str">
            <v>????</v>
          </cell>
          <cell r="J104" t="str">
            <v>1'x 6'x 3 85w lamps &amp; ST bal</v>
          </cell>
        </row>
        <row r="105">
          <cell r="B105">
            <v>155</v>
          </cell>
          <cell r="C105">
            <v>16</v>
          </cell>
          <cell r="D105">
            <v>3</v>
          </cell>
          <cell r="E105">
            <v>85</v>
          </cell>
          <cell r="F105" t="str">
            <v>ES</v>
          </cell>
          <cell r="G105" t="str">
            <v>NO</v>
          </cell>
          <cell r="H105">
            <v>0</v>
          </cell>
          <cell r="I105" t="str">
            <v>????</v>
          </cell>
          <cell r="J105" t="str">
            <v>1'x 6'x 3 85w lamps &amp; ES bal</v>
          </cell>
        </row>
        <row r="106">
          <cell r="B106">
            <v>157</v>
          </cell>
          <cell r="C106">
            <v>16</v>
          </cell>
          <cell r="D106">
            <v>4</v>
          </cell>
          <cell r="E106">
            <v>25</v>
          </cell>
          <cell r="F106" t="str">
            <v>EL</v>
          </cell>
          <cell r="G106" t="str">
            <v>YES</v>
          </cell>
          <cell r="H106">
            <v>0</v>
          </cell>
          <cell r="I106" t="str">
            <v>????</v>
          </cell>
          <cell r="J106" t="str">
            <v>1'x 6'x 4 25w lamps &amp; EL bal &amp; Refl</v>
          </cell>
        </row>
        <row r="107">
          <cell r="B107">
            <v>159</v>
          </cell>
          <cell r="C107">
            <v>16</v>
          </cell>
          <cell r="D107">
            <v>4</v>
          </cell>
          <cell r="E107">
            <v>25</v>
          </cell>
          <cell r="F107" t="str">
            <v>EL</v>
          </cell>
          <cell r="G107" t="str">
            <v>NO</v>
          </cell>
          <cell r="H107">
            <v>0</v>
          </cell>
          <cell r="I107" t="str">
            <v>????</v>
          </cell>
          <cell r="J107" t="str">
            <v>1'x 6'x 4 25w lamps &amp; EL bal</v>
          </cell>
        </row>
        <row r="108">
          <cell r="B108">
            <v>161</v>
          </cell>
          <cell r="C108">
            <v>16</v>
          </cell>
          <cell r="D108">
            <v>4</v>
          </cell>
          <cell r="E108">
            <v>30</v>
          </cell>
          <cell r="F108" t="str">
            <v>ST</v>
          </cell>
          <cell r="G108" t="str">
            <v>YES</v>
          </cell>
          <cell r="H108">
            <v>0</v>
          </cell>
          <cell r="I108" t="str">
            <v>????</v>
          </cell>
          <cell r="J108" t="str">
            <v>1'x 6'x 4 30w lamps &amp; ST bal &amp; Refl</v>
          </cell>
        </row>
        <row r="109">
          <cell r="B109">
            <v>163</v>
          </cell>
          <cell r="C109">
            <v>16</v>
          </cell>
          <cell r="D109">
            <v>4</v>
          </cell>
          <cell r="E109">
            <v>30</v>
          </cell>
          <cell r="F109" t="str">
            <v>ST</v>
          </cell>
          <cell r="G109" t="str">
            <v>NO</v>
          </cell>
          <cell r="H109">
            <v>0</v>
          </cell>
          <cell r="I109" t="str">
            <v>????</v>
          </cell>
          <cell r="J109" t="str">
            <v xml:space="preserve">1'x 6'x 4 30w lamps &amp; ST bal </v>
          </cell>
        </row>
        <row r="110">
          <cell r="B110">
            <v>165</v>
          </cell>
          <cell r="C110">
            <v>16</v>
          </cell>
          <cell r="D110">
            <v>4</v>
          </cell>
          <cell r="E110">
            <v>30</v>
          </cell>
          <cell r="F110" t="str">
            <v>ES</v>
          </cell>
          <cell r="G110" t="str">
            <v>YES</v>
          </cell>
          <cell r="H110">
            <v>0</v>
          </cell>
          <cell r="I110" t="str">
            <v>????</v>
          </cell>
          <cell r="J110" t="str">
            <v>1'x 6'x 4 30w lamps &amp; ES bal &amp; Refl</v>
          </cell>
        </row>
        <row r="111">
          <cell r="B111">
            <v>167</v>
          </cell>
          <cell r="C111">
            <v>16</v>
          </cell>
          <cell r="D111">
            <v>4</v>
          </cell>
          <cell r="E111">
            <v>30</v>
          </cell>
          <cell r="F111" t="str">
            <v>ES</v>
          </cell>
          <cell r="G111" t="str">
            <v>NO</v>
          </cell>
          <cell r="H111">
            <v>0</v>
          </cell>
          <cell r="I111" t="str">
            <v>????</v>
          </cell>
          <cell r="J111" t="str">
            <v xml:space="preserve">1'x 6'x 4 30w lamps &amp; ES bal </v>
          </cell>
        </row>
        <row r="112">
          <cell r="B112">
            <v>169</v>
          </cell>
          <cell r="C112">
            <v>16</v>
          </cell>
          <cell r="D112">
            <v>4</v>
          </cell>
          <cell r="E112">
            <v>56</v>
          </cell>
          <cell r="F112" t="str">
            <v>ST</v>
          </cell>
          <cell r="G112" t="str">
            <v>NO</v>
          </cell>
          <cell r="H112">
            <v>0</v>
          </cell>
          <cell r="I112" t="str">
            <v>????</v>
          </cell>
          <cell r="J112" t="str">
            <v>1'x 6'x 4 56w lamps &amp; ST bal</v>
          </cell>
        </row>
        <row r="113">
          <cell r="B113">
            <v>171</v>
          </cell>
          <cell r="C113">
            <v>16</v>
          </cell>
          <cell r="D113">
            <v>4</v>
          </cell>
          <cell r="E113">
            <v>56</v>
          </cell>
          <cell r="F113" t="str">
            <v>ES</v>
          </cell>
          <cell r="G113" t="str">
            <v>NO</v>
          </cell>
          <cell r="H113">
            <v>0</v>
          </cell>
          <cell r="I113" t="str">
            <v>????</v>
          </cell>
          <cell r="J113" t="str">
            <v>1'x 6'x 4 56w lamps &amp; ES bal</v>
          </cell>
        </row>
        <row r="114">
          <cell r="B114">
            <v>173</v>
          </cell>
          <cell r="C114">
            <v>16</v>
          </cell>
          <cell r="D114">
            <v>4</v>
          </cell>
          <cell r="E114">
            <v>85</v>
          </cell>
          <cell r="F114" t="str">
            <v>ST</v>
          </cell>
          <cell r="G114" t="str">
            <v>NO</v>
          </cell>
          <cell r="H114">
            <v>0</v>
          </cell>
          <cell r="I114" t="str">
            <v>????</v>
          </cell>
          <cell r="J114" t="str">
            <v>1'x 6'x 4 85w lamps &amp; ST bal</v>
          </cell>
        </row>
        <row r="115">
          <cell r="B115">
            <v>175</v>
          </cell>
          <cell r="C115">
            <v>16</v>
          </cell>
          <cell r="D115">
            <v>4</v>
          </cell>
          <cell r="E115">
            <v>85</v>
          </cell>
          <cell r="F115" t="str">
            <v>ES</v>
          </cell>
          <cell r="G115" t="str">
            <v>NO</v>
          </cell>
          <cell r="H115">
            <v>0</v>
          </cell>
          <cell r="I115" t="str">
            <v>????</v>
          </cell>
          <cell r="J115" t="str">
            <v>1'x 6'x 4 85w lamps &amp; ES bal</v>
          </cell>
        </row>
        <row r="116">
          <cell r="B116">
            <v>177</v>
          </cell>
          <cell r="C116">
            <v>16</v>
          </cell>
          <cell r="D116">
            <v>6</v>
          </cell>
          <cell r="E116">
            <v>25</v>
          </cell>
          <cell r="F116" t="str">
            <v>EL</v>
          </cell>
          <cell r="G116" t="str">
            <v>YES</v>
          </cell>
          <cell r="H116">
            <v>0</v>
          </cell>
          <cell r="I116" t="str">
            <v>????</v>
          </cell>
          <cell r="J116" t="str">
            <v xml:space="preserve">1'x 6'x 6 25w lamp &amp; EL bal &amp; Refl </v>
          </cell>
        </row>
        <row r="117">
          <cell r="B117">
            <v>179</v>
          </cell>
          <cell r="C117">
            <v>16</v>
          </cell>
          <cell r="D117">
            <v>6</v>
          </cell>
          <cell r="E117">
            <v>25</v>
          </cell>
          <cell r="F117" t="str">
            <v>EL</v>
          </cell>
          <cell r="G117" t="str">
            <v>NO</v>
          </cell>
          <cell r="H117">
            <v>0</v>
          </cell>
          <cell r="I117" t="str">
            <v>????</v>
          </cell>
          <cell r="J117" t="str">
            <v xml:space="preserve">1'x 6'x 6 25w lamp &amp; EL bal </v>
          </cell>
        </row>
        <row r="118">
          <cell r="B118">
            <v>181</v>
          </cell>
          <cell r="C118">
            <v>16</v>
          </cell>
          <cell r="D118">
            <v>6</v>
          </cell>
          <cell r="E118">
            <v>30</v>
          </cell>
          <cell r="F118" t="str">
            <v>ST</v>
          </cell>
          <cell r="G118" t="str">
            <v>YES</v>
          </cell>
          <cell r="H118">
            <v>0</v>
          </cell>
          <cell r="I118" t="str">
            <v>????</v>
          </cell>
          <cell r="J118" t="str">
            <v xml:space="preserve">1'x 6'x 6 30w lamp &amp; ST bal &amp; Refl </v>
          </cell>
        </row>
        <row r="119">
          <cell r="B119">
            <v>183</v>
          </cell>
          <cell r="C119">
            <v>16</v>
          </cell>
          <cell r="D119">
            <v>6</v>
          </cell>
          <cell r="E119">
            <v>30</v>
          </cell>
          <cell r="F119" t="str">
            <v>ST</v>
          </cell>
          <cell r="G119" t="str">
            <v>NO</v>
          </cell>
          <cell r="H119">
            <v>0</v>
          </cell>
          <cell r="I119" t="str">
            <v>????</v>
          </cell>
          <cell r="J119" t="str">
            <v xml:space="preserve">1'x 6'x 6 30w lamp &amp; ST bal </v>
          </cell>
        </row>
        <row r="120">
          <cell r="B120">
            <v>185</v>
          </cell>
          <cell r="C120">
            <v>16</v>
          </cell>
          <cell r="D120">
            <v>6</v>
          </cell>
          <cell r="E120">
            <v>30</v>
          </cell>
          <cell r="F120" t="str">
            <v>ES</v>
          </cell>
          <cell r="G120" t="str">
            <v>YES</v>
          </cell>
          <cell r="H120">
            <v>0</v>
          </cell>
          <cell r="I120" t="str">
            <v>????</v>
          </cell>
          <cell r="J120" t="str">
            <v>1'x 6'x 6 30w lamp &amp; ES bal &amp; Refl</v>
          </cell>
        </row>
        <row r="121">
          <cell r="B121">
            <v>187</v>
          </cell>
          <cell r="C121">
            <v>16</v>
          </cell>
          <cell r="D121">
            <v>6</v>
          </cell>
          <cell r="E121">
            <v>30</v>
          </cell>
          <cell r="F121" t="str">
            <v>ES</v>
          </cell>
          <cell r="G121" t="str">
            <v>NO</v>
          </cell>
          <cell r="H121">
            <v>404</v>
          </cell>
          <cell r="I121" t="str">
            <v>????</v>
          </cell>
          <cell r="J121" t="str">
            <v xml:space="preserve">1'x 6'x 6 30w lamp &amp; ES bal </v>
          </cell>
        </row>
        <row r="122">
          <cell r="B122">
            <v>189</v>
          </cell>
          <cell r="C122">
            <v>18</v>
          </cell>
          <cell r="D122">
            <v>1</v>
          </cell>
          <cell r="E122">
            <v>60</v>
          </cell>
          <cell r="F122" t="str">
            <v>ST</v>
          </cell>
          <cell r="G122" t="str">
            <v>YES</v>
          </cell>
          <cell r="H122">
            <v>83</v>
          </cell>
          <cell r="I122" t="str">
            <v>F81ES</v>
          </cell>
          <cell r="J122" t="str">
            <v>1'x 8'x 1 60w lamp &amp; ST bal &amp; Refl</v>
          </cell>
        </row>
        <row r="123">
          <cell r="B123">
            <v>191</v>
          </cell>
          <cell r="C123">
            <v>18</v>
          </cell>
          <cell r="D123">
            <v>1</v>
          </cell>
          <cell r="E123">
            <v>60</v>
          </cell>
          <cell r="F123" t="str">
            <v>ST</v>
          </cell>
          <cell r="G123" t="str">
            <v>NO</v>
          </cell>
          <cell r="H123">
            <v>83</v>
          </cell>
          <cell r="I123" t="str">
            <v>F81ES</v>
          </cell>
          <cell r="J123" t="str">
            <v>1'x 8'x 1 60w lamp &amp; ST bal</v>
          </cell>
        </row>
        <row r="124">
          <cell r="B124">
            <v>193</v>
          </cell>
          <cell r="C124">
            <v>18</v>
          </cell>
          <cell r="D124">
            <v>1</v>
          </cell>
          <cell r="E124">
            <v>60</v>
          </cell>
          <cell r="F124" t="str">
            <v>ES</v>
          </cell>
          <cell r="G124" t="str">
            <v>YES</v>
          </cell>
          <cell r="H124">
            <v>77</v>
          </cell>
          <cell r="I124" t="str">
            <v>F81EE</v>
          </cell>
          <cell r="J124" t="str">
            <v>1'x 8'x 1 60w lamp &amp; ES bal &amp; Refl</v>
          </cell>
        </row>
        <row r="125">
          <cell r="B125">
            <v>195</v>
          </cell>
          <cell r="C125">
            <v>18</v>
          </cell>
          <cell r="D125">
            <v>1</v>
          </cell>
          <cell r="E125">
            <v>60</v>
          </cell>
          <cell r="F125" t="str">
            <v>ES</v>
          </cell>
          <cell r="G125" t="str">
            <v>NO</v>
          </cell>
          <cell r="H125">
            <v>77</v>
          </cell>
          <cell r="I125" t="str">
            <v>F81EE</v>
          </cell>
          <cell r="J125" t="str">
            <v>1'x 8'x 1 60w lamp &amp; ES bal</v>
          </cell>
        </row>
        <row r="126">
          <cell r="B126">
            <v>197</v>
          </cell>
          <cell r="C126">
            <v>18</v>
          </cell>
          <cell r="D126">
            <v>1</v>
          </cell>
          <cell r="E126">
            <v>75</v>
          </cell>
          <cell r="F126" t="str">
            <v>ST</v>
          </cell>
          <cell r="G126" t="str">
            <v>YES</v>
          </cell>
          <cell r="H126">
            <v>90</v>
          </cell>
          <cell r="I126" t="str">
            <v>F81SE</v>
          </cell>
          <cell r="J126" t="str">
            <v>1'x 8'x 1 75w lamp &amp; ST bal &amp; Refl</v>
          </cell>
        </row>
        <row r="127">
          <cell r="B127">
            <v>199</v>
          </cell>
          <cell r="C127">
            <v>18</v>
          </cell>
          <cell r="D127">
            <v>1</v>
          </cell>
          <cell r="E127">
            <v>75</v>
          </cell>
          <cell r="F127" t="str">
            <v>ST</v>
          </cell>
          <cell r="G127" t="str">
            <v>NO</v>
          </cell>
          <cell r="H127">
            <v>90</v>
          </cell>
          <cell r="I127" t="str">
            <v>F81SE</v>
          </cell>
          <cell r="J127" t="str">
            <v xml:space="preserve">1'x 8'x 1 75w lamp &amp; ST bal </v>
          </cell>
        </row>
        <row r="128">
          <cell r="B128">
            <v>201</v>
          </cell>
          <cell r="C128">
            <v>18</v>
          </cell>
          <cell r="D128">
            <v>1</v>
          </cell>
          <cell r="E128">
            <v>75</v>
          </cell>
          <cell r="F128" t="str">
            <v>ES</v>
          </cell>
          <cell r="G128" t="str">
            <v>YES</v>
          </cell>
          <cell r="H128">
            <v>0</v>
          </cell>
          <cell r="I128" t="str">
            <v>????</v>
          </cell>
          <cell r="J128" t="str">
            <v>1'x 8'x 1 75w lamp &amp; ES bal &amp; Refl</v>
          </cell>
        </row>
        <row r="129">
          <cell r="B129">
            <v>203</v>
          </cell>
          <cell r="C129">
            <v>18</v>
          </cell>
          <cell r="D129">
            <v>1</v>
          </cell>
          <cell r="E129">
            <v>75</v>
          </cell>
          <cell r="F129" t="str">
            <v>ES</v>
          </cell>
          <cell r="G129" t="str">
            <v>NO</v>
          </cell>
          <cell r="H129">
            <v>90</v>
          </cell>
          <cell r="I129" t="str">
            <v>F81SE</v>
          </cell>
          <cell r="J129" t="str">
            <v>1'x 8'x 1 75w lamp &amp; ES bal</v>
          </cell>
        </row>
        <row r="130">
          <cell r="B130">
            <v>205</v>
          </cell>
          <cell r="C130">
            <v>18</v>
          </cell>
          <cell r="D130">
            <v>1</v>
          </cell>
          <cell r="E130">
            <v>95</v>
          </cell>
          <cell r="F130" t="str">
            <v>ST</v>
          </cell>
          <cell r="G130" t="str">
            <v>YES</v>
          </cell>
          <cell r="H130">
            <v>125</v>
          </cell>
          <cell r="I130" t="str">
            <v>F81EHS</v>
          </cell>
          <cell r="J130" t="str">
            <v>1'x 8'x 1 95w lamp &amp; ST bal &amp; Refl</v>
          </cell>
        </row>
        <row r="131">
          <cell r="B131">
            <v>207</v>
          </cell>
          <cell r="C131">
            <v>18</v>
          </cell>
          <cell r="D131">
            <v>1</v>
          </cell>
          <cell r="E131">
            <v>95</v>
          </cell>
          <cell r="F131" t="str">
            <v>ST</v>
          </cell>
          <cell r="G131" t="str">
            <v>NO</v>
          </cell>
          <cell r="H131">
            <v>125</v>
          </cell>
          <cell r="I131" t="str">
            <v>F81EHS</v>
          </cell>
          <cell r="J131" t="str">
            <v>1'x 8'x 1 95w lamp &amp; ST bal</v>
          </cell>
        </row>
        <row r="132">
          <cell r="B132">
            <v>209</v>
          </cell>
          <cell r="C132">
            <v>18</v>
          </cell>
          <cell r="D132">
            <v>1</v>
          </cell>
          <cell r="E132">
            <v>95</v>
          </cell>
          <cell r="F132" t="str">
            <v>ES</v>
          </cell>
          <cell r="G132" t="str">
            <v>YES</v>
          </cell>
          <cell r="H132">
            <v>0</v>
          </cell>
          <cell r="I132" t="str">
            <v>????</v>
          </cell>
          <cell r="J132" t="str">
            <v>1'x 8'x 1 95w lamp &amp; ES bal &amp; Refl</v>
          </cell>
        </row>
        <row r="133">
          <cell r="B133">
            <v>211</v>
          </cell>
          <cell r="C133">
            <v>18</v>
          </cell>
          <cell r="D133">
            <v>1</v>
          </cell>
          <cell r="E133">
            <v>95</v>
          </cell>
          <cell r="F133" t="str">
            <v>ES</v>
          </cell>
          <cell r="G133" t="str">
            <v>NO</v>
          </cell>
          <cell r="H133">
            <v>77</v>
          </cell>
          <cell r="I133" t="str">
            <v>F81EHE</v>
          </cell>
          <cell r="J133" t="str">
            <v>1'x 8'x 1 95w lamp &amp; ES bal</v>
          </cell>
        </row>
        <row r="134">
          <cell r="B134">
            <v>213</v>
          </cell>
          <cell r="C134">
            <v>18</v>
          </cell>
          <cell r="D134">
            <v>1</v>
          </cell>
          <cell r="E134">
            <v>110</v>
          </cell>
          <cell r="F134" t="str">
            <v>ST</v>
          </cell>
          <cell r="G134" t="str">
            <v>YES</v>
          </cell>
          <cell r="H134">
            <v>0</v>
          </cell>
          <cell r="I134" t="str">
            <v>????</v>
          </cell>
          <cell r="J134" t="str">
            <v>1'x 8'x 1 110w lamp &amp; ST bal &amp; Refl</v>
          </cell>
        </row>
        <row r="135">
          <cell r="B135">
            <v>215</v>
          </cell>
          <cell r="C135">
            <v>18</v>
          </cell>
          <cell r="D135">
            <v>1</v>
          </cell>
          <cell r="E135">
            <v>110</v>
          </cell>
          <cell r="F135" t="str">
            <v>ST</v>
          </cell>
          <cell r="G135" t="str">
            <v>NO</v>
          </cell>
          <cell r="H135">
            <v>140</v>
          </cell>
          <cell r="I135" t="str">
            <v>F81SHS</v>
          </cell>
          <cell r="J135" t="str">
            <v>1'x 8'x 1 110w lamp &amp; ST bal</v>
          </cell>
        </row>
        <row r="136">
          <cell r="B136">
            <v>217</v>
          </cell>
          <cell r="C136">
            <v>18</v>
          </cell>
          <cell r="D136">
            <v>1</v>
          </cell>
          <cell r="E136">
            <v>110</v>
          </cell>
          <cell r="F136" t="str">
            <v>ES</v>
          </cell>
          <cell r="G136" t="str">
            <v>YES</v>
          </cell>
          <cell r="H136">
            <v>0</v>
          </cell>
          <cell r="I136" t="str">
            <v>????</v>
          </cell>
          <cell r="J136" t="str">
            <v>1'x 8'x 1 110w lamp &amp; ES bal &amp; Refl</v>
          </cell>
        </row>
        <row r="137">
          <cell r="B137">
            <v>219</v>
          </cell>
          <cell r="C137">
            <v>18</v>
          </cell>
          <cell r="D137">
            <v>1</v>
          </cell>
          <cell r="E137">
            <v>110</v>
          </cell>
          <cell r="F137" t="str">
            <v>ES</v>
          </cell>
          <cell r="G137" t="str">
            <v>NO</v>
          </cell>
          <cell r="H137">
            <v>0</v>
          </cell>
          <cell r="I137" t="str">
            <v>????</v>
          </cell>
          <cell r="J137" t="str">
            <v>1'x 8'x 1 110w lamp &amp; ES bal</v>
          </cell>
        </row>
        <row r="138">
          <cell r="B138">
            <v>221</v>
          </cell>
          <cell r="C138">
            <v>18</v>
          </cell>
          <cell r="D138">
            <v>2</v>
          </cell>
          <cell r="E138">
            <v>32</v>
          </cell>
          <cell r="F138" t="str">
            <v>EL</v>
          </cell>
          <cell r="G138" t="str">
            <v>YES</v>
          </cell>
          <cell r="H138">
            <v>62</v>
          </cell>
          <cell r="I138" t="str">
            <v>F82LL</v>
          </cell>
          <cell r="J138" t="str">
            <v>1'x 8'x 2 32w lamps &amp; EL bal &amp; Refl</v>
          </cell>
        </row>
        <row r="139">
          <cell r="B139" t="str">
            <v>221T2</v>
          </cell>
          <cell r="C139">
            <v>18</v>
          </cell>
          <cell r="D139">
            <v>2</v>
          </cell>
          <cell r="E139">
            <v>32</v>
          </cell>
          <cell r="F139" t="str">
            <v>EL</v>
          </cell>
          <cell r="G139" t="str">
            <v>YES</v>
          </cell>
          <cell r="H139">
            <v>55</v>
          </cell>
          <cell r="I139" t="str">
            <v>F82LL/T2</v>
          </cell>
          <cell r="J139" t="str">
            <v>1'x 8'x 2 32w lamps &amp; EL bal &amp; Refl TANDEM 2</v>
          </cell>
        </row>
        <row r="140">
          <cell r="B140">
            <v>223</v>
          </cell>
          <cell r="C140">
            <v>18</v>
          </cell>
          <cell r="D140">
            <v>2</v>
          </cell>
          <cell r="E140">
            <v>32</v>
          </cell>
          <cell r="F140" t="str">
            <v>EL</v>
          </cell>
          <cell r="G140" t="str">
            <v>NO</v>
          </cell>
          <cell r="H140">
            <v>62</v>
          </cell>
          <cell r="I140" t="str">
            <v>F42LL</v>
          </cell>
          <cell r="J140" t="str">
            <v>1'x 8'x 2 32w lamps &amp; EL bal &amp; Bracket</v>
          </cell>
        </row>
        <row r="141">
          <cell r="B141" t="str">
            <v>223T2</v>
          </cell>
          <cell r="C141">
            <v>18</v>
          </cell>
          <cell r="D141">
            <v>2</v>
          </cell>
          <cell r="E141">
            <v>32</v>
          </cell>
          <cell r="F141" t="str">
            <v>EL</v>
          </cell>
          <cell r="G141" t="str">
            <v>NO</v>
          </cell>
          <cell r="H141">
            <v>55</v>
          </cell>
          <cell r="I141" t="str">
            <v>F82LL/T2</v>
          </cell>
          <cell r="J141" t="str">
            <v>1'x 8'x 2 32w lamps &amp; EL bal Tandem2</v>
          </cell>
        </row>
        <row r="142">
          <cell r="B142">
            <v>225</v>
          </cell>
          <cell r="C142">
            <v>18</v>
          </cell>
          <cell r="D142">
            <v>2</v>
          </cell>
          <cell r="E142">
            <v>34</v>
          </cell>
          <cell r="F142" t="str">
            <v>ST</v>
          </cell>
          <cell r="G142" t="str">
            <v>YES</v>
          </cell>
          <cell r="H142">
            <v>82</v>
          </cell>
          <cell r="I142" t="str">
            <v>F82ES</v>
          </cell>
          <cell r="J142" t="str">
            <v>1'x 8'x 2 34w lamps &amp; ST bal &amp; Refl</v>
          </cell>
        </row>
        <row r="143">
          <cell r="B143">
            <v>227</v>
          </cell>
          <cell r="C143">
            <v>18</v>
          </cell>
          <cell r="D143">
            <v>2</v>
          </cell>
          <cell r="E143">
            <v>34</v>
          </cell>
          <cell r="F143" t="str">
            <v>ST</v>
          </cell>
          <cell r="G143" t="str">
            <v>NO</v>
          </cell>
          <cell r="H143">
            <v>82</v>
          </cell>
          <cell r="I143" t="str">
            <v>F82ES</v>
          </cell>
          <cell r="J143" t="str">
            <v xml:space="preserve">1'x 8'x 2 34w lamps &amp; ST bal </v>
          </cell>
        </row>
        <row r="144">
          <cell r="B144">
            <v>229</v>
          </cell>
          <cell r="C144">
            <v>18</v>
          </cell>
          <cell r="D144">
            <v>2</v>
          </cell>
          <cell r="E144">
            <v>34</v>
          </cell>
          <cell r="F144" t="str">
            <v>ES</v>
          </cell>
          <cell r="G144" t="str">
            <v>YES</v>
          </cell>
          <cell r="H144">
            <v>72</v>
          </cell>
          <cell r="I144" t="str">
            <v>F82EE</v>
          </cell>
          <cell r="J144" t="str">
            <v>1'x 8'x 2 34w lamps &amp; ES bal &amp; Refl</v>
          </cell>
        </row>
        <row r="145">
          <cell r="B145">
            <v>231</v>
          </cell>
          <cell r="C145">
            <v>18</v>
          </cell>
          <cell r="D145">
            <v>2</v>
          </cell>
          <cell r="E145">
            <v>34</v>
          </cell>
          <cell r="F145" t="str">
            <v>ES</v>
          </cell>
          <cell r="G145" t="str">
            <v>NO</v>
          </cell>
          <cell r="H145">
            <v>72</v>
          </cell>
          <cell r="I145" t="str">
            <v>F42EE</v>
          </cell>
          <cell r="J145" t="str">
            <v>1'x 8'x 2 34w lamps &amp; ES bal &amp; Refl</v>
          </cell>
        </row>
        <row r="146">
          <cell r="B146">
            <v>233</v>
          </cell>
          <cell r="C146">
            <v>18</v>
          </cell>
          <cell r="D146">
            <v>2</v>
          </cell>
          <cell r="E146">
            <v>40</v>
          </cell>
          <cell r="F146" t="str">
            <v>ST</v>
          </cell>
          <cell r="G146" t="str">
            <v>YES</v>
          </cell>
          <cell r="H146">
            <v>98</v>
          </cell>
          <cell r="I146" t="str">
            <v>????</v>
          </cell>
          <cell r="J146" t="str">
            <v>1'x 8'x 2 40w lamps &amp; ST bal &amp; Refl</v>
          </cell>
        </row>
        <row r="147">
          <cell r="B147">
            <v>235</v>
          </cell>
          <cell r="C147">
            <v>18</v>
          </cell>
          <cell r="D147">
            <v>2</v>
          </cell>
          <cell r="E147">
            <v>40</v>
          </cell>
          <cell r="F147" t="str">
            <v>ST</v>
          </cell>
          <cell r="G147" t="str">
            <v>NO</v>
          </cell>
          <cell r="H147">
            <v>98</v>
          </cell>
          <cell r="I147" t="str">
            <v>????</v>
          </cell>
          <cell r="J147" t="str">
            <v xml:space="preserve">1'x 8'x 2 40w lamps &amp; ST bal </v>
          </cell>
        </row>
        <row r="148">
          <cell r="B148">
            <v>237</v>
          </cell>
          <cell r="C148">
            <v>18</v>
          </cell>
          <cell r="D148">
            <v>2</v>
          </cell>
          <cell r="E148">
            <v>40</v>
          </cell>
          <cell r="F148" t="str">
            <v>ES</v>
          </cell>
          <cell r="G148" t="str">
            <v>YES</v>
          </cell>
          <cell r="H148">
            <v>96</v>
          </cell>
          <cell r="I148" t="str">
            <v>????</v>
          </cell>
          <cell r="J148" t="str">
            <v>1'x 8'x 2 40w lamps &amp; ES bal &amp; Refl</v>
          </cell>
        </row>
        <row r="149">
          <cell r="B149">
            <v>239</v>
          </cell>
          <cell r="C149">
            <v>18</v>
          </cell>
          <cell r="D149">
            <v>2</v>
          </cell>
          <cell r="E149">
            <v>40</v>
          </cell>
          <cell r="F149" t="str">
            <v>ES</v>
          </cell>
          <cell r="G149" t="str">
            <v>NO</v>
          </cell>
          <cell r="H149">
            <v>96</v>
          </cell>
          <cell r="I149" t="str">
            <v>????</v>
          </cell>
          <cell r="J149" t="str">
            <v xml:space="preserve">1'x 8'x 2 40w lamps &amp; ES bal </v>
          </cell>
        </row>
        <row r="150">
          <cell r="B150">
            <v>240</v>
          </cell>
          <cell r="C150">
            <v>18</v>
          </cell>
          <cell r="D150">
            <v>2</v>
          </cell>
          <cell r="E150">
            <v>59</v>
          </cell>
          <cell r="F150" t="str">
            <v>EL</v>
          </cell>
          <cell r="G150" t="str">
            <v>NO</v>
          </cell>
          <cell r="H150">
            <v>111</v>
          </cell>
          <cell r="I150" t="str">
            <v>F82LL</v>
          </cell>
          <cell r="J150" t="str">
            <v xml:space="preserve">1'x 8'x 2 59w lamps &amp; EL bal </v>
          </cell>
        </row>
        <row r="151">
          <cell r="B151">
            <v>241</v>
          </cell>
          <cell r="C151">
            <v>18</v>
          </cell>
          <cell r="D151">
            <v>2</v>
          </cell>
          <cell r="E151">
            <v>63</v>
          </cell>
          <cell r="F151" t="str">
            <v>ST</v>
          </cell>
          <cell r="G151" t="str">
            <v>YES</v>
          </cell>
          <cell r="H151">
            <v>0</v>
          </cell>
          <cell r="I151" t="str">
            <v>????</v>
          </cell>
          <cell r="J151" t="str">
            <v>1'x 8'x 2 63w lamps &amp; ST bal &amp; Refl</v>
          </cell>
        </row>
        <row r="152">
          <cell r="B152">
            <v>243</v>
          </cell>
          <cell r="C152">
            <v>18</v>
          </cell>
          <cell r="D152">
            <v>2</v>
          </cell>
          <cell r="E152">
            <v>63</v>
          </cell>
          <cell r="F152" t="str">
            <v>ST</v>
          </cell>
          <cell r="G152" t="str">
            <v>NO</v>
          </cell>
          <cell r="H152">
            <v>0</v>
          </cell>
          <cell r="I152" t="str">
            <v>????</v>
          </cell>
          <cell r="J152" t="str">
            <v>1'x 8'x 2 63w lamps &amp; ST bal</v>
          </cell>
        </row>
        <row r="153">
          <cell r="B153">
            <v>245</v>
          </cell>
          <cell r="C153">
            <v>18</v>
          </cell>
          <cell r="D153">
            <v>2</v>
          </cell>
          <cell r="E153">
            <v>60</v>
          </cell>
          <cell r="F153" t="str">
            <v>ST</v>
          </cell>
          <cell r="G153" t="str">
            <v>YES</v>
          </cell>
          <cell r="H153">
            <v>138</v>
          </cell>
          <cell r="I153" t="str">
            <v>F82ES</v>
          </cell>
          <cell r="J153" t="str">
            <v>1'x 8'x 2 60w lamps &amp; ST bal &amp; Refl</v>
          </cell>
        </row>
        <row r="154">
          <cell r="B154">
            <v>247</v>
          </cell>
          <cell r="C154">
            <v>18</v>
          </cell>
          <cell r="D154">
            <v>2</v>
          </cell>
          <cell r="E154">
            <v>60</v>
          </cell>
          <cell r="F154" t="str">
            <v>ST</v>
          </cell>
          <cell r="G154" t="str">
            <v>NO</v>
          </cell>
          <cell r="H154">
            <v>138</v>
          </cell>
          <cell r="I154" t="str">
            <v>F82ES</v>
          </cell>
          <cell r="J154" t="str">
            <v>1'x 8'x 2 60w lamps &amp; ST bal</v>
          </cell>
        </row>
        <row r="155">
          <cell r="B155">
            <v>249</v>
          </cell>
          <cell r="C155">
            <v>18</v>
          </cell>
          <cell r="D155">
            <v>2</v>
          </cell>
          <cell r="E155">
            <v>60</v>
          </cell>
          <cell r="F155" t="str">
            <v>ES</v>
          </cell>
          <cell r="G155" t="str">
            <v>YES</v>
          </cell>
          <cell r="H155">
            <v>123</v>
          </cell>
          <cell r="I155" t="str">
            <v>F82EE</v>
          </cell>
          <cell r="J155" t="str">
            <v>1'x 8'x 2 60w lamps &amp; ES bal &amp; Refl</v>
          </cell>
        </row>
        <row r="156">
          <cell r="B156">
            <v>251</v>
          </cell>
          <cell r="C156">
            <v>18</v>
          </cell>
          <cell r="D156">
            <v>2</v>
          </cell>
          <cell r="E156">
            <v>60</v>
          </cell>
          <cell r="F156" t="str">
            <v>ES</v>
          </cell>
          <cell r="G156" t="str">
            <v>NO</v>
          </cell>
          <cell r="H156">
            <v>123</v>
          </cell>
          <cell r="I156" t="str">
            <v>F82EE</v>
          </cell>
          <cell r="J156" t="str">
            <v>1'x 8'x 2 60w lamps &amp; ES bal</v>
          </cell>
        </row>
        <row r="157">
          <cell r="B157">
            <v>253</v>
          </cell>
          <cell r="C157">
            <v>18</v>
          </cell>
          <cell r="D157">
            <v>2</v>
          </cell>
          <cell r="E157">
            <v>75</v>
          </cell>
          <cell r="F157" t="str">
            <v>ST</v>
          </cell>
          <cell r="G157" t="str">
            <v>YES</v>
          </cell>
          <cell r="H157">
            <v>173</v>
          </cell>
          <cell r="I157" t="str">
            <v>F82SS</v>
          </cell>
          <cell r="J157" t="str">
            <v>1'x 8'x 2 75w lamps &amp; ST bal &amp; Refl</v>
          </cell>
        </row>
        <row r="158">
          <cell r="B158">
            <v>255</v>
          </cell>
          <cell r="C158">
            <v>18</v>
          </cell>
          <cell r="D158">
            <v>2</v>
          </cell>
          <cell r="E158">
            <v>75</v>
          </cell>
          <cell r="F158" t="str">
            <v>ST</v>
          </cell>
          <cell r="G158" t="str">
            <v>NO</v>
          </cell>
          <cell r="H158">
            <v>173</v>
          </cell>
          <cell r="I158" t="str">
            <v>F82SS</v>
          </cell>
          <cell r="J158" t="str">
            <v>1'x 8'x 2 75w lamps &amp; ST bal</v>
          </cell>
        </row>
        <row r="159">
          <cell r="B159">
            <v>257</v>
          </cell>
          <cell r="C159">
            <v>18</v>
          </cell>
          <cell r="D159">
            <v>2</v>
          </cell>
          <cell r="E159">
            <v>75</v>
          </cell>
          <cell r="F159" t="str">
            <v>ES</v>
          </cell>
          <cell r="G159" t="str">
            <v>YES</v>
          </cell>
          <cell r="H159">
            <v>158</v>
          </cell>
          <cell r="I159" t="str">
            <v>F82SE</v>
          </cell>
          <cell r="J159" t="str">
            <v>1'x 8'x 2 75w lamps &amp; ES bal &amp; Refl</v>
          </cell>
        </row>
        <row r="160">
          <cell r="B160">
            <v>259</v>
          </cell>
          <cell r="C160">
            <v>18</v>
          </cell>
          <cell r="D160">
            <v>2</v>
          </cell>
          <cell r="E160">
            <v>75</v>
          </cell>
          <cell r="F160" t="str">
            <v>ES</v>
          </cell>
          <cell r="G160" t="str">
            <v>NO</v>
          </cell>
          <cell r="H160">
            <v>158</v>
          </cell>
          <cell r="I160" t="str">
            <v>F82SE</v>
          </cell>
          <cell r="J160" t="str">
            <v>1'x 8'x 2 75w lamps &amp; ES bal</v>
          </cell>
        </row>
        <row r="161">
          <cell r="B161">
            <v>261</v>
          </cell>
          <cell r="C161">
            <v>18</v>
          </cell>
          <cell r="D161">
            <v>2</v>
          </cell>
          <cell r="E161">
            <v>95</v>
          </cell>
          <cell r="F161" t="str">
            <v>ST</v>
          </cell>
          <cell r="G161" t="str">
            <v>YES</v>
          </cell>
          <cell r="H161">
            <v>227</v>
          </cell>
          <cell r="I161" t="str">
            <v>F82EHS</v>
          </cell>
          <cell r="J161" t="str">
            <v>1'x 8'x 2 95w lamps &amp; ST bal &amp; Refl</v>
          </cell>
        </row>
        <row r="162">
          <cell r="B162">
            <v>263</v>
          </cell>
          <cell r="C162">
            <v>18</v>
          </cell>
          <cell r="D162">
            <v>2</v>
          </cell>
          <cell r="E162">
            <v>95</v>
          </cell>
          <cell r="F162" t="str">
            <v>ST</v>
          </cell>
          <cell r="G162" t="str">
            <v>NO</v>
          </cell>
          <cell r="H162">
            <v>227</v>
          </cell>
          <cell r="I162" t="str">
            <v>F82EHS</v>
          </cell>
          <cell r="J162" t="str">
            <v>1'x 8'x 2 95w lamps &amp; ST bal</v>
          </cell>
        </row>
        <row r="163">
          <cell r="B163">
            <v>265</v>
          </cell>
          <cell r="C163">
            <v>18</v>
          </cell>
          <cell r="D163">
            <v>2</v>
          </cell>
          <cell r="E163">
            <v>95</v>
          </cell>
          <cell r="F163" t="str">
            <v>ES</v>
          </cell>
          <cell r="G163" t="str">
            <v>YES</v>
          </cell>
          <cell r="H163">
            <v>207</v>
          </cell>
          <cell r="I163" t="str">
            <v>F82EHE</v>
          </cell>
          <cell r="J163" t="str">
            <v>1'x 8'x 2 95w lamps &amp; ES bal &amp; Refl</v>
          </cell>
        </row>
        <row r="164">
          <cell r="B164">
            <v>267</v>
          </cell>
          <cell r="C164">
            <v>18</v>
          </cell>
          <cell r="D164">
            <v>2</v>
          </cell>
          <cell r="E164">
            <v>95</v>
          </cell>
          <cell r="F164" t="str">
            <v>ES</v>
          </cell>
          <cell r="G164" t="str">
            <v>NO</v>
          </cell>
          <cell r="H164">
            <v>207</v>
          </cell>
          <cell r="I164" t="str">
            <v>F82EHE</v>
          </cell>
          <cell r="J164" t="str">
            <v>1'x 8'x 2 95w lamps &amp; ES bal</v>
          </cell>
        </row>
        <row r="165">
          <cell r="B165">
            <v>269</v>
          </cell>
          <cell r="C165">
            <v>18</v>
          </cell>
          <cell r="D165">
            <v>2</v>
          </cell>
          <cell r="E165">
            <v>110</v>
          </cell>
          <cell r="F165" t="str">
            <v>ST</v>
          </cell>
          <cell r="G165" t="str">
            <v>YES</v>
          </cell>
          <cell r="H165">
            <v>257</v>
          </cell>
          <cell r="I165" t="str">
            <v>no code</v>
          </cell>
          <cell r="J165" t="str">
            <v>1'x 8'x 2 110w lamps &amp; ST bal &amp; Refl</v>
          </cell>
        </row>
        <row r="166">
          <cell r="B166">
            <v>271</v>
          </cell>
          <cell r="C166">
            <v>18</v>
          </cell>
          <cell r="D166">
            <v>2</v>
          </cell>
          <cell r="E166">
            <v>110</v>
          </cell>
          <cell r="F166" t="str">
            <v>ST</v>
          </cell>
          <cell r="G166" t="str">
            <v>NO</v>
          </cell>
          <cell r="H166">
            <v>257</v>
          </cell>
          <cell r="I166" t="str">
            <v>no code</v>
          </cell>
          <cell r="J166" t="str">
            <v>1'x 8'x 2 110w lamps &amp; ST bal</v>
          </cell>
        </row>
        <row r="167">
          <cell r="B167">
            <v>273</v>
          </cell>
          <cell r="C167">
            <v>18</v>
          </cell>
          <cell r="D167">
            <v>2</v>
          </cell>
          <cell r="E167">
            <v>110</v>
          </cell>
          <cell r="F167" t="str">
            <v>ES</v>
          </cell>
          <cell r="G167" t="str">
            <v>YES</v>
          </cell>
          <cell r="H167">
            <v>237</v>
          </cell>
          <cell r="I167" t="str">
            <v>F82SHE</v>
          </cell>
          <cell r="J167" t="str">
            <v>1'x 8'x 2 110w HO lamps &amp; ES bal &amp; Refl</v>
          </cell>
        </row>
        <row r="168">
          <cell r="B168">
            <v>275</v>
          </cell>
          <cell r="C168">
            <v>18</v>
          </cell>
          <cell r="D168">
            <v>2</v>
          </cell>
          <cell r="E168">
            <v>110</v>
          </cell>
          <cell r="F168" t="str">
            <v>ES</v>
          </cell>
          <cell r="G168" t="str">
            <v>NO</v>
          </cell>
          <cell r="H168">
            <v>237</v>
          </cell>
          <cell r="I168" t="str">
            <v>F82SHE</v>
          </cell>
          <cell r="J168" t="str">
            <v>1'x 8'x 2 110w HO lamps &amp; ES bal</v>
          </cell>
        </row>
        <row r="169">
          <cell r="B169">
            <v>277</v>
          </cell>
          <cell r="C169">
            <v>18</v>
          </cell>
          <cell r="D169">
            <v>3</v>
          </cell>
          <cell r="E169">
            <v>60</v>
          </cell>
          <cell r="F169" t="str">
            <v>ST</v>
          </cell>
          <cell r="G169" t="str">
            <v>NO</v>
          </cell>
          <cell r="H169">
            <v>221</v>
          </cell>
          <cell r="I169" t="str">
            <v>F83ES</v>
          </cell>
          <cell r="J169" t="str">
            <v>1'x 8'x 3 60w lamps &amp; ST bal</v>
          </cell>
        </row>
        <row r="170">
          <cell r="B170">
            <v>279</v>
          </cell>
          <cell r="C170">
            <v>18</v>
          </cell>
          <cell r="D170">
            <v>3</v>
          </cell>
          <cell r="E170">
            <v>60</v>
          </cell>
          <cell r="F170" t="str">
            <v>ES</v>
          </cell>
          <cell r="G170" t="str">
            <v>NO</v>
          </cell>
          <cell r="H170">
            <v>210</v>
          </cell>
          <cell r="I170" t="str">
            <v>F83EE</v>
          </cell>
          <cell r="J170" t="str">
            <v>1'x 8'x 3 60w lamps &amp; ES bal</v>
          </cell>
        </row>
        <row r="171">
          <cell r="B171">
            <v>281</v>
          </cell>
          <cell r="C171">
            <v>18</v>
          </cell>
          <cell r="D171">
            <v>3</v>
          </cell>
          <cell r="E171">
            <v>75</v>
          </cell>
          <cell r="F171" t="str">
            <v>ST</v>
          </cell>
          <cell r="G171" t="str">
            <v>NO</v>
          </cell>
          <cell r="H171">
            <v>273</v>
          </cell>
          <cell r="I171" t="str">
            <v>F83SS</v>
          </cell>
          <cell r="J171" t="str">
            <v>1'x 8'x 3 75w lamps &amp; ST bal</v>
          </cell>
        </row>
        <row r="172">
          <cell r="B172">
            <v>283</v>
          </cell>
          <cell r="C172">
            <v>18</v>
          </cell>
          <cell r="D172">
            <v>3</v>
          </cell>
          <cell r="E172">
            <v>75</v>
          </cell>
          <cell r="F172" t="str">
            <v>ES</v>
          </cell>
          <cell r="G172" t="str">
            <v>NO</v>
          </cell>
          <cell r="H172">
            <v>264</v>
          </cell>
          <cell r="I172" t="str">
            <v>F83SE</v>
          </cell>
          <cell r="J172" t="str">
            <v>1'x 8'x 3 75w lamps &amp; ES bal</v>
          </cell>
        </row>
        <row r="173">
          <cell r="B173">
            <v>285</v>
          </cell>
          <cell r="C173">
            <v>18</v>
          </cell>
          <cell r="D173">
            <v>3</v>
          </cell>
          <cell r="E173">
            <v>95</v>
          </cell>
          <cell r="F173" t="str">
            <v>ST</v>
          </cell>
          <cell r="G173" t="str">
            <v>NO</v>
          </cell>
          <cell r="H173">
            <v>352</v>
          </cell>
          <cell r="I173" t="str">
            <v>F83EHS</v>
          </cell>
          <cell r="J173" t="str">
            <v>1'x 8'x 3 95w HO lamps &amp; ST bal</v>
          </cell>
        </row>
        <row r="174">
          <cell r="B174">
            <v>287</v>
          </cell>
          <cell r="C174">
            <v>18</v>
          </cell>
          <cell r="D174">
            <v>3</v>
          </cell>
          <cell r="E174">
            <v>95</v>
          </cell>
          <cell r="F174" t="str">
            <v>ES</v>
          </cell>
          <cell r="G174" t="str">
            <v>NO</v>
          </cell>
          <cell r="H174">
            <v>0</v>
          </cell>
          <cell r="I174" t="str">
            <v>no code</v>
          </cell>
          <cell r="J174" t="str">
            <v>1'x 8'x 3 95w lamps &amp; ES bal</v>
          </cell>
        </row>
        <row r="175">
          <cell r="B175">
            <v>289</v>
          </cell>
          <cell r="C175">
            <v>18</v>
          </cell>
          <cell r="D175">
            <v>3</v>
          </cell>
          <cell r="E175">
            <v>110</v>
          </cell>
          <cell r="F175" t="str">
            <v>ST</v>
          </cell>
          <cell r="G175" t="str">
            <v>NO</v>
          </cell>
          <cell r="H175">
            <v>397</v>
          </cell>
          <cell r="I175" t="str">
            <v>F83SHS</v>
          </cell>
          <cell r="J175" t="str">
            <v>1'x 8'x 3 110w HO lamps &amp; ST bal</v>
          </cell>
        </row>
        <row r="176">
          <cell r="B176">
            <v>291</v>
          </cell>
          <cell r="C176">
            <v>18</v>
          </cell>
          <cell r="D176">
            <v>3</v>
          </cell>
          <cell r="E176">
            <v>110</v>
          </cell>
          <cell r="F176" t="str">
            <v>ES</v>
          </cell>
          <cell r="G176" t="str">
            <v>NO</v>
          </cell>
          <cell r="H176">
            <v>0</v>
          </cell>
          <cell r="I176" t="str">
            <v>????</v>
          </cell>
          <cell r="J176" t="str">
            <v>1'x 8'x 3 110w lamps &amp; ES bal</v>
          </cell>
        </row>
        <row r="177">
          <cell r="B177">
            <v>293</v>
          </cell>
          <cell r="C177">
            <v>18</v>
          </cell>
          <cell r="D177">
            <v>4</v>
          </cell>
          <cell r="E177">
            <v>32</v>
          </cell>
          <cell r="F177" t="str">
            <v>EL</v>
          </cell>
          <cell r="G177" t="str">
            <v>YES</v>
          </cell>
          <cell r="H177">
            <v>110</v>
          </cell>
          <cell r="I177" t="str">
            <v>F44LL</v>
          </cell>
          <cell r="J177" t="str">
            <v>1'x 8'x 4 32w lamps &amp; EL bal &amp; Refl</v>
          </cell>
        </row>
        <row r="178">
          <cell r="B178" t="str">
            <v>293BR</v>
          </cell>
          <cell r="C178">
            <v>18</v>
          </cell>
          <cell r="D178">
            <v>4</v>
          </cell>
          <cell r="E178">
            <v>32</v>
          </cell>
          <cell r="F178" t="str">
            <v>EL</v>
          </cell>
          <cell r="G178" t="str">
            <v>BR</v>
          </cell>
          <cell r="H178">
            <v>110</v>
          </cell>
          <cell r="I178" t="str">
            <v>F44LL</v>
          </cell>
          <cell r="J178" t="str">
            <v>1'x 8'x 4 32w lamps &amp; EL bal &amp; bracket</v>
          </cell>
        </row>
        <row r="179">
          <cell r="B179" t="str">
            <v>293BRL</v>
          </cell>
          <cell r="C179">
            <v>18</v>
          </cell>
          <cell r="D179">
            <v>4</v>
          </cell>
          <cell r="E179">
            <v>32</v>
          </cell>
          <cell r="F179" t="str">
            <v>EL</v>
          </cell>
          <cell r="G179" t="str">
            <v>BR</v>
          </cell>
          <cell r="H179">
            <v>98</v>
          </cell>
          <cell r="I179" t="str">
            <v>F44LL</v>
          </cell>
          <cell r="J179" t="str">
            <v>1'x 8'x 4 32w lamps &amp; EL LOW POWER bal &amp; bracket</v>
          </cell>
        </row>
        <row r="180">
          <cell r="B180">
            <v>295</v>
          </cell>
          <cell r="C180">
            <v>18</v>
          </cell>
          <cell r="D180">
            <v>4</v>
          </cell>
          <cell r="E180">
            <v>32</v>
          </cell>
          <cell r="F180" t="str">
            <v>EL</v>
          </cell>
          <cell r="G180" t="str">
            <v>NO</v>
          </cell>
          <cell r="H180">
            <v>110</v>
          </cell>
          <cell r="I180" t="str">
            <v>F44LL</v>
          </cell>
          <cell r="J180" t="str">
            <v>1'x 8'x 4 32w lamps &amp; EL bal</v>
          </cell>
        </row>
        <row r="181">
          <cell r="B181">
            <v>297</v>
          </cell>
          <cell r="C181">
            <v>18</v>
          </cell>
          <cell r="D181">
            <v>4</v>
          </cell>
          <cell r="E181">
            <v>34</v>
          </cell>
          <cell r="F181" t="str">
            <v>ES</v>
          </cell>
          <cell r="G181" t="str">
            <v>YES</v>
          </cell>
          <cell r="H181">
            <v>144</v>
          </cell>
          <cell r="I181" t="str">
            <v>F44EE</v>
          </cell>
          <cell r="J181" t="str">
            <v>1'x 8'x 4 34w lamps &amp; 2 ES bal &amp; Refl</v>
          </cell>
        </row>
        <row r="182">
          <cell r="B182">
            <v>299</v>
          </cell>
          <cell r="C182">
            <v>18</v>
          </cell>
          <cell r="D182">
            <v>4</v>
          </cell>
          <cell r="E182">
            <v>34</v>
          </cell>
          <cell r="F182" t="str">
            <v>ES</v>
          </cell>
          <cell r="G182" t="str">
            <v>NO</v>
          </cell>
          <cell r="H182">
            <v>144</v>
          </cell>
          <cell r="I182" t="str">
            <v>F44EE</v>
          </cell>
          <cell r="J182" t="str">
            <v>1'x 8'x 4 34w lamps &amp; 2 ES bal</v>
          </cell>
        </row>
        <row r="183">
          <cell r="B183">
            <v>301</v>
          </cell>
          <cell r="C183">
            <v>18</v>
          </cell>
          <cell r="D183">
            <v>4</v>
          </cell>
          <cell r="E183">
            <v>34</v>
          </cell>
          <cell r="F183" t="str">
            <v>ST</v>
          </cell>
          <cell r="G183" t="str">
            <v>YES</v>
          </cell>
          <cell r="H183">
            <v>164</v>
          </cell>
          <cell r="I183" t="str">
            <v>????</v>
          </cell>
          <cell r="J183" t="str">
            <v>1'x 8'x 4 34w lamps &amp; 2 ST bal &amp; Refl</v>
          </cell>
        </row>
        <row r="184">
          <cell r="B184">
            <v>303</v>
          </cell>
          <cell r="C184">
            <v>18</v>
          </cell>
          <cell r="D184">
            <v>4</v>
          </cell>
          <cell r="E184">
            <v>34</v>
          </cell>
          <cell r="F184" t="str">
            <v>ST</v>
          </cell>
          <cell r="G184" t="str">
            <v>NO</v>
          </cell>
          <cell r="H184">
            <v>164</v>
          </cell>
          <cell r="I184" t="str">
            <v>????</v>
          </cell>
          <cell r="J184" t="str">
            <v>1'x 8'x 4 34w lamps &amp; 2 ST bal</v>
          </cell>
        </row>
        <row r="185">
          <cell r="B185">
            <v>305</v>
          </cell>
          <cell r="C185">
            <v>18</v>
          </cell>
          <cell r="D185">
            <v>4</v>
          </cell>
          <cell r="E185">
            <v>40</v>
          </cell>
          <cell r="F185" t="str">
            <v>ES</v>
          </cell>
          <cell r="G185" t="str">
            <v>YES</v>
          </cell>
          <cell r="H185">
            <v>172</v>
          </cell>
          <cell r="I185" t="str">
            <v>????</v>
          </cell>
          <cell r="J185" t="str">
            <v>1'x 8'x 4 40w lamps &amp; 2 ES bal &amp; Refl</v>
          </cell>
        </row>
        <row r="186">
          <cell r="B186">
            <v>307</v>
          </cell>
          <cell r="C186">
            <v>18</v>
          </cell>
          <cell r="D186">
            <v>4</v>
          </cell>
          <cell r="E186">
            <v>40</v>
          </cell>
          <cell r="F186" t="str">
            <v>ES</v>
          </cell>
          <cell r="G186" t="str">
            <v>NO</v>
          </cell>
          <cell r="H186">
            <v>172</v>
          </cell>
          <cell r="I186" t="str">
            <v>????</v>
          </cell>
          <cell r="J186" t="str">
            <v>1'x 8'x 4 40w lamps &amp; 2 ES bal</v>
          </cell>
        </row>
        <row r="187">
          <cell r="B187">
            <v>309</v>
          </cell>
          <cell r="C187">
            <v>18</v>
          </cell>
          <cell r="D187">
            <v>4</v>
          </cell>
          <cell r="E187">
            <v>40</v>
          </cell>
          <cell r="F187" t="str">
            <v>ST</v>
          </cell>
          <cell r="G187" t="str">
            <v>YES</v>
          </cell>
          <cell r="H187">
            <v>192</v>
          </cell>
          <cell r="I187" t="str">
            <v>????</v>
          </cell>
          <cell r="J187" t="str">
            <v>1'x 8'x 4 40w lamps &amp; 2 ST bal &amp; Refl</v>
          </cell>
        </row>
        <row r="188">
          <cell r="B188">
            <v>311</v>
          </cell>
          <cell r="C188">
            <v>18</v>
          </cell>
          <cell r="D188">
            <v>4</v>
          </cell>
          <cell r="E188">
            <v>40</v>
          </cell>
          <cell r="F188" t="str">
            <v>ST</v>
          </cell>
          <cell r="G188" t="str">
            <v>NO</v>
          </cell>
          <cell r="H188">
            <v>192</v>
          </cell>
          <cell r="I188" t="str">
            <v>????</v>
          </cell>
          <cell r="J188" t="str">
            <v>1'x 8'x 4 40w lamps &amp; 2 ST bal</v>
          </cell>
        </row>
        <row r="189">
          <cell r="B189">
            <v>313</v>
          </cell>
          <cell r="C189">
            <v>18</v>
          </cell>
          <cell r="D189">
            <v>4</v>
          </cell>
          <cell r="E189">
            <v>60</v>
          </cell>
          <cell r="F189" t="str">
            <v>ES</v>
          </cell>
          <cell r="G189" t="str">
            <v>NO</v>
          </cell>
          <cell r="H189">
            <v>0</v>
          </cell>
          <cell r="I189" t="str">
            <v>????</v>
          </cell>
          <cell r="J189" t="str">
            <v>1'x 8'x 4 60w lamps &amp; 2 ES bal</v>
          </cell>
        </row>
        <row r="190">
          <cell r="B190">
            <v>315</v>
          </cell>
          <cell r="C190">
            <v>18</v>
          </cell>
          <cell r="D190">
            <v>4</v>
          </cell>
          <cell r="E190">
            <v>60</v>
          </cell>
          <cell r="F190" t="str">
            <v>ST</v>
          </cell>
          <cell r="G190" t="str">
            <v>NO</v>
          </cell>
          <cell r="H190">
            <v>276</v>
          </cell>
          <cell r="I190" t="str">
            <v>F84ES</v>
          </cell>
          <cell r="J190" t="str">
            <v>1'x 8'x 4 60w lamps &amp; 2 ST bal</v>
          </cell>
        </row>
        <row r="191">
          <cell r="B191">
            <v>317</v>
          </cell>
          <cell r="C191">
            <v>18</v>
          </cell>
          <cell r="D191">
            <v>4</v>
          </cell>
          <cell r="E191">
            <v>75</v>
          </cell>
          <cell r="F191" t="str">
            <v>ST</v>
          </cell>
          <cell r="G191" t="str">
            <v>NO</v>
          </cell>
          <cell r="H191">
            <v>346</v>
          </cell>
          <cell r="I191" t="str">
            <v>F84SS</v>
          </cell>
          <cell r="J191" t="str">
            <v>1'x 8'x 4 75w lamps &amp; 2 ST bal</v>
          </cell>
        </row>
        <row r="192">
          <cell r="B192">
            <v>319</v>
          </cell>
          <cell r="C192">
            <v>18</v>
          </cell>
          <cell r="D192">
            <v>4</v>
          </cell>
          <cell r="E192">
            <v>75</v>
          </cell>
          <cell r="F192" t="str">
            <v>ES</v>
          </cell>
          <cell r="G192" t="str">
            <v>NO</v>
          </cell>
          <cell r="H192">
            <v>316</v>
          </cell>
          <cell r="I192" t="str">
            <v>F84SE</v>
          </cell>
          <cell r="J192" t="str">
            <v>1'x 8'x 4 75w lamps &amp; 2 ES bal</v>
          </cell>
        </row>
        <row r="193">
          <cell r="B193">
            <v>321</v>
          </cell>
          <cell r="C193">
            <v>18</v>
          </cell>
          <cell r="D193">
            <v>4</v>
          </cell>
          <cell r="E193">
            <v>95</v>
          </cell>
          <cell r="F193" t="str">
            <v>ST</v>
          </cell>
          <cell r="G193" t="str">
            <v>NO</v>
          </cell>
          <cell r="H193">
            <v>454</v>
          </cell>
          <cell r="I193" t="str">
            <v>F84EHS</v>
          </cell>
          <cell r="J193" t="str">
            <v>1'x 8'x 4 95w HO lamps &amp; 2 ST bal</v>
          </cell>
        </row>
        <row r="194">
          <cell r="B194">
            <v>323</v>
          </cell>
          <cell r="C194">
            <v>18</v>
          </cell>
          <cell r="D194">
            <v>4</v>
          </cell>
          <cell r="E194">
            <v>95</v>
          </cell>
          <cell r="F194" t="str">
            <v>ES</v>
          </cell>
          <cell r="G194" t="str">
            <v>NO</v>
          </cell>
          <cell r="H194">
            <v>414</v>
          </cell>
          <cell r="I194" t="str">
            <v>F84EHE</v>
          </cell>
          <cell r="J194" t="str">
            <v>1'x 8'x 4 95w HO lamps &amp; 2 ES bal</v>
          </cell>
        </row>
        <row r="195">
          <cell r="B195">
            <v>325</v>
          </cell>
          <cell r="C195">
            <v>18</v>
          </cell>
          <cell r="D195">
            <v>4</v>
          </cell>
          <cell r="E195">
            <v>110</v>
          </cell>
          <cell r="F195" t="str">
            <v>ST</v>
          </cell>
          <cell r="G195" t="str">
            <v>NO</v>
          </cell>
          <cell r="H195">
            <v>514</v>
          </cell>
          <cell r="I195" t="str">
            <v>F84SHS</v>
          </cell>
          <cell r="J195" t="str">
            <v>1'x 8'x 4 110w HO lamps &amp; 2 ST bal</v>
          </cell>
        </row>
        <row r="196">
          <cell r="B196">
            <v>327</v>
          </cell>
          <cell r="C196">
            <v>18</v>
          </cell>
          <cell r="D196">
            <v>4</v>
          </cell>
          <cell r="E196">
            <v>110</v>
          </cell>
          <cell r="F196" t="str">
            <v>ES</v>
          </cell>
          <cell r="G196" t="str">
            <v>NO</v>
          </cell>
          <cell r="H196">
            <v>474</v>
          </cell>
          <cell r="I196" t="str">
            <v>F84SHE</v>
          </cell>
          <cell r="J196" t="str">
            <v>1'x 8'x 4 110w HO lamps &amp; 2 ES bal</v>
          </cell>
        </row>
        <row r="197">
          <cell r="B197">
            <v>329</v>
          </cell>
          <cell r="C197">
            <v>18</v>
          </cell>
          <cell r="D197">
            <v>6</v>
          </cell>
          <cell r="E197">
            <v>32</v>
          </cell>
          <cell r="F197" t="str">
            <v>EL</v>
          </cell>
          <cell r="G197" t="str">
            <v>YES</v>
          </cell>
          <cell r="H197">
            <v>220</v>
          </cell>
          <cell r="I197" t="str">
            <v>no code</v>
          </cell>
          <cell r="J197" t="str">
            <v>1'x 8'x 6 32w lamps &amp; 2 EL bal &amp; Refl</v>
          </cell>
        </row>
        <row r="198">
          <cell r="B198">
            <v>331</v>
          </cell>
          <cell r="C198">
            <v>18</v>
          </cell>
          <cell r="D198">
            <v>6</v>
          </cell>
          <cell r="E198">
            <v>32</v>
          </cell>
          <cell r="F198" t="str">
            <v>EL</v>
          </cell>
          <cell r="G198" t="str">
            <v>NO</v>
          </cell>
          <cell r="H198">
            <v>220</v>
          </cell>
          <cell r="I198" t="str">
            <v>????</v>
          </cell>
          <cell r="J198" t="str">
            <v xml:space="preserve">1'x 8'x 6 32w lamps &amp; 2 EL bal </v>
          </cell>
        </row>
        <row r="199">
          <cell r="B199">
            <v>333</v>
          </cell>
          <cell r="C199">
            <v>18</v>
          </cell>
          <cell r="D199">
            <v>6</v>
          </cell>
          <cell r="E199">
            <v>34</v>
          </cell>
          <cell r="F199" t="str">
            <v>ES</v>
          </cell>
          <cell r="G199" t="str">
            <v>NO</v>
          </cell>
          <cell r="H199">
            <v>288</v>
          </cell>
          <cell r="I199" t="str">
            <v>????</v>
          </cell>
          <cell r="J199" t="str">
            <v xml:space="preserve">1'x 8'x 6 34w lamps &amp; 3 ES bal </v>
          </cell>
        </row>
        <row r="200">
          <cell r="B200">
            <v>335</v>
          </cell>
          <cell r="C200">
            <v>18</v>
          </cell>
          <cell r="D200">
            <v>6</v>
          </cell>
          <cell r="E200">
            <v>34</v>
          </cell>
          <cell r="F200" t="str">
            <v>ST</v>
          </cell>
          <cell r="G200" t="str">
            <v>NO</v>
          </cell>
          <cell r="H200">
            <v>0</v>
          </cell>
          <cell r="I200" t="str">
            <v>????</v>
          </cell>
          <cell r="J200" t="str">
            <v xml:space="preserve">1'x 8'x 6 34w lamps &amp; 3 ST bal </v>
          </cell>
        </row>
        <row r="201">
          <cell r="B201">
            <v>337</v>
          </cell>
          <cell r="C201">
            <v>18</v>
          </cell>
          <cell r="D201">
            <v>6</v>
          </cell>
          <cell r="E201">
            <v>40</v>
          </cell>
          <cell r="F201" t="str">
            <v>ES</v>
          </cell>
          <cell r="G201" t="str">
            <v>NO</v>
          </cell>
          <cell r="H201">
            <v>0</v>
          </cell>
          <cell r="I201" t="str">
            <v>????</v>
          </cell>
          <cell r="J201" t="str">
            <v xml:space="preserve">1'x 8'x 6 40w lamps &amp; 3 ES bal </v>
          </cell>
        </row>
        <row r="202">
          <cell r="B202">
            <v>339</v>
          </cell>
          <cell r="C202">
            <v>18</v>
          </cell>
          <cell r="D202">
            <v>6</v>
          </cell>
          <cell r="E202">
            <v>40</v>
          </cell>
          <cell r="F202" t="str">
            <v>ST</v>
          </cell>
          <cell r="G202" t="str">
            <v>NO</v>
          </cell>
          <cell r="H202">
            <v>0</v>
          </cell>
          <cell r="I202" t="str">
            <v>????</v>
          </cell>
          <cell r="J202" t="str">
            <v xml:space="preserve">1'x 8'x 6 40w lamps &amp; 3 ST bal </v>
          </cell>
        </row>
        <row r="203">
          <cell r="B203">
            <v>341</v>
          </cell>
          <cell r="C203">
            <v>18</v>
          </cell>
          <cell r="D203">
            <v>6</v>
          </cell>
          <cell r="E203">
            <v>60</v>
          </cell>
          <cell r="F203" t="str">
            <v>ES</v>
          </cell>
          <cell r="G203" t="str">
            <v>NO</v>
          </cell>
          <cell r="H203">
            <v>0</v>
          </cell>
          <cell r="I203" t="str">
            <v>????</v>
          </cell>
          <cell r="J203" t="str">
            <v>1'x 8'x 6 60w lamps &amp; 2 ES bal</v>
          </cell>
        </row>
        <row r="204">
          <cell r="B204">
            <v>343</v>
          </cell>
          <cell r="C204">
            <v>18</v>
          </cell>
          <cell r="D204">
            <v>6</v>
          </cell>
          <cell r="E204">
            <v>60</v>
          </cell>
          <cell r="F204" t="str">
            <v>ST</v>
          </cell>
          <cell r="G204" t="str">
            <v>NO</v>
          </cell>
          <cell r="H204">
            <v>0</v>
          </cell>
          <cell r="I204" t="str">
            <v>????</v>
          </cell>
          <cell r="J204" t="str">
            <v>1'x 8'x 6 60w lamps &amp; 2 ST bal</v>
          </cell>
        </row>
        <row r="205">
          <cell r="B205">
            <v>345</v>
          </cell>
          <cell r="C205">
            <v>18</v>
          </cell>
          <cell r="D205">
            <v>6</v>
          </cell>
          <cell r="E205">
            <v>75</v>
          </cell>
          <cell r="F205" t="str">
            <v>ST</v>
          </cell>
          <cell r="G205" t="str">
            <v>NO</v>
          </cell>
          <cell r="H205">
            <v>0</v>
          </cell>
          <cell r="I205" t="str">
            <v>????</v>
          </cell>
          <cell r="J205" t="str">
            <v>1'x 8'x 6 75w lamps &amp; 3 ST bal</v>
          </cell>
        </row>
        <row r="206">
          <cell r="B206">
            <v>347</v>
          </cell>
          <cell r="C206">
            <v>18</v>
          </cell>
          <cell r="D206">
            <v>6</v>
          </cell>
          <cell r="E206">
            <v>75</v>
          </cell>
          <cell r="F206" t="str">
            <v>ES</v>
          </cell>
          <cell r="G206" t="str">
            <v>NO</v>
          </cell>
          <cell r="H206">
            <v>0</v>
          </cell>
          <cell r="I206" t="str">
            <v>????</v>
          </cell>
          <cell r="J206" t="str">
            <v>1'x 8'x 6 75w lamps &amp; 3 ES bal</v>
          </cell>
        </row>
        <row r="207">
          <cell r="B207">
            <v>349</v>
          </cell>
          <cell r="C207">
            <v>18</v>
          </cell>
          <cell r="D207">
            <v>6</v>
          </cell>
          <cell r="E207">
            <v>95</v>
          </cell>
          <cell r="F207" t="str">
            <v>ST</v>
          </cell>
          <cell r="G207" t="str">
            <v>NO</v>
          </cell>
          <cell r="H207">
            <v>0</v>
          </cell>
          <cell r="I207" t="str">
            <v>????</v>
          </cell>
          <cell r="J207" t="str">
            <v>1'x 8'x 6 95w lamps &amp; 3 ST bal</v>
          </cell>
        </row>
        <row r="208">
          <cell r="B208">
            <v>351</v>
          </cell>
          <cell r="C208">
            <v>18</v>
          </cell>
          <cell r="D208">
            <v>6</v>
          </cell>
          <cell r="E208">
            <v>95</v>
          </cell>
          <cell r="F208" t="str">
            <v>ES</v>
          </cell>
          <cell r="G208" t="str">
            <v>NO</v>
          </cell>
          <cell r="H208">
            <v>0</v>
          </cell>
          <cell r="I208" t="str">
            <v>????</v>
          </cell>
          <cell r="J208" t="str">
            <v>1'x 8'x 6 95w lamps &amp; 3 ES bal</v>
          </cell>
        </row>
        <row r="209">
          <cell r="B209">
            <v>353</v>
          </cell>
          <cell r="C209">
            <v>18</v>
          </cell>
          <cell r="D209">
            <v>6</v>
          </cell>
          <cell r="E209">
            <v>110</v>
          </cell>
          <cell r="F209" t="str">
            <v>ST</v>
          </cell>
          <cell r="G209" t="str">
            <v>NO</v>
          </cell>
          <cell r="H209">
            <v>0</v>
          </cell>
          <cell r="I209" t="str">
            <v>????</v>
          </cell>
          <cell r="J209" t="str">
            <v>1'x 8'x 6 110w lamps &amp; 3 ST bal</v>
          </cell>
        </row>
        <row r="210">
          <cell r="B210">
            <v>355</v>
          </cell>
          <cell r="C210">
            <v>18</v>
          </cell>
          <cell r="D210">
            <v>6</v>
          </cell>
          <cell r="E210">
            <v>110</v>
          </cell>
          <cell r="F210" t="str">
            <v>ES</v>
          </cell>
          <cell r="G210" t="str">
            <v>NO</v>
          </cell>
          <cell r="H210">
            <v>0</v>
          </cell>
          <cell r="I210" t="str">
            <v>????</v>
          </cell>
          <cell r="J210" t="str">
            <v>1'x 8'x 6 110w lamps &amp; 3 ES bal</v>
          </cell>
        </row>
        <row r="211">
          <cell r="B211">
            <v>356</v>
          </cell>
          <cell r="C211">
            <v>18</v>
          </cell>
          <cell r="D211">
            <v>8</v>
          </cell>
          <cell r="E211">
            <v>32</v>
          </cell>
          <cell r="F211" t="str">
            <v>EL</v>
          </cell>
          <cell r="G211" t="str">
            <v>NO</v>
          </cell>
          <cell r="H211">
            <v>220</v>
          </cell>
          <cell r="I211" t="str">
            <v>????</v>
          </cell>
          <cell r="J211" t="str">
            <v>1'x 8'x 8 32w lamps &amp; 2 EL bal</v>
          </cell>
        </row>
        <row r="212">
          <cell r="B212">
            <v>357</v>
          </cell>
          <cell r="C212">
            <v>18</v>
          </cell>
          <cell r="D212">
            <v>8</v>
          </cell>
          <cell r="E212">
            <v>34</v>
          </cell>
          <cell r="F212" t="str">
            <v>ES</v>
          </cell>
          <cell r="G212" t="str">
            <v>NO</v>
          </cell>
          <cell r="H212">
            <v>288</v>
          </cell>
          <cell r="I212" t="str">
            <v>????</v>
          </cell>
          <cell r="J212" t="str">
            <v>1'x 8'x 8 34w lamps &amp; 4 ES bal</v>
          </cell>
        </row>
        <row r="213">
          <cell r="B213">
            <v>359</v>
          </cell>
          <cell r="C213">
            <v>18</v>
          </cell>
          <cell r="D213">
            <v>8</v>
          </cell>
          <cell r="E213">
            <v>34</v>
          </cell>
          <cell r="F213" t="str">
            <v>ST</v>
          </cell>
          <cell r="G213" t="str">
            <v>NO</v>
          </cell>
          <cell r="H213">
            <v>0</v>
          </cell>
          <cell r="I213" t="str">
            <v>????</v>
          </cell>
          <cell r="J213" t="str">
            <v>1'x 8'x 8 34w lamps &amp; 4 ST bal</v>
          </cell>
        </row>
        <row r="214">
          <cell r="B214">
            <v>361</v>
          </cell>
          <cell r="C214">
            <v>18</v>
          </cell>
          <cell r="D214">
            <v>8</v>
          </cell>
          <cell r="E214">
            <v>40</v>
          </cell>
          <cell r="F214" t="str">
            <v>ES</v>
          </cell>
          <cell r="G214" t="str">
            <v>NO</v>
          </cell>
          <cell r="H214">
            <v>384</v>
          </cell>
          <cell r="I214" t="str">
            <v>????</v>
          </cell>
          <cell r="J214" t="str">
            <v>1'x 8'x 8 40w lamps &amp; 4 ES bal</v>
          </cell>
        </row>
        <row r="215">
          <cell r="B215">
            <v>363</v>
          </cell>
          <cell r="C215">
            <v>18</v>
          </cell>
          <cell r="D215">
            <v>8</v>
          </cell>
          <cell r="E215">
            <v>40</v>
          </cell>
          <cell r="F215" t="str">
            <v>ST</v>
          </cell>
          <cell r="G215" t="str">
            <v>NO</v>
          </cell>
          <cell r="H215">
            <v>384</v>
          </cell>
          <cell r="I215" t="str">
            <v>????</v>
          </cell>
          <cell r="J215" t="str">
            <v>1'x 8'x 8 40w lamps &amp; 4 ST bal</v>
          </cell>
        </row>
        <row r="216">
          <cell r="B216">
            <v>365</v>
          </cell>
          <cell r="C216">
            <v>18</v>
          </cell>
          <cell r="D216">
            <v>1</v>
          </cell>
          <cell r="E216">
            <v>59</v>
          </cell>
          <cell r="F216" t="str">
            <v>EL</v>
          </cell>
          <cell r="G216" t="str">
            <v>YES</v>
          </cell>
          <cell r="H216">
            <v>0</v>
          </cell>
          <cell r="I216" t="str">
            <v>????</v>
          </cell>
          <cell r="J216" t="str">
            <v>1'x 8'x 1 59w lamps &amp; EL bal &amp; Refl</v>
          </cell>
        </row>
        <row r="217">
          <cell r="B217">
            <v>367</v>
          </cell>
          <cell r="C217">
            <v>18</v>
          </cell>
          <cell r="D217">
            <v>1</v>
          </cell>
          <cell r="E217">
            <v>59</v>
          </cell>
          <cell r="F217" t="str">
            <v>EL</v>
          </cell>
          <cell r="G217" t="str">
            <v>NO</v>
          </cell>
          <cell r="H217">
            <v>0</v>
          </cell>
          <cell r="I217" t="str">
            <v>????</v>
          </cell>
          <cell r="J217" t="str">
            <v>1'x 8'x 1 59w lamps &amp; EL bal</v>
          </cell>
        </row>
        <row r="218">
          <cell r="B218">
            <v>369</v>
          </cell>
          <cell r="C218">
            <v>18</v>
          </cell>
          <cell r="D218">
            <v>2</v>
          </cell>
          <cell r="E218">
            <v>59</v>
          </cell>
          <cell r="F218" t="str">
            <v>EL</v>
          </cell>
          <cell r="G218" t="str">
            <v>YES</v>
          </cell>
          <cell r="H218">
            <v>111</v>
          </cell>
          <cell r="I218" t="str">
            <v>????</v>
          </cell>
          <cell r="J218" t="str">
            <v>1'x 8'x 2 59w lamps &amp; EL bal &amp; Refl</v>
          </cell>
        </row>
        <row r="219">
          <cell r="B219">
            <v>371</v>
          </cell>
          <cell r="C219">
            <v>18</v>
          </cell>
          <cell r="D219">
            <v>2</v>
          </cell>
          <cell r="E219">
            <v>59</v>
          </cell>
          <cell r="F219" t="str">
            <v>EL</v>
          </cell>
          <cell r="G219" t="str">
            <v>NO</v>
          </cell>
          <cell r="H219">
            <v>111</v>
          </cell>
          <cell r="I219" t="str">
            <v>????</v>
          </cell>
          <cell r="J219" t="str">
            <v>1'x 8'x 2 59w lamps &amp; EL bal</v>
          </cell>
        </row>
        <row r="220">
          <cell r="B220">
            <v>373</v>
          </cell>
          <cell r="C220">
            <v>22</v>
          </cell>
          <cell r="D220">
            <v>1</v>
          </cell>
          <cell r="E220">
            <v>31</v>
          </cell>
          <cell r="F220" t="str">
            <v>EL</v>
          </cell>
          <cell r="G220" t="str">
            <v>YES</v>
          </cell>
          <cell r="H220">
            <v>31</v>
          </cell>
          <cell r="I220" t="str">
            <v>F21LL</v>
          </cell>
          <cell r="J220" t="str">
            <v>2'x 2'x 1 31w lamps &amp; EL bal &amp; Refl</v>
          </cell>
        </row>
        <row r="221">
          <cell r="B221">
            <v>375</v>
          </cell>
          <cell r="C221">
            <v>22</v>
          </cell>
          <cell r="D221">
            <v>1</v>
          </cell>
          <cell r="E221">
            <v>31</v>
          </cell>
          <cell r="F221" t="str">
            <v>EL</v>
          </cell>
          <cell r="G221" t="str">
            <v>NO</v>
          </cell>
          <cell r="H221">
            <v>31</v>
          </cell>
          <cell r="I221" t="str">
            <v>F21LL</v>
          </cell>
          <cell r="J221" t="str">
            <v>2'x 2'x 1 31w lamps &amp; EL bal</v>
          </cell>
        </row>
        <row r="222">
          <cell r="B222">
            <v>377</v>
          </cell>
          <cell r="C222">
            <v>22</v>
          </cell>
          <cell r="D222">
            <v>1</v>
          </cell>
          <cell r="E222">
            <v>40</v>
          </cell>
          <cell r="F222" t="str">
            <v>ST</v>
          </cell>
          <cell r="G222" t="str">
            <v>YES</v>
          </cell>
          <cell r="H222">
            <v>53</v>
          </cell>
          <cell r="I222" t="str">
            <v>????</v>
          </cell>
          <cell r="J222" t="str">
            <v>2'x 2'x 1 40w lamps &amp; ST bal &amp; Refl</v>
          </cell>
        </row>
        <row r="223">
          <cell r="B223">
            <v>379</v>
          </cell>
          <cell r="C223">
            <v>22</v>
          </cell>
          <cell r="D223">
            <v>1</v>
          </cell>
          <cell r="E223">
            <v>40</v>
          </cell>
          <cell r="F223" t="str">
            <v>ST</v>
          </cell>
          <cell r="G223" t="str">
            <v>NO</v>
          </cell>
          <cell r="H223">
            <v>53</v>
          </cell>
          <cell r="I223" t="str">
            <v>????</v>
          </cell>
          <cell r="J223" t="str">
            <v xml:space="preserve">2'x 2'x 1 40w lamps &amp; ST bal </v>
          </cell>
        </row>
        <row r="224">
          <cell r="B224">
            <v>381</v>
          </cell>
          <cell r="C224">
            <v>22</v>
          </cell>
          <cell r="D224">
            <v>1</v>
          </cell>
          <cell r="E224">
            <v>40</v>
          </cell>
          <cell r="F224" t="str">
            <v>ES</v>
          </cell>
          <cell r="G224" t="str">
            <v>YES</v>
          </cell>
          <cell r="H224">
            <v>0</v>
          </cell>
          <cell r="I224" t="str">
            <v>????</v>
          </cell>
          <cell r="J224" t="str">
            <v>2'x 2'x 1 40w lamps &amp; ES bal &amp; Refl</v>
          </cell>
        </row>
        <row r="225">
          <cell r="B225">
            <v>383</v>
          </cell>
          <cell r="C225">
            <v>22</v>
          </cell>
          <cell r="D225">
            <v>1</v>
          </cell>
          <cell r="E225">
            <v>40</v>
          </cell>
          <cell r="F225" t="str">
            <v>ES</v>
          </cell>
          <cell r="G225" t="str">
            <v>NO</v>
          </cell>
          <cell r="H225">
            <v>0</v>
          </cell>
          <cell r="I225" t="str">
            <v>????</v>
          </cell>
          <cell r="J225" t="str">
            <v xml:space="preserve">2'x 2'x 1 40w lamps &amp; ES bal </v>
          </cell>
        </row>
        <row r="226">
          <cell r="B226">
            <v>385</v>
          </cell>
          <cell r="C226">
            <v>22</v>
          </cell>
          <cell r="D226">
            <v>1</v>
          </cell>
          <cell r="E226">
            <v>34</v>
          </cell>
          <cell r="F226" t="str">
            <v>ST</v>
          </cell>
          <cell r="G226" t="str">
            <v>YES</v>
          </cell>
          <cell r="H226">
            <v>0</v>
          </cell>
          <cell r="I226" t="str">
            <v>????</v>
          </cell>
          <cell r="J226" t="str">
            <v>2'x 2'x 1 34w lamps &amp; ST bal &amp; Refl</v>
          </cell>
        </row>
        <row r="227">
          <cell r="B227">
            <v>387</v>
          </cell>
          <cell r="C227">
            <v>22</v>
          </cell>
          <cell r="D227">
            <v>1</v>
          </cell>
          <cell r="E227">
            <v>34</v>
          </cell>
          <cell r="F227" t="str">
            <v>ST</v>
          </cell>
          <cell r="G227" t="str">
            <v>NO</v>
          </cell>
          <cell r="H227">
            <v>0</v>
          </cell>
          <cell r="I227" t="str">
            <v>????</v>
          </cell>
          <cell r="J227" t="str">
            <v>2'x 2'x 1 34w lamps &amp; ST bal</v>
          </cell>
        </row>
        <row r="228">
          <cell r="B228">
            <v>389</v>
          </cell>
          <cell r="C228">
            <v>22</v>
          </cell>
          <cell r="D228">
            <v>1</v>
          </cell>
          <cell r="E228">
            <v>34</v>
          </cell>
          <cell r="F228" t="str">
            <v>ES</v>
          </cell>
          <cell r="G228" t="str">
            <v>YES</v>
          </cell>
          <cell r="H228">
            <v>0</v>
          </cell>
          <cell r="I228" t="str">
            <v>????</v>
          </cell>
          <cell r="J228" t="str">
            <v>2'x 2'x 1 34w lamps &amp; ES bal &amp; Refl</v>
          </cell>
        </row>
        <row r="229">
          <cell r="B229">
            <v>391</v>
          </cell>
          <cell r="C229">
            <v>22</v>
          </cell>
          <cell r="D229">
            <v>1</v>
          </cell>
          <cell r="E229">
            <v>34</v>
          </cell>
          <cell r="F229" t="str">
            <v>ES</v>
          </cell>
          <cell r="G229" t="str">
            <v>NO</v>
          </cell>
          <cell r="H229">
            <v>50</v>
          </cell>
          <cell r="I229" t="str">
            <v>F21ES</v>
          </cell>
          <cell r="J229" t="str">
            <v xml:space="preserve">2'x 2'x 1 34w lamps &amp; ES bal </v>
          </cell>
        </row>
        <row r="230">
          <cell r="B230" t="str">
            <v>393</v>
          </cell>
          <cell r="C230">
            <v>22</v>
          </cell>
          <cell r="D230">
            <v>2</v>
          </cell>
          <cell r="E230">
            <v>17</v>
          </cell>
          <cell r="F230" t="str">
            <v>EL</v>
          </cell>
          <cell r="G230" t="str">
            <v>YES</v>
          </cell>
          <cell r="H230">
            <v>34</v>
          </cell>
          <cell r="I230" t="str">
            <v>F22LL</v>
          </cell>
          <cell r="J230" t="str">
            <v>2'x 2'x 2 17w lamps &amp; EL bal &amp; Refl</v>
          </cell>
        </row>
        <row r="231">
          <cell r="B231" t="str">
            <v>393T2</v>
          </cell>
          <cell r="C231">
            <v>22</v>
          </cell>
          <cell r="D231">
            <v>2</v>
          </cell>
          <cell r="E231">
            <v>17</v>
          </cell>
          <cell r="F231" t="str">
            <v>EL</v>
          </cell>
          <cell r="G231" t="str">
            <v>YES</v>
          </cell>
          <cell r="H231">
            <v>29</v>
          </cell>
          <cell r="I231" t="str">
            <v>F22LL/T2</v>
          </cell>
          <cell r="J231" t="str">
            <v>2'x 2'x 2 17w lamps &amp; EL bal &amp; Refl, Tandem 2</v>
          </cell>
        </row>
        <row r="232">
          <cell r="B232" t="str">
            <v>393L</v>
          </cell>
          <cell r="C232">
            <v>22</v>
          </cell>
          <cell r="D232">
            <v>2</v>
          </cell>
          <cell r="E232">
            <v>17</v>
          </cell>
          <cell r="F232" t="str">
            <v>L-EL</v>
          </cell>
          <cell r="G232" t="str">
            <v>YES</v>
          </cell>
          <cell r="H232">
            <v>34</v>
          </cell>
          <cell r="I232" t="str">
            <v>????</v>
          </cell>
          <cell r="J232" t="str">
            <v>2'x 2'x 2 17w lamps &amp; L-EL bal</v>
          </cell>
        </row>
        <row r="233">
          <cell r="B233">
            <v>395</v>
          </cell>
          <cell r="C233">
            <v>22</v>
          </cell>
          <cell r="D233">
            <v>2</v>
          </cell>
          <cell r="E233">
            <v>17</v>
          </cell>
          <cell r="F233" t="str">
            <v>EL</v>
          </cell>
          <cell r="G233" t="str">
            <v>BR</v>
          </cell>
          <cell r="H233">
            <v>34</v>
          </cell>
          <cell r="I233" t="str">
            <v>F22LL</v>
          </cell>
          <cell r="J233" t="str">
            <v>2'x 2'x 2 17w lamps &amp; EL bal w/ bracket</v>
          </cell>
        </row>
        <row r="234">
          <cell r="B234" t="str">
            <v>397</v>
          </cell>
          <cell r="C234">
            <v>22</v>
          </cell>
          <cell r="D234">
            <v>2</v>
          </cell>
          <cell r="E234">
            <v>31</v>
          </cell>
          <cell r="F234" t="str">
            <v>EL</v>
          </cell>
          <cell r="G234" t="str">
            <v>NO</v>
          </cell>
          <cell r="H234">
            <v>52</v>
          </cell>
          <cell r="I234" t="str">
            <v>FU2LL</v>
          </cell>
          <cell r="J234" t="str">
            <v>2'x 2'x 2 31w lamps &amp; EL bal</v>
          </cell>
        </row>
        <row r="235">
          <cell r="B235" t="str">
            <v>397L</v>
          </cell>
          <cell r="C235">
            <v>22</v>
          </cell>
          <cell r="D235">
            <v>2</v>
          </cell>
          <cell r="E235">
            <v>17</v>
          </cell>
          <cell r="F235" t="str">
            <v>L-EL</v>
          </cell>
          <cell r="G235" t="str">
            <v>NO</v>
          </cell>
          <cell r="H235">
            <v>29</v>
          </cell>
          <cell r="I235" t="str">
            <v>????</v>
          </cell>
          <cell r="J235" t="str">
            <v>2'x 2'x 2 17w lamps &amp; L-EL bal</v>
          </cell>
        </row>
        <row r="236">
          <cell r="B236">
            <v>399</v>
          </cell>
          <cell r="C236">
            <v>22</v>
          </cell>
          <cell r="D236">
            <v>2</v>
          </cell>
          <cell r="E236">
            <v>20</v>
          </cell>
          <cell r="F236" t="str">
            <v>ST</v>
          </cell>
          <cell r="G236" t="str">
            <v>YES</v>
          </cell>
          <cell r="H236">
            <v>50</v>
          </cell>
          <cell r="I236" t="str">
            <v>F22SS</v>
          </cell>
          <cell r="J236" t="str">
            <v>2'x 2'x 2 20w lamps &amp; ST bal &amp; Refl</v>
          </cell>
        </row>
        <row r="237">
          <cell r="B237">
            <v>401</v>
          </cell>
          <cell r="C237">
            <v>22</v>
          </cell>
          <cell r="D237">
            <v>2</v>
          </cell>
          <cell r="E237">
            <v>20</v>
          </cell>
          <cell r="F237" t="str">
            <v>ST</v>
          </cell>
          <cell r="G237" t="str">
            <v>NO</v>
          </cell>
          <cell r="H237">
            <v>50</v>
          </cell>
          <cell r="I237" t="str">
            <v>F22SS</v>
          </cell>
          <cell r="J237" t="str">
            <v>2'x 2'x 2 20w lamps &amp; ST bal</v>
          </cell>
        </row>
        <row r="238">
          <cell r="B238">
            <v>403</v>
          </cell>
          <cell r="C238">
            <v>22</v>
          </cell>
          <cell r="D238">
            <v>2</v>
          </cell>
          <cell r="E238">
            <v>20</v>
          </cell>
          <cell r="F238" t="str">
            <v>ES</v>
          </cell>
          <cell r="G238" t="str">
            <v>YES</v>
          </cell>
          <cell r="H238">
            <v>48</v>
          </cell>
          <cell r="I238" t="str">
            <v>????</v>
          </cell>
          <cell r="J238" t="str">
            <v>2'x 2'x 2 20w lamps &amp; ES bal &amp; Refl</v>
          </cell>
        </row>
        <row r="239">
          <cell r="B239">
            <v>405</v>
          </cell>
          <cell r="C239">
            <v>22</v>
          </cell>
          <cell r="D239">
            <v>2</v>
          </cell>
          <cell r="E239">
            <v>20</v>
          </cell>
          <cell r="F239" t="str">
            <v>ES</v>
          </cell>
          <cell r="G239" t="str">
            <v>NO</v>
          </cell>
          <cell r="H239">
            <v>48</v>
          </cell>
          <cell r="I239" t="str">
            <v>????</v>
          </cell>
          <cell r="J239" t="str">
            <v>2'x 2'x 2 20w lamps &amp; ES bal</v>
          </cell>
        </row>
        <row r="240">
          <cell r="B240">
            <v>407</v>
          </cell>
          <cell r="C240">
            <v>22</v>
          </cell>
          <cell r="D240">
            <v>2</v>
          </cell>
          <cell r="E240">
            <v>31</v>
          </cell>
          <cell r="F240" t="str">
            <v>EL</v>
          </cell>
          <cell r="G240" t="str">
            <v>YES</v>
          </cell>
          <cell r="H240">
            <v>52</v>
          </cell>
          <cell r="I240" t="str">
            <v>FU2LL</v>
          </cell>
          <cell r="J240" t="str">
            <v>2'x 2'x 2 31w U-lamps &amp; EL bal &amp; Refl</v>
          </cell>
        </row>
        <row r="241">
          <cell r="B241">
            <v>409</v>
          </cell>
          <cell r="C241">
            <v>22</v>
          </cell>
          <cell r="D241">
            <v>2</v>
          </cell>
          <cell r="E241">
            <v>31</v>
          </cell>
          <cell r="F241" t="str">
            <v>EL</v>
          </cell>
          <cell r="G241" t="str">
            <v>NO</v>
          </cell>
          <cell r="H241">
            <v>52</v>
          </cell>
          <cell r="I241" t="str">
            <v>FU2LL</v>
          </cell>
          <cell r="J241" t="str">
            <v>2'x 2'x 2 31w U-lamps &amp; EL bal</v>
          </cell>
        </row>
        <row r="242">
          <cell r="B242">
            <v>411</v>
          </cell>
          <cell r="C242">
            <v>22</v>
          </cell>
          <cell r="D242">
            <v>2</v>
          </cell>
          <cell r="E242">
            <v>34</v>
          </cell>
          <cell r="F242" t="str">
            <v>ST</v>
          </cell>
          <cell r="G242" t="str">
            <v>NO</v>
          </cell>
          <cell r="H242">
            <v>82</v>
          </cell>
          <cell r="I242" t="str">
            <v>FU2ES</v>
          </cell>
          <cell r="J242" t="str">
            <v>2'x 2'x 2 34w U-lamps &amp; ST bal</v>
          </cell>
        </row>
        <row r="243">
          <cell r="B243" t="str">
            <v>413</v>
          </cell>
          <cell r="C243">
            <v>22</v>
          </cell>
          <cell r="D243">
            <v>2</v>
          </cell>
          <cell r="E243">
            <v>34</v>
          </cell>
          <cell r="F243" t="str">
            <v>ES</v>
          </cell>
          <cell r="G243" t="str">
            <v>NO</v>
          </cell>
          <cell r="H243">
            <v>72</v>
          </cell>
          <cell r="I243" t="str">
            <v>FU2EE</v>
          </cell>
          <cell r="J243" t="str">
            <v>2'x 2'x 2 34w U-lamps &amp; ES bal</v>
          </cell>
        </row>
        <row r="244">
          <cell r="B244">
            <v>415</v>
          </cell>
          <cell r="C244">
            <v>22</v>
          </cell>
          <cell r="D244">
            <v>2</v>
          </cell>
          <cell r="E244">
            <v>40</v>
          </cell>
          <cell r="F244" t="str">
            <v>ST</v>
          </cell>
          <cell r="G244" t="str">
            <v>NO</v>
          </cell>
          <cell r="H244">
            <v>86</v>
          </cell>
          <cell r="I244" t="str">
            <v>FU2SS</v>
          </cell>
          <cell r="J244" t="str">
            <v>2'x 2'x 2 40w U-lamps &amp; ST bal</v>
          </cell>
        </row>
        <row r="245">
          <cell r="B245">
            <v>417</v>
          </cell>
          <cell r="C245">
            <v>22</v>
          </cell>
          <cell r="D245">
            <v>2</v>
          </cell>
          <cell r="E245">
            <v>40</v>
          </cell>
          <cell r="F245" t="str">
            <v>ES</v>
          </cell>
          <cell r="G245" t="str">
            <v>NO</v>
          </cell>
          <cell r="H245">
            <v>86</v>
          </cell>
          <cell r="I245" t="str">
            <v>FU2SE</v>
          </cell>
          <cell r="J245" t="str">
            <v>2'x 2'x 2 40w U-lamps &amp; ES bal</v>
          </cell>
        </row>
        <row r="246">
          <cell r="B246">
            <v>419</v>
          </cell>
          <cell r="C246">
            <v>22</v>
          </cell>
          <cell r="D246">
            <v>2</v>
          </cell>
          <cell r="E246" t="str">
            <v>40 BIAX</v>
          </cell>
          <cell r="F246" t="str">
            <v>EL</v>
          </cell>
          <cell r="G246" t="str">
            <v>YES</v>
          </cell>
          <cell r="H246">
            <v>0</v>
          </cell>
          <cell r="I246" t="str">
            <v>????</v>
          </cell>
          <cell r="J246" t="str">
            <v>2'x 2'x 2 40w biax lamps &amp; EL bal &amp; Refl.</v>
          </cell>
        </row>
        <row r="247">
          <cell r="B247">
            <v>421</v>
          </cell>
          <cell r="C247">
            <v>22</v>
          </cell>
          <cell r="D247">
            <v>3</v>
          </cell>
          <cell r="E247">
            <v>17</v>
          </cell>
          <cell r="F247" t="str">
            <v>EL</v>
          </cell>
          <cell r="G247" t="str">
            <v>YES</v>
          </cell>
          <cell r="H247">
            <v>51</v>
          </cell>
          <cell r="I247" t="str">
            <v>F23LL</v>
          </cell>
          <cell r="J247" t="str">
            <v>2'x 2'x 3 17w lamps &amp; EL bal &amp; Refl</v>
          </cell>
        </row>
        <row r="248">
          <cell r="B248">
            <v>423</v>
          </cell>
          <cell r="C248">
            <v>22</v>
          </cell>
          <cell r="D248">
            <v>3</v>
          </cell>
          <cell r="E248">
            <v>17</v>
          </cell>
          <cell r="F248" t="str">
            <v>EL</v>
          </cell>
          <cell r="G248" t="str">
            <v>BR</v>
          </cell>
          <cell r="H248">
            <v>51</v>
          </cell>
          <cell r="I248" t="str">
            <v>F23LL</v>
          </cell>
          <cell r="J248" t="str">
            <v>2'x 2'x 3 17w lamps &amp; EL bal &amp; Brk.</v>
          </cell>
        </row>
        <row r="249">
          <cell r="B249">
            <v>425</v>
          </cell>
          <cell r="C249">
            <v>22</v>
          </cell>
          <cell r="D249">
            <v>3</v>
          </cell>
          <cell r="E249">
            <v>17</v>
          </cell>
          <cell r="F249" t="str">
            <v>EL</v>
          </cell>
          <cell r="G249" t="str">
            <v>NO</v>
          </cell>
          <cell r="H249">
            <v>51</v>
          </cell>
          <cell r="I249" t="str">
            <v>F23LL</v>
          </cell>
          <cell r="J249" t="str">
            <v>2'x 2'x 3 17w lamps &amp; EL bal</v>
          </cell>
        </row>
        <row r="250">
          <cell r="B250">
            <v>427</v>
          </cell>
          <cell r="C250">
            <v>22</v>
          </cell>
          <cell r="D250">
            <v>3</v>
          </cell>
          <cell r="E250">
            <v>20</v>
          </cell>
          <cell r="F250" t="str">
            <v>ST</v>
          </cell>
          <cell r="G250" t="str">
            <v>NO</v>
          </cell>
          <cell r="H250">
            <v>75</v>
          </cell>
          <cell r="I250" t="str">
            <v>????</v>
          </cell>
          <cell r="J250" t="str">
            <v>2'x 2'x 3 20w lamps &amp; ST bal</v>
          </cell>
        </row>
        <row r="251">
          <cell r="B251">
            <v>429</v>
          </cell>
          <cell r="C251">
            <v>22</v>
          </cell>
          <cell r="D251">
            <v>3</v>
          </cell>
          <cell r="E251">
            <v>20</v>
          </cell>
          <cell r="F251" t="str">
            <v>ES</v>
          </cell>
          <cell r="G251" t="str">
            <v>NO</v>
          </cell>
          <cell r="H251">
            <v>0</v>
          </cell>
          <cell r="I251" t="str">
            <v>????</v>
          </cell>
          <cell r="J251" t="str">
            <v>2'x 2'x 3 20w lamps &amp; ES bal</v>
          </cell>
        </row>
        <row r="252">
          <cell r="B252">
            <v>431</v>
          </cell>
          <cell r="C252">
            <v>22</v>
          </cell>
          <cell r="D252">
            <v>3</v>
          </cell>
          <cell r="E252">
            <v>31</v>
          </cell>
          <cell r="F252" t="str">
            <v>EL</v>
          </cell>
          <cell r="G252" t="str">
            <v>YES</v>
          </cell>
          <cell r="H252">
            <v>0</v>
          </cell>
          <cell r="I252" t="str">
            <v>????</v>
          </cell>
          <cell r="J252" t="str">
            <v>2'x 2'x 3 31w lamps &amp; EL bal &amp; Refl.</v>
          </cell>
        </row>
        <row r="253">
          <cell r="B253">
            <v>433</v>
          </cell>
          <cell r="C253">
            <v>22</v>
          </cell>
          <cell r="D253">
            <v>3</v>
          </cell>
          <cell r="E253">
            <v>31</v>
          </cell>
          <cell r="F253" t="str">
            <v>EL</v>
          </cell>
          <cell r="G253" t="str">
            <v>NO</v>
          </cell>
          <cell r="H253">
            <v>0</v>
          </cell>
          <cell r="I253" t="str">
            <v>????</v>
          </cell>
          <cell r="J253" t="str">
            <v>2'x 2'x 3 31w lamps &amp; EL bal</v>
          </cell>
        </row>
        <row r="254">
          <cell r="B254">
            <v>435</v>
          </cell>
          <cell r="C254">
            <v>22</v>
          </cell>
          <cell r="D254">
            <v>3</v>
          </cell>
          <cell r="E254">
            <v>40</v>
          </cell>
          <cell r="F254" t="str">
            <v>ST</v>
          </cell>
          <cell r="G254" t="str">
            <v>NO</v>
          </cell>
          <cell r="H254">
            <v>0</v>
          </cell>
          <cell r="I254" t="str">
            <v>????</v>
          </cell>
          <cell r="J254" t="str">
            <v>2'x 2'x 3 40w lamps &amp; ST bal</v>
          </cell>
        </row>
        <row r="255">
          <cell r="B255">
            <v>437</v>
          </cell>
          <cell r="C255">
            <v>22</v>
          </cell>
          <cell r="D255">
            <v>3</v>
          </cell>
          <cell r="E255">
            <v>40</v>
          </cell>
          <cell r="F255" t="str">
            <v>ES</v>
          </cell>
          <cell r="G255" t="str">
            <v>NO</v>
          </cell>
          <cell r="H255">
            <v>0</v>
          </cell>
          <cell r="I255" t="str">
            <v>????</v>
          </cell>
          <cell r="J255" t="str">
            <v>2'x 2'x 3 40w lamps &amp; ES bal</v>
          </cell>
        </row>
        <row r="256">
          <cell r="B256">
            <v>439</v>
          </cell>
          <cell r="C256">
            <v>22</v>
          </cell>
          <cell r="D256">
            <v>3</v>
          </cell>
          <cell r="E256">
            <v>34</v>
          </cell>
          <cell r="F256" t="str">
            <v>ST</v>
          </cell>
          <cell r="G256" t="str">
            <v>NO</v>
          </cell>
          <cell r="H256">
            <v>0</v>
          </cell>
          <cell r="I256" t="str">
            <v>????</v>
          </cell>
          <cell r="J256" t="str">
            <v>2'x 2'x 3 34w lamps &amp; ST bal</v>
          </cell>
        </row>
        <row r="257">
          <cell r="B257">
            <v>441</v>
          </cell>
          <cell r="C257">
            <v>22</v>
          </cell>
          <cell r="D257">
            <v>3</v>
          </cell>
          <cell r="E257">
            <v>34</v>
          </cell>
          <cell r="F257" t="str">
            <v>ES</v>
          </cell>
          <cell r="G257" t="str">
            <v>NO</v>
          </cell>
          <cell r="H257">
            <v>0</v>
          </cell>
          <cell r="I257" t="str">
            <v>????</v>
          </cell>
          <cell r="J257" t="str">
            <v>2'x 2'x 3 34w lamps &amp; ES bal</v>
          </cell>
        </row>
        <row r="258">
          <cell r="B258">
            <v>443</v>
          </cell>
          <cell r="C258">
            <v>22</v>
          </cell>
          <cell r="D258">
            <v>3</v>
          </cell>
          <cell r="E258" t="str">
            <v>40 BIAX</v>
          </cell>
          <cell r="F258" t="str">
            <v>EL</v>
          </cell>
          <cell r="G258" t="str">
            <v>YES</v>
          </cell>
          <cell r="H258">
            <v>0</v>
          </cell>
          <cell r="I258" t="str">
            <v>????</v>
          </cell>
          <cell r="J258" t="str">
            <v>2'x 2'x 3 40w biax lamps &amp; EL bal &amp; Refl.</v>
          </cell>
        </row>
        <row r="259">
          <cell r="B259">
            <v>445</v>
          </cell>
          <cell r="C259">
            <v>22</v>
          </cell>
          <cell r="D259">
            <v>3</v>
          </cell>
          <cell r="E259" t="str">
            <v>40 BIAX</v>
          </cell>
          <cell r="F259" t="str">
            <v>EL</v>
          </cell>
          <cell r="G259" t="str">
            <v>NO</v>
          </cell>
          <cell r="H259">
            <v>0</v>
          </cell>
          <cell r="I259" t="str">
            <v>????</v>
          </cell>
          <cell r="J259" t="str">
            <v>2'x 2'x 3 40w biax lamps &amp; EL bal</v>
          </cell>
        </row>
        <row r="260">
          <cell r="B260">
            <v>447</v>
          </cell>
          <cell r="C260">
            <v>22</v>
          </cell>
          <cell r="D260">
            <v>4</v>
          </cell>
          <cell r="E260">
            <v>17</v>
          </cell>
          <cell r="F260" t="str">
            <v>EL</v>
          </cell>
          <cell r="G260" t="str">
            <v>YES</v>
          </cell>
          <cell r="H260">
            <v>62</v>
          </cell>
          <cell r="I260" t="str">
            <v>????</v>
          </cell>
          <cell r="J260" t="str">
            <v>2'x 2'x 4 17w lamps &amp; EL bal &amp; Refl</v>
          </cell>
        </row>
        <row r="261">
          <cell r="B261">
            <v>449</v>
          </cell>
          <cell r="C261">
            <v>22</v>
          </cell>
          <cell r="D261">
            <v>4</v>
          </cell>
          <cell r="E261">
            <v>17</v>
          </cell>
          <cell r="F261" t="str">
            <v>EL</v>
          </cell>
          <cell r="G261" t="str">
            <v>BR</v>
          </cell>
          <cell r="H261">
            <v>62</v>
          </cell>
          <cell r="I261" t="str">
            <v>????</v>
          </cell>
          <cell r="J261" t="str">
            <v>2'x 2'x 4 17w lamps &amp; EL bal w/ bracket</v>
          </cell>
        </row>
        <row r="262">
          <cell r="B262">
            <v>451</v>
          </cell>
          <cell r="C262">
            <v>22</v>
          </cell>
          <cell r="D262">
            <v>4</v>
          </cell>
          <cell r="E262">
            <v>17</v>
          </cell>
          <cell r="F262" t="str">
            <v>EL</v>
          </cell>
          <cell r="G262" t="str">
            <v>NO</v>
          </cell>
          <cell r="H262">
            <v>62</v>
          </cell>
          <cell r="I262" t="str">
            <v>F24LL</v>
          </cell>
          <cell r="J262" t="str">
            <v>2'x 2'x 4 17w lamps &amp; EL bal</v>
          </cell>
        </row>
        <row r="263">
          <cell r="B263">
            <v>453</v>
          </cell>
          <cell r="C263">
            <v>22</v>
          </cell>
          <cell r="D263">
            <v>4</v>
          </cell>
          <cell r="E263">
            <v>20</v>
          </cell>
          <cell r="F263" t="str">
            <v>ST</v>
          </cell>
          <cell r="G263" t="str">
            <v>NO</v>
          </cell>
          <cell r="H263">
            <v>100</v>
          </cell>
          <cell r="I263" t="str">
            <v>F24SS</v>
          </cell>
          <cell r="J263" t="str">
            <v>2'x 2'x 4 20w lamps &amp; ST bal</v>
          </cell>
        </row>
        <row r="264">
          <cell r="B264">
            <v>455</v>
          </cell>
          <cell r="C264">
            <v>22</v>
          </cell>
          <cell r="D264">
            <v>4</v>
          </cell>
          <cell r="E264">
            <v>20</v>
          </cell>
          <cell r="F264" t="str">
            <v>ES</v>
          </cell>
          <cell r="G264" t="str">
            <v>NO</v>
          </cell>
          <cell r="H264">
            <v>90</v>
          </cell>
          <cell r="I264" t="str">
            <v>????</v>
          </cell>
          <cell r="J264" t="str">
            <v>2'x 2'x 4 20w lamps &amp; ES bal</v>
          </cell>
        </row>
        <row r="265">
          <cell r="B265">
            <v>457</v>
          </cell>
          <cell r="C265">
            <v>24</v>
          </cell>
          <cell r="D265">
            <v>1</v>
          </cell>
          <cell r="E265">
            <v>32</v>
          </cell>
          <cell r="F265" t="str">
            <v>EL</v>
          </cell>
          <cell r="G265" t="str">
            <v>YES</v>
          </cell>
          <cell r="H265">
            <v>30</v>
          </cell>
          <cell r="I265" t="str">
            <v>F41LL</v>
          </cell>
          <cell r="J265" t="str">
            <v>2'x 4'x 1 32w lamps &amp; EL bal &amp; Refl</v>
          </cell>
        </row>
        <row r="266">
          <cell r="B266">
            <v>459</v>
          </cell>
          <cell r="C266">
            <v>24</v>
          </cell>
          <cell r="D266">
            <v>1</v>
          </cell>
          <cell r="E266">
            <v>32</v>
          </cell>
          <cell r="F266" t="str">
            <v>EL</v>
          </cell>
          <cell r="G266" t="str">
            <v>NO</v>
          </cell>
          <cell r="H266">
            <v>30</v>
          </cell>
          <cell r="I266" t="str">
            <v>F41LL</v>
          </cell>
          <cell r="J266" t="str">
            <v>2'x 4'x 1 32w lamps &amp; EL bal</v>
          </cell>
        </row>
        <row r="267">
          <cell r="B267">
            <v>461</v>
          </cell>
          <cell r="C267">
            <v>24</v>
          </cell>
          <cell r="D267">
            <v>2</v>
          </cell>
          <cell r="E267">
            <v>32</v>
          </cell>
          <cell r="F267" t="str">
            <v>EL</v>
          </cell>
          <cell r="G267" t="str">
            <v>YES</v>
          </cell>
          <cell r="H267">
            <v>62</v>
          </cell>
          <cell r="I267" t="str">
            <v>F42LL</v>
          </cell>
          <cell r="J267" t="str">
            <v>2'x 4'x 2 32w lamps &amp; EL bal &amp; Refl</v>
          </cell>
        </row>
        <row r="268">
          <cell r="B268" t="str">
            <v>461T2</v>
          </cell>
          <cell r="C268">
            <v>24</v>
          </cell>
          <cell r="D268">
            <v>2</v>
          </cell>
          <cell r="E268">
            <v>32</v>
          </cell>
          <cell r="F268" t="str">
            <v>EL</v>
          </cell>
          <cell r="G268" t="str">
            <v>YES</v>
          </cell>
          <cell r="H268">
            <v>55</v>
          </cell>
          <cell r="I268" t="str">
            <v>F42LL/T</v>
          </cell>
          <cell r="J268" t="str">
            <v>2'x 4'x 2 32w lamps &amp; EL bal &amp; Refl &amp; tandem2</v>
          </cell>
        </row>
        <row r="269">
          <cell r="B269" t="str">
            <v>461L</v>
          </cell>
          <cell r="C269">
            <v>24</v>
          </cell>
          <cell r="D269">
            <v>2</v>
          </cell>
          <cell r="E269">
            <v>32</v>
          </cell>
          <cell r="F269" t="str">
            <v>L-EL</v>
          </cell>
          <cell r="G269" t="str">
            <v>YES</v>
          </cell>
          <cell r="H269">
            <v>52</v>
          </cell>
          <cell r="I269" t="str">
            <v>????</v>
          </cell>
          <cell r="J269" t="str">
            <v>2'x 4'x 2 32w lamps &amp; L-EL bal &amp; Refl</v>
          </cell>
        </row>
        <row r="270">
          <cell r="B270">
            <v>463</v>
          </cell>
          <cell r="C270">
            <v>24</v>
          </cell>
          <cell r="D270">
            <v>2</v>
          </cell>
          <cell r="E270">
            <v>32</v>
          </cell>
          <cell r="F270" t="str">
            <v>EL</v>
          </cell>
          <cell r="G270" t="str">
            <v>NO</v>
          </cell>
          <cell r="H270">
            <v>62</v>
          </cell>
          <cell r="I270" t="str">
            <v>F42LL</v>
          </cell>
          <cell r="J270" t="str">
            <v>2'x 4'x 2 32w lamps &amp; EL bal</v>
          </cell>
        </row>
        <row r="271">
          <cell r="B271" t="str">
            <v>463T2</v>
          </cell>
          <cell r="C271">
            <v>24</v>
          </cell>
          <cell r="D271">
            <v>2</v>
          </cell>
          <cell r="E271">
            <v>32</v>
          </cell>
          <cell r="F271" t="str">
            <v>EL</v>
          </cell>
          <cell r="G271" t="str">
            <v>NO</v>
          </cell>
          <cell r="H271">
            <v>55</v>
          </cell>
          <cell r="I271" t="str">
            <v>F42LL/T</v>
          </cell>
          <cell r="J271" t="str">
            <v>2'x 4'x 2 32w lamps &amp; EL bal Tandem2</v>
          </cell>
        </row>
        <row r="272">
          <cell r="B272" t="str">
            <v>463L</v>
          </cell>
          <cell r="C272">
            <v>24</v>
          </cell>
          <cell r="D272">
            <v>2</v>
          </cell>
          <cell r="E272">
            <v>32</v>
          </cell>
          <cell r="F272" t="str">
            <v>L-EL</v>
          </cell>
          <cell r="G272" t="str">
            <v>NO</v>
          </cell>
          <cell r="H272">
            <v>52</v>
          </cell>
          <cell r="I272" t="str">
            <v>????</v>
          </cell>
          <cell r="J272" t="str">
            <v>2'x 4'x 2 32w lamps &amp; EL L-bal</v>
          </cell>
        </row>
        <row r="273">
          <cell r="B273">
            <v>465</v>
          </cell>
          <cell r="C273">
            <v>24</v>
          </cell>
          <cell r="D273">
            <v>2</v>
          </cell>
          <cell r="E273">
            <v>32</v>
          </cell>
          <cell r="F273" t="str">
            <v>L-EL</v>
          </cell>
          <cell r="G273" t="str">
            <v>BR</v>
          </cell>
          <cell r="H273">
            <v>0</v>
          </cell>
          <cell r="I273" t="str">
            <v>????</v>
          </cell>
          <cell r="J273" t="str">
            <v>2'x 4'x 2 32w lamps w/bracket &amp; EL L-bal</v>
          </cell>
        </row>
        <row r="274">
          <cell r="B274">
            <v>467</v>
          </cell>
          <cell r="C274">
            <v>24</v>
          </cell>
          <cell r="D274">
            <v>2</v>
          </cell>
          <cell r="E274">
            <v>34</v>
          </cell>
          <cell r="F274" t="str">
            <v>ST</v>
          </cell>
          <cell r="G274" t="str">
            <v>YES</v>
          </cell>
          <cell r="H274">
            <v>82</v>
          </cell>
          <cell r="I274" t="str">
            <v>F42ES</v>
          </cell>
          <cell r="J274" t="str">
            <v>2'x 4'x 2 34w lamps &amp; ST bal &amp; Refl</v>
          </cell>
        </row>
        <row r="275">
          <cell r="B275">
            <v>469</v>
          </cell>
          <cell r="C275">
            <v>24</v>
          </cell>
          <cell r="D275">
            <v>2</v>
          </cell>
          <cell r="E275">
            <v>34</v>
          </cell>
          <cell r="F275" t="str">
            <v>ST</v>
          </cell>
          <cell r="G275" t="str">
            <v>NO</v>
          </cell>
          <cell r="H275">
            <v>82</v>
          </cell>
          <cell r="I275" t="str">
            <v>F42ES</v>
          </cell>
          <cell r="J275" t="str">
            <v>2'x 4'x 2 34w lamps &amp; ST bal</v>
          </cell>
        </row>
        <row r="276">
          <cell r="B276">
            <v>471</v>
          </cell>
          <cell r="C276">
            <v>24</v>
          </cell>
          <cell r="D276">
            <v>2</v>
          </cell>
          <cell r="E276">
            <v>34</v>
          </cell>
          <cell r="F276" t="str">
            <v>ES</v>
          </cell>
          <cell r="G276" t="str">
            <v>YES</v>
          </cell>
          <cell r="H276">
            <v>72</v>
          </cell>
          <cell r="I276" t="str">
            <v>F42EE</v>
          </cell>
          <cell r="J276" t="str">
            <v>2'x 4'x 2 34w lamps &amp; ES ba &amp; Refl</v>
          </cell>
        </row>
        <row r="277">
          <cell r="B277" t="str">
            <v>473</v>
          </cell>
          <cell r="C277">
            <v>24</v>
          </cell>
          <cell r="D277">
            <v>2</v>
          </cell>
          <cell r="E277">
            <v>34</v>
          </cell>
          <cell r="F277" t="str">
            <v>ES</v>
          </cell>
          <cell r="G277" t="str">
            <v>NO</v>
          </cell>
          <cell r="H277">
            <v>72</v>
          </cell>
          <cell r="I277" t="str">
            <v>F42EE</v>
          </cell>
          <cell r="J277" t="str">
            <v>2'x 4'x 2 34w lamps &amp; ES bal</v>
          </cell>
        </row>
        <row r="278">
          <cell r="B278">
            <v>475</v>
          </cell>
          <cell r="C278">
            <v>24</v>
          </cell>
          <cell r="D278">
            <v>2</v>
          </cell>
          <cell r="E278">
            <v>40</v>
          </cell>
          <cell r="F278" t="str">
            <v>ST</v>
          </cell>
          <cell r="G278" t="str">
            <v>YES</v>
          </cell>
          <cell r="H278">
            <v>96</v>
          </cell>
          <cell r="I278" t="str">
            <v>F42SIS</v>
          </cell>
          <cell r="J278" t="str">
            <v>2'x 4'x 2 40w lamps &amp; ST bal &amp; Refl</v>
          </cell>
        </row>
        <row r="279">
          <cell r="B279">
            <v>477</v>
          </cell>
          <cell r="C279">
            <v>24</v>
          </cell>
          <cell r="D279">
            <v>2</v>
          </cell>
          <cell r="E279">
            <v>40</v>
          </cell>
          <cell r="F279" t="str">
            <v>ST</v>
          </cell>
          <cell r="G279" t="str">
            <v>NO</v>
          </cell>
          <cell r="H279">
            <v>96</v>
          </cell>
          <cell r="I279" t="str">
            <v>F42SIS</v>
          </cell>
          <cell r="J279" t="str">
            <v>2'x 4'x 2 40w lamps &amp; ST bal</v>
          </cell>
        </row>
        <row r="280">
          <cell r="B280">
            <v>479</v>
          </cell>
          <cell r="C280">
            <v>24</v>
          </cell>
          <cell r="D280">
            <v>2</v>
          </cell>
          <cell r="E280">
            <v>40</v>
          </cell>
          <cell r="F280" t="str">
            <v>ES</v>
          </cell>
          <cell r="G280" t="str">
            <v>YES</v>
          </cell>
          <cell r="H280">
            <v>86</v>
          </cell>
          <cell r="I280" t="str">
            <v>F42SE</v>
          </cell>
          <cell r="J280" t="str">
            <v>2'x 4'x 2 40w lamps &amp; ES bal &amp; Refl</v>
          </cell>
        </row>
        <row r="281">
          <cell r="B281">
            <v>481</v>
          </cell>
          <cell r="C281">
            <v>24</v>
          </cell>
          <cell r="D281">
            <v>2</v>
          </cell>
          <cell r="E281">
            <v>40</v>
          </cell>
          <cell r="F281" t="str">
            <v>ES</v>
          </cell>
          <cell r="G281" t="str">
            <v>NO</v>
          </cell>
          <cell r="H281">
            <v>86</v>
          </cell>
          <cell r="I281" t="str">
            <v>F42SE</v>
          </cell>
          <cell r="J281" t="str">
            <v>2'x 4'x 2 40w lamps &amp; ES bal</v>
          </cell>
        </row>
        <row r="282">
          <cell r="B282">
            <v>483</v>
          </cell>
          <cell r="C282">
            <v>24</v>
          </cell>
          <cell r="D282">
            <v>3</v>
          </cell>
          <cell r="E282">
            <v>32</v>
          </cell>
          <cell r="F282" t="str">
            <v>EL</v>
          </cell>
          <cell r="G282" t="str">
            <v>YES</v>
          </cell>
          <cell r="H282">
            <v>88.5</v>
          </cell>
          <cell r="I282" t="str">
            <v>F43LL</v>
          </cell>
          <cell r="J282" t="str">
            <v>2'x 4'x 3 32w lamps &amp; EL bal &amp; Refl</v>
          </cell>
        </row>
        <row r="283">
          <cell r="B283">
            <v>485</v>
          </cell>
          <cell r="C283">
            <v>24</v>
          </cell>
          <cell r="D283">
            <v>3</v>
          </cell>
          <cell r="E283">
            <v>32</v>
          </cell>
          <cell r="F283" t="str">
            <v>EL</v>
          </cell>
          <cell r="G283" t="str">
            <v>NO</v>
          </cell>
          <cell r="H283">
            <v>88.5</v>
          </cell>
          <cell r="I283" t="str">
            <v>F43LL</v>
          </cell>
          <cell r="J283" t="str">
            <v>2'x 4'x 3 32w lamps &amp; EL bal</v>
          </cell>
        </row>
        <row r="284">
          <cell r="B284" t="str">
            <v>485L</v>
          </cell>
          <cell r="C284">
            <v>24</v>
          </cell>
          <cell r="D284">
            <v>3</v>
          </cell>
          <cell r="E284">
            <v>32</v>
          </cell>
          <cell r="F284" t="str">
            <v>L-EL</v>
          </cell>
          <cell r="G284" t="str">
            <v>NO</v>
          </cell>
          <cell r="H284">
            <v>77</v>
          </cell>
          <cell r="I284" t="str">
            <v>????</v>
          </cell>
          <cell r="J284" t="str">
            <v>2'x 4'x 3 32w lamps &amp; L-EL bal</v>
          </cell>
        </row>
        <row r="285">
          <cell r="B285">
            <v>487</v>
          </cell>
          <cell r="C285">
            <v>24</v>
          </cell>
          <cell r="D285">
            <v>3</v>
          </cell>
          <cell r="E285">
            <v>34</v>
          </cell>
          <cell r="F285" t="str">
            <v>ST</v>
          </cell>
          <cell r="G285" t="str">
            <v>YES</v>
          </cell>
          <cell r="H285">
            <v>132</v>
          </cell>
          <cell r="I285" t="str">
            <v>F43ES</v>
          </cell>
          <cell r="J285" t="str">
            <v>2'x 4'x 3 34w lamps &amp; 2 ST bal &amp; Refl</v>
          </cell>
        </row>
        <row r="286">
          <cell r="B286">
            <v>489</v>
          </cell>
          <cell r="C286">
            <v>24</v>
          </cell>
          <cell r="D286">
            <v>3</v>
          </cell>
          <cell r="E286">
            <v>34</v>
          </cell>
          <cell r="F286" t="str">
            <v>ST</v>
          </cell>
          <cell r="G286" t="str">
            <v>NO</v>
          </cell>
          <cell r="H286">
            <v>132</v>
          </cell>
          <cell r="I286" t="str">
            <v>F43ES</v>
          </cell>
          <cell r="J286" t="str">
            <v xml:space="preserve">2'x 4'x 3 34w lamps &amp; 2 ST bal </v>
          </cell>
        </row>
        <row r="287">
          <cell r="B287">
            <v>491</v>
          </cell>
          <cell r="C287">
            <v>24</v>
          </cell>
          <cell r="D287">
            <v>3</v>
          </cell>
          <cell r="E287">
            <v>34</v>
          </cell>
          <cell r="F287" t="str">
            <v>ES</v>
          </cell>
          <cell r="G287" t="str">
            <v>YES</v>
          </cell>
          <cell r="H287">
            <v>115</v>
          </cell>
          <cell r="I287" t="str">
            <v>F43EE</v>
          </cell>
          <cell r="J287" t="str">
            <v>2'x 4'x 3 34w lamps &amp; 2 ES bal &amp; Refl</v>
          </cell>
        </row>
        <row r="288">
          <cell r="B288">
            <v>493</v>
          </cell>
          <cell r="C288">
            <v>24</v>
          </cell>
          <cell r="D288">
            <v>3</v>
          </cell>
          <cell r="E288">
            <v>34</v>
          </cell>
          <cell r="F288" t="str">
            <v>ES</v>
          </cell>
          <cell r="G288" t="str">
            <v>NO</v>
          </cell>
          <cell r="H288">
            <v>115</v>
          </cell>
          <cell r="I288" t="str">
            <v>F43EE</v>
          </cell>
          <cell r="J288" t="str">
            <v>2'x 4'x 3 34w lamps &amp; 2 ES bal</v>
          </cell>
        </row>
        <row r="289">
          <cell r="B289">
            <v>495</v>
          </cell>
          <cell r="C289">
            <v>24</v>
          </cell>
          <cell r="D289">
            <v>3</v>
          </cell>
          <cell r="E289">
            <v>34</v>
          </cell>
          <cell r="F289" t="str">
            <v>EL</v>
          </cell>
          <cell r="G289" t="str">
            <v>NO</v>
          </cell>
          <cell r="H289">
            <v>90</v>
          </cell>
          <cell r="I289" t="str">
            <v>F43EL</v>
          </cell>
          <cell r="J289" t="str">
            <v>2'x 4'x 3 34w lamps &amp; EL bal</v>
          </cell>
        </row>
        <row r="290">
          <cell r="B290">
            <v>497</v>
          </cell>
          <cell r="C290">
            <v>24</v>
          </cell>
          <cell r="D290">
            <v>3</v>
          </cell>
          <cell r="E290">
            <v>40</v>
          </cell>
          <cell r="F290" t="str">
            <v>ST</v>
          </cell>
          <cell r="G290" t="str">
            <v>YES</v>
          </cell>
          <cell r="H290">
            <v>157</v>
          </cell>
          <cell r="I290" t="str">
            <v>F43SIS</v>
          </cell>
          <cell r="J290" t="str">
            <v>2'x 4'x 3 40w lamps &amp; 2 ST bal &amp; Refl</v>
          </cell>
        </row>
        <row r="291">
          <cell r="B291">
            <v>499</v>
          </cell>
          <cell r="C291">
            <v>24</v>
          </cell>
          <cell r="D291">
            <v>3</v>
          </cell>
          <cell r="E291">
            <v>40</v>
          </cell>
          <cell r="F291" t="str">
            <v>ST</v>
          </cell>
          <cell r="G291" t="str">
            <v>NO</v>
          </cell>
          <cell r="H291">
            <v>157</v>
          </cell>
          <cell r="I291" t="str">
            <v>F43SIS</v>
          </cell>
          <cell r="J291" t="str">
            <v>2'x 4'x 3 40w lamps &amp; 2 ST bal</v>
          </cell>
        </row>
        <row r="292">
          <cell r="B292">
            <v>501</v>
          </cell>
          <cell r="C292">
            <v>24</v>
          </cell>
          <cell r="D292">
            <v>3</v>
          </cell>
          <cell r="E292">
            <v>40</v>
          </cell>
          <cell r="F292" t="str">
            <v>ES</v>
          </cell>
          <cell r="G292" t="str">
            <v>YES</v>
          </cell>
          <cell r="H292">
            <v>136</v>
          </cell>
          <cell r="I292" t="str">
            <v>F43SE</v>
          </cell>
          <cell r="J292" t="str">
            <v>2'x 4'x 3 40w lamps &amp; 2 ES bal &amp; Refl</v>
          </cell>
        </row>
        <row r="293">
          <cell r="B293">
            <v>503</v>
          </cell>
          <cell r="C293">
            <v>24</v>
          </cell>
          <cell r="D293">
            <v>3</v>
          </cell>
          <cell r="E293">
            <v>40</v>
          </cell>
          <cell r="F293" t="str">
            <v>ES</v>
          </cell>
          <cell r="G293" t="str">
            <v>NO</v>
          </cell>
          <cell r="H293">
            <v>136</v>
          </cell>
          <cell r="I293" t="str">
            <v>F43SE</v>
          </cell>
          <cell r="J293" t="str">
            <v>2'x 4'x 3 40w lamps &amp; 2 ES bal</v>
          </cell>
        </row>
        <row r="294">
          <cell r="B294">
            <v>505</v>
          </cell>
          <cell r="C294">
            <v>24</v>
          </cell>
          <cell r="D294">
            <v>3</v>
          </cell>
          <cell r="E294">
            <v>40</v>
          </cell>
          <cell r="F294" t="str">
            <v>EL</v>
          </cell>
          <cell r="G294" t="str">
            <v>NO</v>
          </cell>
          <cell r="H294">
            <v>105</v>
          </cell>
          <cell r="I294" t="str">
            <v>F43SL</v>
          </cell>
          <cell r="J294" t="str">
            <v>2'x 4'x 3 40w lamps &amp; EL bal</v>
          </cell>
        </row>
        <row r="295">
          <cell r="B295">
            <v>507</v>
          </cell>
          <cell r="C295">
            <v>24</v>
          </cell>
          <cell r="D295">
            <v>4</v>
          </cell>
          <cell r="E295">
            <v>32</v>
          </cell>
          <cell r="F295" t="str">
            <v>EL</v>
          </cell>
          <cell r="G295" t="str">
            <v>YES</v>
          </cell>
          <cell r="H295">
            <v>110</v>
          </cell>
          <cell r="I295" t="str">
            <v>F44LL</v>
          </cell>
          <cell r="J295" t="str">
            <v>2'x 4'x 4 32w lamps &amp; EL bal &amp; Refl</v>
          </cell>
        </row>
        <row r="296">
          <cell r="B296">
            <v>509</v>
          </cell>
          <cell r="C296">
            <v>24</v>
          </cell>
          <cell r="D296">
            <v>4</v>
          </cell>
          <cell r="E296">
            <v>32</v>
          </cell>
          <cell r="F296" t="str">
            <v>EL</v>
          </cell>
          <cell r="G296" t="str">
            <v>NO</v>
          </cell>
          <cell r="H296">
            <v>110</v>
          </cell>
          <cell r="I296" t="str">
            <v>F44LL</v>
          </cell>
          <cell r="J296" t="str">
            <v>2'x 4'x 4 32w lamps &amp; EL bal</v>
          </cell>
        </row>
        <row r="297">
          <cell r="B297">
            <v>511</v>
          </cell>
          <cell r="C297">
            <v>24</v>
          </cell>
          <cell r="D297">
            <v>4</v>
          </cell>
          <cell r="E297">
            <v>34</v>
          </cell>
          <cell r="F297" t="str">
            <v>ST</v>
          </cell>
          <cell r="G297" t="str">
            <v>YES</v>
          </cell>
          <cell r="H297">
            <v>164</v>
          </cell>
          <cell r="I297" t="str">
            <v>F44ES</v>
          </cell>
          <cell r="J297" t="str">
            <v>2'x 4'x 4 34w lamps &amp; 2 ST bal &amp; Refl</v>
          </cell>
        </row>
        <row r="298">
          <cell r="B298" t="str">
            <v>513</v>
          </cell>
          <cell r="C298">
            <v>24</v>
          </cell>
          <cell r="D298">
            <v>4</v>
          </cell>
          <cell r="E298">
            <v>34</v>
          </cell>
          <cell r="F298" t="str">
            <v>ST</v>
          </cell>
          <cell r="G298" t="str">
            <v>NO</v>
          </cell>
          <cell r="H298">
            <v>164</v>
          </cell>
          <cell r="I298" t="str">
            <v>F44ES</v>
          </cell>
          <cell r="J298" t="str">
            <v>2'x 4'x 4 34w lamps &amp; 2 ST bal</v>
          </cell>
        </row>
        <row r="299">
          <cell r="B299">
            <v>515</v>
          </cell>
          <cell r="C299">
            <v>24</v>
          </cell>
          <cell r="D299">
            <v>4</v>
          </cell>
          <cell r="E299">
            <v>34</v>
          </cell>
          <cell r="F299" t="str">
            <v>ES</v>
          </cell>
          <cell r="G299" t="str">
            <v>YES</v>
          </cell>
          <cell r="H299">
            <v>144</v>
          </cell>
          <cell r="I299" t="str">
            <v>F44EE</v>
          </cell>
          <cell r="J299" t="str">
            <v>2'x 4'x 4 34w lamps &amp; 2 ES bal &amp; Refl</v>
          </cell>
        </row>
        <row r="300">
          <cell r="B300">
            <v>517</v>
          </cell>
          <cell r="C300">
            <v>24</v>
          </cell>
          <cell r="D300">
            <v>4</v>
          </cell>
          <cell r="E300">
            <v>34</v>
          </cell>
          <cell r="F300" t="str">
            <v>ES</v>
          </cell>
          <cell r="G300" t="str">
            <v>NO</v>
          </cell>
          <cell r="H300">
            <v>144</v>
          </cell>
          <cell r="I300" t="str">
            <v>F44EE</v>
          </cell>
          <cell r="J300" t="str">
            <v>2'x 4'x 4 34w lamps &amp; 2 ES bal</v>
          </cell>
        </row>
        <row r="301">
          <cell r="B301">
            <v>518</v>
          </cell>
          <cell r="C301">
            <v>24</v>
          </cell>
          <cell r="D301">
            <v>4</v>
          </cell>
          <cell r="E301">
            <v>34</v>
          </cell>
          <cell r="F301" t="str">
            <v>EL</v>
          </cell>
          <cell r="G301" t="str">
            <v>NO</v>
          </cell>
          <cell r="H301">
            <v>120</v>
          </cell>
          <cell r="I301" t="str">
            <v>F44EL</v>
          </cell>
          <cell r="J301" t="str">
            <v>2'x 4'x 4 34w lamps &amp; EL bal</v>
          </cell>
        </row>
        <row r="302">
          <cell r="B302">
            <v>519</v>
          </cell>
          <cell r="C302">
            <v>24</v>
          </cell>
          <cell r="D302">
            <v>4</v>
          </cell>
          <cell r="E302">
            <v>40</v>
          </cell>
          <cell r="F302" t="str">
            <v>ST</v>
          </cell>
          <cell r="G302" t="str">
            <v>YES</v>
          </cell>
          <cell r="H302">
            <v>196</v>
          </cell>
          <cell r="I302" t="str">
            <v>F44SIS</v>
          </cell>
          <cell r="J302" t="str">
            <v>2'x 4'x 4 40w lamps &amp; 2 ST bal &amp; Refl</v>
          </cell>
        </row>
        <row r="303">
          <cell r="B303">
            <v>521</v>
          </cell>
          <cell r="C303">
            <v>24</v>
          </cell>
          <cell r="D303">
            <v>4</v>
          </cell>
          <cell r="E303">
            <v>40</v>
          </cell>
          <cell r="F303" t="str">
            <v>ST</v>
          </cell>
          <cell r="G303" t="str">
            <v>NO</v>
          </cell>
          <cell r="H303">
            <v>196</v>
          </cell>
          <cell r="I303" t="str">
            <v>F44SIS</v>
          </cell>
          <cell r="J303" t="str">
            <v>2'x 4'x 4 40w lamps &amp; 2 ST bal</v>
          </cell>
        </row>
        <row r="304">
          <cell r="B304">
            <v>523</v>
          </cell>
          <cell r="C304">
            <v>24</v>
          </cell>
          <cell r="D304">
            <v>4</v>
          </cell>
          <cell r="E304">
            <v>40</v>
          </cell>
          <cell r="F304" t="str">
            <v>ES</v>
          </cell>
          <cell r="G304" t="str">
            <v>YES</v>
          </cell>
          <cell r="H304">
            <v>172</v>
          </cell>
          <cell r="I304" t="str">
            <v>F44SE</v>
          </cell>
          <cell r="J304" t="str">
            <v>2'x 4'x 4 40w lamps &amp; 2 ES bal &amp; Refl</v>
          </cell>
        </row>
        <row r="305">
          <cell r="B305">
            <v>525</v>
          </cell>
          <cell r="C305">
            <v>24</v>
          </cell>
          <cell r="D305">
            <v>4</v>
          </cell>
          <cell r="E305">
            <v>40</v>
          </cell>
          <cell r="F305" t="str">
            <v>ES</v>
          </cell>
          <cell r="G305" t="str">
            <v>NO</v>
          </cell>
          <cell r="H305">
            <v>172</v>
          </cell>
          <cell r="I305" t="str">
            <v>F44SE</v>
          </cell>
          <cell r="J305" t="str">
            <v>2'x 4'x 4 40w lamps &amp; 2 ES bal</v>
          </cell>
        </row>
        <row r="306">
          <cell r="B306">
            <v>527</v>
          </cell>
          <cell r="C306">
            <v>33</v>
          </cell>
          <cell r="D306">
            <v>2</v>
          </cell>
          <cell r="E306">
            <v>25</v>
          </cell>
          <cell r="F306" t="str">
            <v>EL</v>
          </cell>
          <cell r="G306" t="str">
            <v>YES</v>
          </cell>
          <cell r="H306">
            <v>50</v>
          </cell>
          <cell r="I306" t="str">
            <v>F32LL</v>
          </cell>
          <cell r="J306" t="str">
            <v>3'x 3'x 2 25w lamps &amp; EL bal &amp; Refl</v>
          </cell>
        </row>
        <row r="307">
          <cell r="B307">
            <v>529</v>
          </cell>
          <cell r="C307">
            <v>33</v>
          </cell>
          <cell r="D307">
            <v>2</v>
          </cell>
          <cell r="E307">
            <v>25</v>
          </cell>
          <cell r="F307" t="str">
            <v>EL</v>
          </cell>
          <cell r="G307" t="str">
            <v>NO</v>
          </cell>
          <cell r="H307">
            <v>50</v>
          </cell>
          <cell r="I307" t="str">
            <v>F32LL</v>
          </cell>
          <cell r="J307" t="str">
            <v>3'x 3'x 2 25w lamps &amp; EL bal</v>
          </cell>
        </row>
        <row r="308">
          <cell r="B308">
            <v>531</v>
          </cell>
          <cell r="C308">
            <v>33</v>
          </cell>
          <cell r="D308">
            <v>2</v>
          </cell>
          <cell r="E308">
            <v>30</v>
          </cell>
          <cell r="F308" t="str">
            <v>ST</v>
          </cell>
          <cell r="G308" t="str">
            <v>NO</v>
          </cell>
          <cell r="H308">
            <v>81</v>
          </cell>
          <cell r="I308" t="str">
            <v>F32SS</v>
          </cell>
          <cell r="J308" t="str">
            <v>3'x 3'x 2 30w lamps &amp; ST bal</v>
          </cell>
        </row>
        <row r="309">
          <cell r="B309">
            <v>533</v>
          </cell>
          <cell r="C309">
            <v>33</v>
          </cell>
          <cell r="D309">
            <v>2</v>
          </cell>
          <cell r="E309">
            <v>30</v>
          </cell>
          <cell r="F309" t="str">
            <v>ES</v>
          </cell>
          <cell r="G309" t="str">
            <v>NO</v>
          </cell>
          <cell r="H309">
            <v>74</v>
          </cell>
          <cell r="I309" t="str">
            <v>F32SE</v>
          </cell>
          <cell r="J309" t="str">
            <v>3'x 3'x 2 30w lamps &amp; ES bal</v>
          </cell>
        </row>
        <row r="310">
          <cell r="B310">
            <v>535</v>
          </cell>
          <cell r="C310">
            <v>33</v>
          </cell>
          <cell r="D310">
            <v>3</v>
          </cell>
          <cell r="E310">
            <v>25</v>
          </cell>
          <cell r="F310" t="str">
            <v>EL</v>
          </cell>
          <cell r="G310" t="str">
            <v>YES</v>
          </cell>
          <cell r="H310">
            <v>72</v>
          </cell>
          <cell r="I310" t="str">
            <v>F33EL</v>
          </cell>
          <cell r="J310" t="str">
            <v>3'x 3'x 3 25w lamps &amp; EL bal &amp; Refl</v>
          </cell>
        </row>
        <row r="311">
          <cell r="B311">
            <v>537</v>
          </cell>
          <cell r="C311">
            <v>33</v>
          </cell>
          <cell r="D311">
            <v>3</v>
          </cell>
          <cell r="E311">
            <v>25</v>
          </cell>
          <cell r="F311" t="str">
            <v>EL</v>
          </cell>
          <cell r="G311" t="str">
            <v>NO</v>
          </cell>
          <cell r="H311">
            <v>72</v>
          </cell>
          <cell r="I311" t="str">
            <v>F33EL</v>
          </cell>
          <cell r="J311" t="str">
            <v xml:space="preserve">3'x 3'x 3 25w lamps &amp; EL bal </v>
          </cell>
        </row>
        <row r="312">
          <cell r="B312">
            <v>539</v>
          </cell>
          <cell r="C312">
            <v>33</v>
          </cell>
          <cell r="D312">
            <v>3</v>
          </cell>
          <cell r="E312">
            <v>30</v>
          </cell>
          <cell r="F312" t="str">
            <v>ST</v>
          </cell>
          <cell r="G312" t="str">
            <v>NO</v>
          </cell>
          <cell r="H312">
            <v>127</v>
          </cell>
          <cell r="I312" t="str">
            <v>F33SS</v>
          </cell>
          <cell r="J312" t="str">
            <v xml:space="preserve">3'x 3'x 3 30w lamps &amp; ST bal </v>
          </cell>
        </row>
        <row r="313">
          <cell r="B313">
            <v>541</v>
          </cell>
          <cell r="C313">
            <v>33</v>
          </cell>
          <cell r="D313">
            <v>3</v>
          </cell>
          <cell r="E313">
            <v>30</v>
          </cell>
          <cell r="F313" t="str">
            <v>ES</v>
          </cell>
          <cell r="G313" t="str">
            <v>NO</v>
          </cell>
          <cell r="H313">
            <v>98</v>
          </cell>
          <cell r="I313" t="str">
            <v>????</v>
          </cell>
          <cell r="J313" t="str">
            <v xml:space="preserve">3'x 3'x 3 30w lamps &amp; ST bal </v>
          </cell>
        </row>
        <row r="314">
          <cell r="B314">
            <v>543</v>
          </cell>
          <cell r="C314">
            <v>33</v>
          </cell>
          <cell r="D314">
            <v>4</v>
          </cell>
          <cell r="E314">
            <v>25</v>
          </cell>
          <cell r="F314" t="str">
            <v>EL</v>
          </cell>
          <cell r="G314" t="str">
            <v>YES</v>
          </cell>
          <cell r="H314">
            <v>90</v>
          </cell>
          <cell r="I314" t="str">
            <v>F34LL</v>
          </cell>
          <cell r="J314" t="str">
            <v>3'x 3'x 4 25w lamps &amp; EL bal &amp; Refl</v>
          </cell>
        </row>
        <row r="315">
          <cell r="B315">
            <v>545</v>
          </cell>
          <cell r="C315">
            <v>33</v>
          </cell>
          <cell r="D315">
            <v>4</v>
          </cell>
          <cell r="E315">
            <v>25</v>
          </cell>
          <cell r="F315" t="str">
            <v>EL</v>
          </cell>
          <cell r="G315" t="str">
            <v>NO</v>
          </cell>
          <cell r="H315">
            <v>90</v>
          </cell>
          <cell r="I315" t="str">
            <v>F34LL</v>
          </cell>
          <cell r="J315" t="str">
            <v xml:space="preserve">3'x 3'x 4 25w lamps &amp; EL bal </v>
          </cell>
        </row>
        <row r="316">
          <cell r="B316">
            <v>546</v>
          </cell>
          <cell r="C316">
            <v>33</v>
          </cell>
          <cell r="D316">
            <v>6</v>
          </cell>
          <cell r="E316">
            <v>25</v>
          </cell>
          <cell r="F316" t="str">
            <v>EL</v>
          </cell>
          <cell r="G316" t="str">
            <v>NO</v>
          </cell>
          <cell r="H316">
            <v>150</v>
          </cell>
          <cell r="I316" t="str">
            <v>F36LL</v>
          </cell>
          <cell r="J316" t="str">
            <v xml:space="preserve">3'x 3'x 6 25w lamps &amp; 2 EL bal </v>
          </cell>
        </row>
        <row r="317">
          <cell r="B317">
            <v>547</v>
          </cell>
          <cell r="C317">
            <v>33</v>
          </cell>
          <cell r="D317">
            <v>4</v>
          </cell>
          <cell r="E317">
            <v>30</v>
          </cell>
          <cell r="F317" t="str">
            <v>ST</v>
          </cell>
          <cell r="G317" t="str">
            <v>NO</v>
          </cell>
          <cell r="H317">
            <v>162</v>
          </cell>
          <cell r="I317" t="str">
            <v>F34SS</v>
          </cell>
          <cell r="J317" t="str">
            <v xml:space="preserve">3'x 3'x 4 30w lamps &amp; 2 ST bal </v>
          </cell>
        </row>
        <row r="318">
          <cell r="B318">
            <v>549</v>
          </cell>
          <cell r="C318">
            <v>33</v>
          </cell>
          <cell r="D318">
            <v>4</v>
          </cell>
          <cell r="E318">
            <v>30</v>
          </cell>
          <cell r="F318" t="str">
            <v>ES</v>
          </cell>
          <cell r="G318" t="str">
            <v>NO</v>
          </cell>
          <cell r="H318">
            <v>148</v>
          </cell>
          <cell r="I318" t="str">
            <v>F34SS</v>
          </cell>
          <cell r="J318" t="str">
            <v xml:space="preserve">3'x 3'x 4 30w lamps &amp; 2 ES bal </v>
          </cell>
        </row>
        <row r="319">
          <cell r="B319">
            <v>550</v>
          </cell>
          <cell r="C319">
            <v>33</v>
          </cell>
          <cell r="D319">
            <v>6</v>
          </cell>
          <cell r="E319">
            <v>30</v>
          </cell>
          <cell r="F319" t="str">
            <v>ES</v>
          </cell>
          <cell r="G319" t="str">
            <v>NO</v>
          </cell>
          <cell r="H319">
            <v>222</v>
          </cell>
          <cell r="I319" t="str">
            <v>F36ES</v>
          </cell>
          <cell r="J319" t="str">
            <v xml:space="preserve">3'x 3'x 6 30w lamps &amp; 2 ES bal </v>
          </cell>
        </row>
        <row r="320">
          <cell r="B320">
            <v>551</v>
          </cell>
          <cell r="C320">
            <v>44</v>
          </cell>
          <cell r="D320">
            <v>2</v>
          </cell>
          <cell r="E320">
            <v>32</v>
          </cell>
          <cell r="F320" t="str">
            <v>EL</v>
          </cell>
          <cell r="G320" t="str">
            <v>YES</v>
          </cell>
          <cell r="H320">
            <v>62</v>
          </cell>
          <cell r="I320" t="str">
            <v>F42LL</v>
          </cell>
          <cell r="J320" t="str">
            <v>4'x 4'x 2 32w lamps &amp; EL bal &amp; Refl</v>
          </cell>
        </row>
        <row r="321">
          <cell r="B321">
            <v>553</v>
          </cell>
          <cell r="C321">
            <v>44</v>
          </cell>
          <cell r="D321">
            <v>2</v>
          </cell>
          <cell r="E321">
            <v>32</v>
          </cell>
          <cell r="F321" t="str">
            <v>EL</v>
          </cell>
          <cell r="G321" t="str">
            <v>NO</v>
          </cell>
          <cell r="H321">
            <v>62</v>
          </cell>
          <cell r="I321" t="str">
            <v>F42LL</v>
          </cell>
          <cell r="J321" t="str">
            <v>4'x 4'x 2 32w lamps &amp; EL bal</v>
          </cell>
        </row>
        <row r="322">
          <cell r="B322">
            <v>555</v>
          </cell>
          <cell r="C322">
            <v>44</v>
          </cell>
          <cell r="D322">
            <v>2</v>
          </cell>
          <cell r="E322">
            <v>34</v>
          </cell>
          <cell r="F322" t="str">
            <v>ST</v>
          </cell>
          <cell r="G322" t="str">
            <v>YES</v>
          </cell>
          <cell r="H322">
            <v>82</v>
          </cell>
          <cell r="I322" t="str">
            <v>F42ES</v>
          </cell>
          <cell r="J322" t="str">
            <v>4'x 4'x 2 34w lamps &amp; ST bal &amp; Refl</v>
          </cell>
        </row>
        <row r="323">
          <cell r="B323">
            <v>557</v>
          </cell>
          <cell r="C323">
            <v>44</v>
          </cell>
          <cell r="D323">
            <v>2</v>
          </cell>
          <cell r="E323">
            <v>34</v>
          </cell>
          <cell r="F323" t="str">
            <v>ST</v>
          </cell>
          <cell r="G323" t="str">
            <v>NO</v>
          </cell>
          <cell r="H323">
            <v>82</v>
          </cell>
          <cell r="I323" t="str">
            <v>F42ES</v>
          </cell>
          <cell r="J323" t="str">
            <v xml:space="preserve">4'x 4'x 2 34w lamps &amp; ST bal </v>
          </cell>
        </row>
        <row r="324">
          <cell r="B324">
            <v>559</v>
          </cell>
          <cell r="C324">
            <v>44</v>
          </cell>
          <cell r="D324">
            <v>2</v>
          </cell>
          <cell r="E324">
            <v>34</v>
          </cell>
          <cell r="F324" t="str">
            <v>ES</v>
          </cell>
          <cell r="G324" t="str">
            <v>YES</v>
          </cell>
          <cell r="H324">
            <v>72</v>
          </cell>
          <cell r="I324" t="str">
            <v>F42EE</v>
          </cell>
          <cell r="J324" t="str">
            <v>4'x 4'x 2 34w lamps &amp; ES bal &amp; Refl</v>
          </cell>
        </row>
        <row r="325">
          <cell r="B325">
            <v>561</v>
          </cell>
          <cell r="C325">
            <v>44</v>
          </cell>
          <cell r="D325">
            <v>2</v>
          </cell>
          <cell r="E325">
            <v>34</v>
          </cell>
          <cell r="F325" t="str">
            <v>ES</v>
          </cell>
          <cell r="G325" t="str">
            <v>NO</v>
          </cell>
          <cell r="H325">
            <v>72</v>
          </cell>
          <cell r="I325" t="str">
            <v>F42EE</v>
          </cell>
          <cell r="J325" t="str">
            <v xml:space="preserve">4'x 4'x 2 34w lamps &amp; ES bal </v>
          </cell>
        </row>
        <row r="326">
          <cell r="B326">
            <v>563</v>
          </cell>
          <cell r="C326">
            <v>44</v>
          </cell>
          <cell r="D326">
            <v>2</v>
          </cell>
          <cell r="E326">
            <v>40</v>
          </cell>
          <cell r="F326" t="str">
            <v>ST</v>
          </cell>
          <cell r="G326" t="str">
            <v>YES</v>
          </cell>
          <cell r="H326">
            <v>98</v>
          </cell>
          <cell r="I326" t="str">
            <v>F42SIS</v>
          </cell>
          <cell r="J326" t="str">
            <v>4'x 4'x 2 40w lamps &amp; ST bal &amp; Refl</v>
          </cell>
        </row>
        <row r="327">
          <cell r="B327">
            <v>565</v>
          </cell>
          <cell r="C327">
            <v>44</v>
          </cell>
          <cell r="D327">
            <v>2</v>
          </cell>
          <cell r="E327">
            <v>40</v>
          </cell>
          <cell r="F327" t="str">
            <v>ST</v>
          </cell>
          <cell r="G327" t="str">
            <v>NO</v>
          </cell>
          <cell r="H327">
            <v>98</v>
          </cell>
          <cell r="I327" t="str">
            <v>F42SIS</v>
          </cell>
          <cell r="J327" t="str">
            <v>4'x 4'x 2 40w lamps &amp; ST bal</v>
          </cell>
        </row>
        <row r="328">
          <cell r="B328">
            <v>567</v>
          </cell>
          <cell r="C328">
            <v>44</v>
          </cell>
          <cell r="D328">
            <v>2</v>
          </cell>
          <cell r="E328">
            <v>40</v>
          </cell>
          <cell r="F328" t="str">
            <v>ES</v>
          </cell>
          <cell r="G328" t="str">
            <v>YES</v>
          </cell>
          <cell r="H328">
            <v>86</v>
          </cell>
          <cell r="I328" t="str">
            <v>F42SE</v>
          </cell>
          <cell r="J328" t="str">
            <v>4'x 4'x 2 40w lamps &amp; ES bal &amp; Refl</v>
          </cell>
        </row>
        <row r="329">
          <cell r="B329">
            <v>569</v>
          </cell>
          <cell r="C329">
            <v>44</v>
          </cell>
          <cell r="D329">
            <v>2</v>
          </cell>
          <cell r="E329">
            <v>40</v>
          </cell>
          <cell r="F329" t="str">
            <v>ES</v>
          </cell>
          <cell r="G329" t="str">
            <v>NO</v>
          </cell>
          <cell r="H329">
            <v>86</v>
          </cell>
          <cell r="I329" t="str">
            <v>F42SE</v>
          </cell>
          <cell r="J329" t="str">
            <v xml:space="preserve">4'x 4'x 2 40w lamps &amp; ES bal </v>
          </cell>
        </row>
        <row r="330">
          <cell r="B330">
            <v>571</v>
          </cell>
          <cell r="C330">
            <v>44</v>
          </cell>
          <cell r="D330">
            <v>4</v>
          </cell>
          <cell r="E330">
            <v>32</v>
          </cell>
          <cell r="F330" t="str">
            <v>EL</v>
          </cell>
          <cell r="G330" t="str">
            <v>YES</v>
          </cell>
          <cell r="H330">
            <v>110</v>
          </cell>
          <cell r="I330" t="str">
            <v>F44LL</v>
          </cell>
          <cell r="J330" t="str">
            <v>4'x 4'x 4 32w lamps &amp; 2 EL bal &amp; Refl</v>
          </cell>
        </row>
        <row r="331">
          <cell r="B331">
            <v>573</v>
          </cell>
          <cell r="C331">
            <v>44</v>
          </cell>
          <cell r="D331">
            <v>4</v>
          </cell>
          <cell r="E331">
            <v>32</v>
          </cell>
          <cell r="F331" t="str">
            <v>EL</v>
          </cell>
          <cell r="G331" t="str">
            <v>NO</v>
          </cell>
          <cell r="H331">
            <v>110</v>
          </cell>
          <cell r="I331" t="str">
            <v>F44LL</v>
          </cell>
          <cell r="J331" t="str">
            <v xml:space="preserve">4'x 4'x 4 32w lamps &amp; 2 EL bal </v>
          </cell>
        </row>
        <row r="332">
          <cell r="B332">
            <v>575</v>
          </cell>
          <cell r="C332">
            <v>44</v>
          </cell>
          <cell r="D332">
            <v>4</v>
          </cell>
          <cell r="E332">
            <v>34</v>
          </cell>
          <cell r="F332" t="str">
            <v>ST</v>
          </cell>
          <cell r="G332" t="str">
            <v>YES</v>
          </cell>
          <cell r="H332">
            <v>164</v>
          </cell>
          <cell r="I332" t="str">
            <v>F44ES</v>
          </cell>
          <cell r="J332" t="str">
            <v>4'x 4'x 4 34w lamps &amp; 2 ST bal &amp; Refl</v>
          </cell>
        </row>
        <row r="333">
          <cell r="B333">
            <v>577</v>
          </cell>
          <cell r="C333">
            <v>44</v>
          </cell>
          <cell r="D333">
            <v>4</v>
          </cell>
          <cell r="E333">
            <v>34</v>
          </cell>
          <cell r="F333" t="str">
            <v>ST</v>
          </cell>
          <cell r="G333" t="str">
            <v>NO</v>
          </cell>
          <cell r="H333">
            <v>164</v>
          </cell>
          <cell r="I333" t="str">
            <v>F44ES</v>
          </cell>
          <cell r="J333" t="str">
            <v>4'x 4'x 4 34w lamps &amp; 2 ST bal</v>
          </cell>
        </row>
        <row r="334">
          <cell r="B334">
            <v>579</v>
          </cell>
          <cell r="C334">
            <v>44</v>
          </cell>
          <cell r="D334">
            <v>4</v>
          </cell>
          <cell r="E334">
            <v>34</v>
          </cell>
          <cell r="F334" t="str">
            <v>ES</v>
          </cell>
          <cell r="G334" t="str">
            <v>YES</v>
          </cell>
          <cell r="H334">
            <v>144</v>
          </cell>
          <cell r="I334" t="str">
            <v>F44EE</v>
          </cell>
          <cell r="J334" t="str">
            <v>4'x 4'x 4 34w lamps &amp; 2 ES bal &amp; Refl</v>
          </cell>
        </row>
        <row r="335">
          <cell r="B335">
            <v>581</v>
          </cell>
          <cell r="C335">
            <v>44</v>
          </cell>
          <cell r="D335">
            <v>4</v>
          </cell>
          <cell r="E335">
            <v>34</v>
          </cell>
          <cell r="F335" t="str">
            <v>ES</v>
          </cell>
          <cell r="G335" t="str">
            <v>NO</v>
          </cell>
          <cell r="H335">
            <v>144</v>
          </cell>
          <cell r="I335" t="str">
            <v>F44EE</v>
          </cell>
          <cell r="J335" t="str">
            <v xml:space="preserve">4'x 4'x 4 34w lamps &amp; 2 ES bal </v>
          </cell>
        </row>
        <row r="336">
          <cell r="B336">
            <v>583</v>
          </cell>
          <cell r="C336">
            <v>44</v>
          </cell>
          <cell r="D336">
            <v>4</v>
          </cell>
          <cell r="E336">
            <v>40</v>
          </cell>
          <cell r="F336" t="str">
            <v>ST</v>
          </cell>
          <cell r="G336" t="str">
            <v>YES</v>
          </cell>
          <cell r="H336">
            <v>192</v>
          </cell>
          <cell r="I336" t="str">
            <v>F44SS</v>
          </cell>
          <cell r="J336" t="str">
            <v>4'x 4'x 4 40w lamps &amp; 2 ST bal &amp; Refl</v>
          </cell>
        </row>
        <row r="337">
          <cell r="B337">
            <v>585</v>
          </cell>
          <cell r="C337">
            <v>44</v>
          </cell>
          <cell r="D337">
            <v>4</v>
          </cell>
          <cell r="E337">
            <v>40</v>
          </cell>
          <cell r="F337" t="str">
            <v>ST</v>
          </cell>
          <cell r="G337" t="str">
            <v>NO</v>
          </cell>
          <cell r="H337">
            <v>192</v>
          </cell>
          <cell r="I337" t="str">
            <v>F44SS</v>
          </cell>
          <cell r="J337" t="str">
            <v>4'x 4'x 4 40w lamps &amp; 2 ST bal</v>
          </cell>
        </row>
        <row r="338">
          <cell r="B338">
            <v>587</v>
          </cell>
          <cell r="C338">
            <v>44</v>
          </cell>
          <cell r="D338">
            <v>4</v>
          </cell>
          <cell r="E338">
            <v>40</v>
          </cell>
          <cell r="F338" t="str">
            <v>ES</v>
          </cell>
          <cell r="G338" t="str">
            <v>YES</v>
          </cell>
          <cell r="H338">
            <v>172</v>
          </cell>
          <cell r="I338" t="str">
            <v>F44SE</v>
          </cell>
          <cell r="J338" t="str">
            <v>4'x 4'x 4 40w lamps &amp; 2 ES bal &amp; Refl</v>
          </cell>
        </row>
        <row r="339">
          <cell r="B339">
            <v>589</v>
          </cell>
          <cell r="C339">
            <v>44</v>
          </cell>
          <cell r="D339">
            <v>4</v>
          </cell>
          <cell r="E339">
            <v>40</v>
          </cell>
          <cell r="F339" t="str">
            <v>ES</v>
          </cell>
          <cell r="G339" t="str">
            <v>NO</v>
          </cell>
          <cell r="H339">
            <v>172</v>
          </cell>
          <cell r="I339" t="str">
            <v>F44SE</v>
          </cell>
          <cell r="J339" t="str">
            <v xml:space="preserve">4'x 4'x 4 40w lamps &amp; 2 ES bal </v>
          </cell>
        </row>
        <row r="340">
          <cell r="B340">
            <v>591</v>
          </cell>
          <cell r="C340">
            <v>44</v>
          </cell>
          <cell r="D340">
            <v>6</v>
          </cell>
          <cell r="E340">
            <v>32</v>
          </cell>
          <cell r="F340" t="str">
            <v>EL</v>
          </cell>
          <cell r="G340" t="str">
            <v>YES</v>
          </cell>
          <cell r="H340">
            <v>160</v>
          </cell>
          <cell r="I340" t="str">
            <v>????</v>
          </cell>
          <cell r="J340" t="str">
            <v>4'x 4'x 6 32w lamps &amp; 2 EL bal &amp; Refl</v>
          </cell>
        </row>
        <row r="341">
          <cell r="B341">
            <v>593</v>
          </cell>
          <cell r="C341">
            <v>44</v>
          </cell>
          <cell r="D341">
            <v>6</v>
          </cell>
          <cell r="E341">
            <v>32</v>
          </cell>
          <cell r="F341" t="str">
            <v>EL</v>
          </cell>
          <cell r="G341" t="str">
            <v>NO</v>
          </cell>
          <cell r="H341">
            <v>160</v>
          </cell>
          <cell r="I341" t="str">
            <v>F46LL</v>
          </cell>
          <cell r="J341" t="str">
            <v xml:space="preserve">4'x 4'x 6 32w lamps &amp; 2 EL bal </v>
          </cell>
        </row>
        <row r="342">
          <cell r="B342">
            <v>595</v>
          </cell>
          <cell r="C342">
            <v>44</v>
          </cell>
          <cell r="D342">
            <v>6</v>
          </cell>
          <cell r="E342">
            <v>34</v>
          </cell>
          <cell r="F342" t="str">
            <v>ST</v>
          </cell>
          <cell r="G342" t="str">
            <v>YES</v>
          </cell>
          <cell r="H342">
            <v>246</v>
          </cell>
          <cell r="I342" t="str">
            <v>F46ES</v>
          </cell>
          <cell r="J342" t="str">
            <v>4'x 4'x 6 34w lamps &amp; 2 ST bal &amp; Refl</v>
          </cell>
        </row>
        <row r="343">
          <cell r="B343">
            <v>597</v>
          </cell>
          <cell r="C343">
            <v>44</v>
          </cell>
          <cell r="D343">
            <v>6</v>
          </cell>
          <cell r="E343">
            <v>34</v>
          </cell>
          <cell r="F343" t="str">
            <v>ST</v>
          </cell>
          <cell r="G343" t="str">
            <v>NO</v>
          </cell>
          <cell r="H343">
            <v>246</v>
          </cell>
          <cell r="I343" t="str">
            <v>F46ES</v>
          </cell>
          <cell r="J343" t="str">
            <v xml:space="preserve">4'x 4'x 6 34w lamps &amp; 2 ST bal </v>
          </cell>
        </row>
        <row r="344">
          <cell r="B344">
            <v>599</v>
          </cell>
          <cell r="C344">
            <v>44</v>
          </cell>
          <cell r="D344">
            <v>6</v>
          </cell>
          <cell r="E344">
            <v>34</v>
          </cell>
          <cell r="F344" t="str">
            <v>ES</v>
          </cell>
          <cell r="G344" t="str">
            <v>YES</v>
          </cell>
          <cell r="H344">
            <v>216</v>
          </cell>
          <cell r="I344" t="str">
            <v>F46EE</v>
          </cell>
          <cell r="J344" t="str">
            <v>4'x 4'x 6 34w lamps &amp; 2 ES bal &amp; Refl</v>
          </cell>
        </row>
        <row r="345">
          <cell r="B345">
            <v>601</v>
          </cell>
          <cell r="C345">
            <v>44</v>
          </cell>
          <cell r="D345">
            <v>6</v>
          </cell>
          <cell r="E345">
            <v>34</v>
          </cell>
          <cell r="F345" t="str">
            <v>ES</v>
          </cell>
          <cell r="G345" t="str">
            <v>NO</v>
          </cell>
          <cell r="H345">
            <v>216</v>
          </cell>
          <cell r="I345" t="str">
            <v>F46EE</v>
          </cell>
          <cell r="J345" t="str">
            <v xml:space="preserve">4'x 4'x 6 34w lamps &amp; 2 ES bal </v>
          </cell>
        </row>
        <row r="346">
          <cell r="B346">
            <v>603</v>
          </cell>
          <cell r="C346">
            <v>44</v>
          </cell>
          <cell r="D346">
            <v>6</v>
          </cell>
          <cell r="E346">
            <v>40</v>
          </cell>
          <cell r="F346" t="str">
            <v>ST</v>
          </cell>
          <cell r="G346" t="str">
            <v>YES</v>
          </cell>
          <cell r="H346">
            <v>288</v>
          </cell>
          <cell r="I346" t="str">
            <v>F46SS</v>
          </cell>
          <cell r="J346" t="str">
            <v>4'x 4'x 6 40w lamps &amp; 3 ST bal &amp; Refl</v>
          </cell>
        </row>
        <row r="347">
          <cell r="B347">
            <v>605</v>
          </cell>
          <cell r="C347">
            <v>44</v>
          </cell>
          <cell r="D347">
            <v>6</v>
          </cell>
          <cell r="E347">
            <v>40</v>
          </cell>
          <cell r="F347" t="str">
            <v>ST</v>
          </cell>
          <cell r="G347" t="str">
            <v>NO</v>
          </cell>
          <cell r="H347">
            <v>288</v>
          </cell>
          <cell r="I347" t="str">
            <v>F46SS</v>
          </cell>
          <cell r="J347" t="str">
            <v xml:space="preserve">4'x 4'x 6 40w lamps &amp; 3 ST bal </v>
          </cell>
        </row>
        <row r="348">
          <cell r="B348">
            <v>607</v>
          </cell>
          <cell r="C348">
            <v>44</v>
          </cell>
          <cell r="D348">
            <v>6</v>
          </cell>
          <cell r="E348">
            <v>40</v>
          </cell>
          <cell r="F348" t="str">
            <v>ES</v>
          </cell>
          <cell r="G348" t="str">
            <v>YES</v>
          </cell>
          <cell r="H348">
            <v>258</v>
          </cell>
          <cell r="I348" t="str">
            <v>F46SE</v>
          </cell>
          <cell r="J348" t="str">
            <v>4'x 4'x 6 40w lamps &amp; 3 ES bal &amp; Refl</v>
          </cell>
        </row>
        <row r="349">
          <cell r="B349">
            <v>609</v>
          </cell>
          <cell r="C349">
            <v>44</v>
          </cell>
          <cell r="D349">
            <v>6</v>
          </cell>
          <cell r="E349">
            <v>40</v>
          </cell>
          <cell r="F349" t="str">
            <v>ES</v>
          </cell>
          <cell r="G349" t="str">
            <v>NO</v>
          </cell>
          <cell r="H349">
            <v>258</v>
          </cell>
          <cell r="I349" t="str">
            <v>F46SE</v>
          </cell>
          <cell r="J349" t="str">
            <v xml:space="preserve">4'x 4'x 6 40w lamps &amp; 3 ES bal </v>
          </cell>
        </row>
        <row r="350">
          <cell r="B350">
            <v>611</v>
          </cell>
          <cell r="C350">
            <v>44</v>
          </cell>
          <cell r="D350">
            <v>8</v>
          </cell>
          <cell r="E350">
            <v>32</v>
          </cell>
          <cell r="F350" t="str">
            <v>EL</v>
          </cell>
          <cell r="G350" t="str">
            <v>YES</v>
          </cell>
          <cell r="H350">
            <v>0</v>
          </cell>
          <cell r="I350" t="str">
            <v>????</v>
          </cell>
          <cell r="J350" t="str">
            <v>4'x 4'x 8 32w lamps &amp; 2 EL bal &amp; Refl</v>
          </cell>
        </row>
        <row r="351">
          <cell r="B351">
            <v>613</v>
          </cell>
          <cell r="C351">
            <v>44</v>
          </cell>
          <cell r="D351">
            <v>8</v>
          </cell>
          <cell r="E351">
            <v>32</v>
          </cell>
          <cell r="F351" t="str">
            <v>EL</v>
          </cell>
          <cell r="G351" t="str">
            <v>NO</v>
          </cell>
          <cell r="H351">
            <v>0</v>
          </cell>
          <cell r="I351" t="str">
            <v>????</v>
          </cell>
          <cell r="J351" t="str">
            <v xml:space="preserve">4'x 4'x 8 32w lamps &amp; 2 EL bal </v>
          </cell>
        </row>
        <row r="352">
          <cell r="B352">
            <v>615</v>
          </cell>
          <cell r="C352">
            <v>44</v>
          </cell>
          <cell r="D352">
            <v>8</v>
          </cell>
          <cell r="E352">
            <v>34</v>
          </cell>
          <cell r="F352" t="str">
            <v>ST</v>
          </cell>
          <cell r="G352" t="str">
            <v>YES</v>
          </cell>
          <cell r="H352">
            <v>328</v>
          </cell>
          <cell r="I352" t="str">
            <v>????</v>
          </cell>
          <cell r="J352" t="str">
            <v>4'x 4'x 8 34w lamps &amp; 4 ST bal &amp; Refl</v>
          </cell>
        </row>
        <row r="353">
          <cell r="B353">
            <v>617</v>
          </cell>
          <cell r="C353">
            <v>44</v>
          </cell>
          <cell r="D353">
            <v>8</v>
          </cell>
          <cell r="E353">
            <v>34</v>
          </cell>
          <cell r="F353" t="str">
            <v>ST</v>
          </cell>
          <cell r="G353" t="str">
            <v>NO</v>
          </cell>
          <cell r="H353">
            <v>328</v>
          </cell>
          <cell r="I353" t="str">
            <v>????</v>
          </cell>
          <cell r="J353" t="str">
            <v xml:space="preserve">4'x 4'x 8 34w lamps &amp; 4 ST bal </v>
          </cell>
        </row>
        <row r="354">
          <cell r="B354">
            <v>619</v>
          </cell>
          <cell r="C354">
            <v>44</v>
          </cell>
          <cell r="D354">
            <v>8</v>
          </cell>
          <cell r="E354">
            <v>34</v>
          </cell>
          <cell r="F354" t="str">
            <v>ES</v>
          </cell>
          <cell r="G354" t="str">
            <v>YES</v>
          </cell>
          <cell r="H354">
            <v>288</v>
          </cell>
          <cell r="I354" t="str">
            <v>????</v>
          </cell>
          <cell r="J354" t="str">
            <v>4'x 4'x 8 34w lamps &amp; 4 ES bal &amp; Refl</v>
          </cell>
        </row>
        <row r="355">
          <cell r="B355">
            <v>621</v>
          </cell>
          <cell r="C355">
            <v>44</v>
          </cell>
          <cell r="D355">
            <v>8</v>
          </cell>
          <cell r="E355">
            <v>34</v>
          </cell>
          <cell r="F355" t="str">
            <v>ES</v>
          </cell>
          <cell r="G355" t="str">
            <v>NO</v>
          </cell>
          <cell r="H355">
            <v>288</v>
          </cell>
          <cell r="I355" t="str">
            <v>????</v>
          </cell>
          <cell r="J355" t="str">
            <v xml:space="preserve">4'x 4'x 8 34w lamps &amp; 4 ES bal </v>
          </cell>
        </row>
        <row r="356">
          <cell r="B356">
            <v>623</v>
          </cell>
          <cell r="C356">
            <v>44</v>
          </cell>
          <cell r="D356">
            <v>8</v>
          </cell>
          <cell r="E356">
            <v>40</v>
          </cell>
          <cell r="F356" t="str">
            <v>ST</v>
          </cell>
          <cell r="G356" t="str">
            <v>YES</v>
          </cell>
          <cell r="H356">
            <v>384</v>
          </cell>
          <cell r="I356" t="str">
            <v>????</v>
          </cell>
          <cell r="J356" t="str">
            <v>4'x 4'x 8 40w lamps &amp; 4 ST bal &amp; Refl</v>
          </cell>
        </row>
        <row r="357">
          <cell r="B357">
            <v>625</v>
          </cell>
          <cell r="C357">
            <v>44</v>
          </cell>
          <cell r="D357">
            <v>8</v>
          </cell>
          <cell r="E357">
            <v>40</v>
          </cell>
          <cell r="F357" t="str">
            <v>ST</v>
          </cell>
          <cell r="G357" t="str">
            <v>NO</v>
          </cell>
          <cell r="H357">
            <v>384</v>
          </cell>
          <cell r="I357" t="str">
            <v>????</v>
          </cell>
          <cell r="J357" t="str">
            <v xml:space="preserve">4'x 4'x 8 40w lamps &amp; 4 ST bal </v>
          </cell>
        </row>
        <row r="358">
          <cell r="B358">
            <v>627</v>
          </cell>
          <cell r="C358">
            <v>44</v>
          </cell>
          <cell r="D358">
            <v>8</v>
          </cell>
          <cell r="E358">
            <v>40</v>
          </cell>
          <cell r="F358" t="str">
            <v>ES</v>
          </cell>
          <cell r="G358" t="str">
            <v>YES</v>
          </cell>
          <cell r="H358">
            <v>0</v>
          </cell>
          <cell r="I358" t="str">
            <v>????</v>
          </cell>
          <cell r="J358" t="str">
            <v>4'x 4'x 8 40w lamps &amp; 4 ES bal &amp; Refl</v>
          </cell>
        </row>
        <row r="359">
          <cell r="B359">
            <v>629</v>
          </cell>
          <cell r="C359">
            <v>44</v>
          </cell>
          <cell r="D359">
            <v>8</v>
          </cell>
          <cell r="E359">
            <v>40</v>
          </cell>
          <cell r="F359" t="str">
            <v>ES</v>
          </cell>
          <cell r="G359" t="str">
            <v>NO</v>
          </cell>
          <cell r="H359">
            <v>0</v>
          </cell>
          <cell r="I359" t="str">
            <v>????</v>
          </cell>
          <cell r="J359" t="str">
            <v xml:space="preserve">4'x 4'x 8 40w lamps &amp; 4 ES bal </v>
          </cell>
        </row>
        <row r="360">
          <cell r="B360">
            <v>631</v>
          </cell>
          <cell r="C360">
            <v>66</v>
          </cell>
          <cell r="D360">
            <v>2</v>
          </cell>
          <cell r="E360">
            <v>32</v>
          </cell>
          <cell r="F360" t="str">
            <v>EL</v>
          </cell>
          <cell r="G360" t="str">
            <v>YES</v>
          </cell>
          <cell r="H360">
            <v>0</v>
          </cell>
          <cell r="I360" t="str">
            <v>????</v>
          </cell>
        </row>
        <row r="361">
          <cell r="B361">
            <v>633</v>
          </cell>
          <cell r="C361">
            <v>66</v>
          </cell>
          <cell r="D361">
            <v>2</v>
          </cell>
          <cell r="E361">
            <v>32</v>
          </cell>
          <cell r="F361" t="str">
            <v>EL</v>
          </cell>
          <cell r="G361" t="str">
            <v>NO</v>
          </cell>
          <cell r="H361">
            <v>0</v>
          </cell>
          <cell r="I361" t="str">
            <v>????</v>
          </cell>
        </row>
        <row r="362">
          <cell r="B362">
            <v>635</v>
          </cell>
          <cell r="C362">
            <v>66</v>
          </cell>
          <cell r="D362">
            <v>2</v>
          </cell>
          <cell r="E362">
            <v>34</v>
          </cell>
          <cell r="F362" t="str">
            <v>ST</v>
          </cell>
          <cell r="G362" t="str">
            <v>NO</v>
          </cell>
          <cell r="H362">
            <v>0</v>
          </cell>
          <cell r="I362" t="str">
            <v>????</v>
          </cell>
        </row>
        <row r="363">
          <cell r="B363">
            <v>637</v>
          </cell>
          <cell r="C363">
            <v>66</v>
          </cell>
          <cell r="D363">
            <v>2</v>
          </cell>
          <cell r="E363">
            <v>34</v>
          </cell>
          <cell r="F363" t="str">
            <v>ES</v>
          </cell>
          <cell r="G363" t="str">
            <v>NO</v>
          </cell>
          <cell r="H363">
            <v>0</v>
          </cell>
          <cell r="I363" t="str">
            <v>????</v>
          </cell>
        </row>
        <row r="364">
          <cell r="B364">
            <v>639</v>
          </cell>
          <cell r="C364">
            <v>66</v>
          </cell>
          <cell r="D364">
            <v>2</v>
          </cell>
          <cell r="E364">
            <v>40</v>
          </cell>
          <cell r="F364" t="str">
            <v>ST</v>
          </cell>
          <cell r="G364" t="str">
            <v>NO</v>
          </cell>
          <cell r="H364">
            <v>0</v>
          </cell>
          <cell r="I364" t="str">
            <v>????</v>
          </cell>
        </row>
        <row r="365">
          <cell r="B365">
            <v>641</v>
          </cell>
          <cell r="C365">
            <v>66</v>
          </cell>
          <cell r="D365">
            <v>2</v>
          </cell>
          <cell r="E365">
            <v>40</v>
          </cell>
          <cell r="F365" t="str">
            <v>ES</v>
          </cell>
          <cell r="G365" t="str">
            <v>NO</v>
          </cell>
          <cell r="H365">
            <v>0</v>
          </cell>
          <cell r="I365" t="str">
            <v>????</v>
          </cell>
        </row>
        <row r="366">
          <cell r="B366">
            <v>643</v>
          </cell>
          <cell r="C366">
            <v>66</v>
          </cell>
          <cell r="D366">
            <v>4</v>
          </cell>
          <cell r="E366">
            <v>32</v>
          </cell>
          <cell r="F366" t="str">
            <v>EL</v>
          </cell>
          <cell r="G366" t="str">
            <v>YES</v>
          </cell>
          <cell r="H366">
            <v>0</v>
          </cell>
          <cell r="I366" t="str">
            <v>????</v>
          </cell>
        </row>
        <row r="367">
          <cell r="B367">
            <v>645</v>
          </cell>
          <cell r="C367">
            <v>66</v>
          </cell>
          <cell r="D367">
            <v>4</v>
          </cell>
          <cell r="E367">
            <v>32</v>
          </cell>
          <cell r="F367" t="str">
            <v>EL</v>
          </cell>
          <cell r="G367" t="str">
            <v>NO</v>
          </cell>
          <cell r="H367">
            <v>0</v>
          </cell>
          <cell r="I367" t="str">
            <v>????</v>
          </cell>
        </row>
        <row r="368">
          <cell r="B368">
            <v>647</v>
          </cell>
          <cell r="C368">
            <v>66</v>
          </cell>
          <cell r="D368">
            <v>4</v>
          </cell>
          <cell r="E368">
            <v>34</v>
          </cell>
          <cell r="F368" t="str">
            <v>ST</v>
          </cell>
          <cell r="G368" t="str">
            <v>NO</v>
          </cell>
          <cell r="H368">
            <v>0</v>
          </cell>
          <cell r="I368" t="str">
            <v>????</v>
          </cell>
        </row>
        <row r="369">
          <cell r="B369">
            <v>649</v>
          </cell>
          <cell r="C369">
            <v>66</v>
          </cell>
          <cell r="D369">
            <v>4</v>
          </cell>
          <cell r="E369">
            <v>34</v>
          </cell>
          <cell r="F369" t="str">
            <v>ES</v>
          </cell>
          <cell r="G369" t="str">
            <v>NO</v>
          </cell>
          <cell r="H369">
            <v>0</v>
          </cell>
          <cell r="I369" t="str">
            <v>????</v>
          </cell>
        </row>
        <row r="370">
          <cell r="B370">
            <v>651</v>
          </cell>
          <cell r="C370">
            <v>66</v>
          </cell>
          <cell r="D370">
            <v>4</v>
          </cell>
          <cell r="E370">
            <v>40</v>
          </cell>
          <cell r="F370" t="str">
            <v>ST</v>
          </cell>
          <cell r="G370" t="str">
            <v>NO</v>
          </cell>
          <cell r="H370">
            <v>0</v>
          </cell>
          <cell r="I370" t="str">
            <v>????</v>
          </cell>
        </row>
        <row r="371">
          <cell r="B371">
            <v>653</v>
          </cell>
          <cell r="C371">
            <v>66</v>
          </cell>
          <cell r="D371">
            <v>4</v>
          </cell>
          <cell r="E371">
            <v>40</v>
          </cell>
          <cell r="F371" t="str">
            <v>ES</v>
          </cell>
          <cell r="G371" t="str">
            <v>NO</v>
          </cell>
          <cell r="H371">
            <v>0</v>
          </cell>
          <cell r="I371" t="str">
            <v>????</v>
          </cell>
        </row>
        <row r="372">
          <cell r="B372">
            <v>655</v>
          </cell>
          <cell r="C372">
            <v>66</v>
          </cell>
          <cell r="D372">
            <v>6</v>
          </cell>
          <cell r="E372">
            <v>32</v>
          </cell>
          <cell r="F372" t="str">
            <v>EL</v>
          </cell>
          <cell r="G372" t="str">
            <v>YES</v>
          </cell>
          <cell r="H372">
            <v>0</v>
          </cell>
          <cell r="I372" t="str">
            <v>????</v>
          </cell>
        </row>
        <row r="373">
          <cell r="B373">
            <v>657</v>
          </cell>
          <cell r="C373">
            <v>66</v>
          </cell>
          <cell r="D373">
            <v>6</v>
          </cell>
          <cell r="E373">
            <v>32</v>
          </cell>
          <cell r="F373" t="str">
            <v>EL</v>
          </cell>
          <cell r="G373" t="str">
            <v>NO</v>
          </cell>
          <cell r="H373">
            <v>0</v>
          </cell>
          <cell r="I373" t="str">
            <v>????</v>
          </cell>
        </row>
        <row r="374">
          <cell r="B374">
            <v>659</v>
          </cell>
          <cell r="C374">
            <v>66</v>
          </cell>
          <cell r="D374">
            <v>6</v>
          </cell>
          <cell r="E374">
            <v>34</v>
          </cell>
          <cell r="F374" t="str">
            <v>ST</v>
          </cell>
          <cell r="G374" t="str">
            <v>NO</v>
          </cell>
          <cell r="H374">
            <v>0</v>
          </cell>
          <cell r="I374" t="str">
            <v>????</v>
          </cell>
        </row>
        <row r="375">
          <cell r="B375">
            <v>661</v>
          </cell>
          <cell r="C375">
            <v>66</v>
          </cell>
          <cell r="D375">
            <v>6</v>
          </cell>
          <cell r="E375">
            <v>34</v>
          </cell>
          <cell r="F375" t="str">
            <v>ES</v>
          </cell>
          <cell r="G375" t="str">
            <v>NO</v>
          </cell>
          <cell r="H375">
            <v>0</v>
          </cell>
          <cell r="I375" t="str">
            <v>????</v>
          </cell>
        </row>
        <row r="376">
          <cell r="B376">
            <v>663</v>
          </cell>
          <cell r="C376">
            <v>66</v>
          </cell>
          <cell r="D376">
            <v>6</v>
          </cell>
          <cell r="E376">
            <v>40</v>
          </cell>
          <cell r="F376" t="str">
            <v>ST</v>
          </cell>
          <cell r="G376" t="str">
            <v>NO</v>
          </cell>
          <cell r="H376">
            <v>258</v>
          </cell>
          <cell r="I376" t="str">
            <v>????</v>
          </cell>
          <cell r="J376" t="str">
            <v xml:space="preserve">6'x 6'x 6 40w lamps &amp; 3 ST bal </v>
          </cell>
        </row>
        <row r="377">
          <cell r="B377">
            <v>665</v>
          </cell>
          <cell r="C377">
            <v>66</v>
          </cell>
          <cell r="D377">
            <v>6</v>
          </cell>
          <cell r="E377">
            <v>40</v>
          </cell>
          <cell r="F377" t="str">
            <v>ES</v>
          </cell>
          <cell r="G377" t="str">
            <v>NO</v>
          </cell>
          <cell r="H377">
            <v>0</v>
          </cell>
          <cell r="I377" t="str">
            <v>????</v>
          </cell>
          <cell r="J377" t="str">
            <v xml:space="preserve">6'x 6'x 6 40w lamps &amp; 3 ES bal </v>
          </cell>
        </row>
        <row r="378">
          <cell r="B378">
            <v>667</v>
          </cell>
          <cell r="C378">
            <v>66</v>
          </cell>
          <cell r="D378">
            <v>8</v>
          </cell>
          <cell r="E378">
            <v>32</v>
          </cell>
          <cell r="F378" t="str">
            <v>EL</v>
          </cell>
          <cell r="G378" t="str">
            <v>SI</v>
          </cell>
          <cell r="H378">
            <v>0</v>
          </cell>
          <cell r="I378" t="str">
            <v>????</v>
          </cell>
          <cell r="J378" t="str">
            <v>6'x 6'x 8 32w lamps &amp; 2 EL bal &amp;SI</v>
          </cell>
        </row>
        <row r="379">
          <cell r="B379">
            <v>669</v>
          </cell>
          <cell r="C379">
            <v>66</v>
          </cell>
          <cell r="D379">
            <v>8</v>
          </cell>
          <cell r="E379">
            <v>32</v>
          </cell>
          <cell r="F379" t="str">
            <v>EL</v>
          </cell>
          <cell r="G379" t="str">
            <v>NO</v>
          </cell>
          <cell r="H379">
            <v>0</v>
          </cell>
          <cell r="I379" t="str">
            <v>????</v>
          </cell>
          <cell r="J379" t="str">
            <v>6'x 6'x 8 32w lamps &amp; 2 EL bal</v>
          </cell>
        </row>
        <row r="380">
          <cell r="B380">
            <v>671</v>
          </cell>
          <cell r="C380">
            <v>66</v>
          </cell>
          <cell r="D380">
            <v>8</v>
          </cell>
          <cell r="E380">
            <v>34</v>
          </cell>
          <cell r="F380" t="str">
            <v>ST</v>
          </cell>
          <cell r="G380" t="str">
            <v>NO</v>
          </cell>
          <cell r="H380">
            <v>0</v>
          </cell>
          <cell r="I380" t="str">
            <v>????</v>
          </cell>
          <cell r="J380" t="str">
            <v>6'x 6'x 8 34w lamps &amp; 3 ST bal</v>
          </cell>
        </row>
        <row r="381">
          <cell r="B381">
            <v>673</v>
          </cell>
          <cell r="C381">
            <v>66</v>
          </cell>
          <cell r="D381">
            <v>8</v>
          </cell>
          <cell r="E381">
            <v>34</v>
          </cell>
          <cell r="F381" t="str">
            <v>ES</v>
          </cell>
          <cell r="G381" t="str">
            <v>NO</v>
          </cell>
          <cell r="H381">
            <v>0</v>
          </cell>
          <cell r="I381" t="str">
            <v>????</v>
          </cell>
          <cell r="J381" t="str">
            <v>6'x 6'x 8 34w lamps &amp; 3 ES bal</v>
          </cell>
        </row>
        <row r="382">
          <cell r="B382">
            <v>675</v>
          </cell>
          <cell r="C382">
            <v>66</v>
          </cell>
          <cell r="D382">
            <v>8</v>
          </cell>
          <cell r="E382">
            <v>40</v>
          </cell>
          <cell r="F382" t="str">
            <v>ST</v>
          </cell>
          <cell r="G382" t="str">
            <v>NO</v>
          </cell>
          <cell r="H382">
            <v>0</v>
          </cell>
          <cell r="I382" t="str">
            <v>????</v>
          </cell>
          <cell r="J382" t="str">
            <v>6'x 6'x 8 40w lamps &amp; 3 ST bal</v>
          </cell>
        </row>
        <row r="383">
          <cell r="B383">
            <v>677</v>
          </cell>
          <cell r="C383">
            <v>66</v>
          </cell>
          <cell r="D383">
            <v>8</v>
          </cell>
          <cell r="E383">
            <v>40</v>
          </cell>
          <cell r="F383" t="str">
            <v>ES</v>
          </cell>
          <cell r="G383" t="str">
            <v>NO</v>
          </cell>
          <cell r="H383">
            <v>0</v>
          </cell>
          <cell r="I383" t="str">
            <v>????</v>
          </cell>
          <cell r="J383" t="str">
            <v>6'x 6'x 8 40w lamps &amp; 3 ES bal</v>
          </cell>
        </row>
        <row r="384">
          <cell r="B384">
            <v>679</v>
          </cell>
          <cell r="C384">
            <v>112</v>
          </cell>
          <cell r="D384">
            <v>3</v>
          </cell>
          <cell r="E384">
            <v>32</v>
          </cell>
          <cell r="F384" t="str">
            <v>EL</v>
          </cell>
          <cell r="G384" t="str">
            <v>YES</v>
          </cell>
          <cell r="H384">
            <v>0</v>
          </cell>
          <cell r="I384" t="str">
            <v>????</v>
          </cell>
        </row>
        <row r="385">
          <cell r="B385">
            <v>681</v>
          </cell>
          <cell r="C385">
            <v>112</v>
          </cell>
          <cell r="D385">
            <v>3</v>
          </cell>
          <cell r="E385">
            <v>32</v>
          </cell>
          <cell r="F385" t="str">
            <v>EL</v>
          </cell>
          <cell r="G385" t="str">
            <v>NO</v>
          </cell>
          <cell r="H385">
            <v>0</v>
          </cell>
          <cell r="I385" t="str">
            <v>????</v>
          </cell>
        </row>
        <row r="386">
          <cell r="B386">
            <v>683</v>
          </cell>
          <cell r="C386">
            <v>116</v>
          </cell>
          <cell r="D386">
            <v>4</v>
          </cell>
          <cell r="E386">
            <v>32</v>
          </cell>
          <cell r="F386" t="str">
            <v>EL</v>
          </cell>
          <cell r="G386" t="str">
            <v>YES</v>
          </cell>
          <cell r="H386">
            <v>0</v>
          </cell>
          <cell r="I386" t="str">
            <v>????</v>
          </cell>
        </row>
        <row r="387">
          <cell r="B387">
            <v>685</v>
          </cell>
          <cell r="C387">
            <v>116</v>
          </cell>
          <cell r="D387">
            <v>4</v>
          </cell>
          <cell r="E387">
            <v>32</v>
          </cell>
          <cell r="F387" t="str">
            <v>EL</v>
          </cell>
          <cell r="G387" t="str">
            <v>NO</v>
          </cell>
          <cell r="H387">
            <v>0</v>
          </cell>
          <cell r="I387" t="str">
            <v>????</v>
          </cell>
        </row>
        <row r="388">
          <cell r="B388">
            <v>1000</v>
          </cell>
          <cell r="C388">
            <v>12</v>
          </cell>
          <cell r="D388" t="str">
            <v>PP1121</v>
          </cell>
          <cell r="E388">
            <v>1</v>
          </cell>
          <cell r="F388">
            <v>17</v>
          </cell>
          <cell r="G388" t="str">
            <v>EL</v>
          </cell>
          <cell r="H388">
            <v>17</v>
          </cell>
          <cell r="I388" t="str">
            <v>F21LL</v>
          </cell>
          <cell r="J388" t="str">
            <v>New 1'x 2'x 1 17w lamp &amp; EL bal &amp; Refl Fix WR</v>
          </cell>
        </row>
        <row r="389">
          <cell r="B389">
            <v>1005</v>
          </cell>
          <cell r="C389">
            <v>12</v>
          </cell>
          <cell r="D389" t="str">
            <v>PP1222</v>
          </cell>
          <cell r="E389">
            <v>2</v>
          </cell>
          <cell r="F389">
            <v>17</v>
          </cell>
          <cell r="G389" t="str">
            <v>EL</v>
          </cell>
          <cell r="H389">
            <v>0</v>
          </cell>
          <cell r="I389" t="str">
            <v>F22LL</v>
          </cell>
          <cell r="J389" t="str">
            <v>New 1'x 2'x 2 17w lamp &amp; EL bal &amp; Refl Fix WR</v>
          </cell>
        </row>
        <row r="390">
          <cell r="B390">
            <v>1010</v>
          </cell>
          <cell r="C390">
            <v>14</v>
          </cell>
          <cell r="D390" t="str">
            <v>PP1141</v>
          </cell>
          <cell r="E390">
            <v>1</v>
          </cell>
          <cell r="F390">
            <v>32</v>
          </cell>
          <cell r="G390" t="str">
            <v>EL</v>
          </cell>
          <cell r="H390">
            <v>30</v>
          </cell>
          <cell r="I390" t="str">
            <v>F41LL</v>
          </cell>
          <cell r="J390" t="str">
            <v>New 1'x 4'x 1 32w lamp &amp; EL bal &amp; Refl Fix WR</v>
          </cell>
        </row>
        <row r="391">
          <cell r="B391">
            <v>1015</v>
          </cell>
          <cell r="C391">
            <v>14</v>
          </cell>
          <cell r="D391" t="str">
            <v>PP1142</v>
          </cell>
          <cell r="E391">
            <v>2</v>
          </cell>
          <cell r="F391">
            <v>32</v>
          </cell>
          <cell r="G391" t="str">
            <v>EL</v>
          </cell>
          <cell r="H391">
            <v>62</v>
          </cell>
          <cell r="I391" t="str">
            <v>F42LL</v>
          </cell>
          <cell r="J391" t="str">
            <v>New 1'x 4'x 2 32w lamp &amp; EL bal &amp; Refl Fix WR</v>
          </cell>
        </row>
        <row r="392">
          <cell r="B392">
            <v>1020</v>
          </cell>
          <cell r="C392">
            <v>18</v>
          </cell>
          <cell r="D392" t="str">
            <v>PP1182</v>
          </cell>
          <cell r="E392">
            <v>2</v>
          </cell>
          <cell r="F392">
            <v>32</v>
          </cell>
          <cell r="G392" t="str">
            <v>EL</v>
          </cell>
          <cell r="H392">
            <v>62</v>
          </cell>
          <cell r="I392" t="str">
            <v>????</v>
          </cell>
          <cell r="J392" t="str">
            <v>New 1'x 8'x 2 32w lamp &amp; EL bal &amp; Refl Fix WR</v>
          </cell>
        </row>
        <row r="393">
          <cell r="B393">
            <v>1025</v>
          </cell>
          <cell r="C393">
            <v>18</v>
          </cell>
          <cell r="D393" t="str">
            <v>PP1184</v>
          </cell>
          <cell r="E393">
            <v>4</v>
          </cell>
          <cell r="F393">
            <v>32</v>
          </cell>
          <cell r="G393" t="str">
            <v>EL</v>
          </cell>
          <cell r="H393">
            <v>110</v>
          </cell>
          <cell r="I393" t="str">
            <v>????</v>
          </cell>
          <cell r="J393" t="str">
            <v>New 1'x 8'x 4 32w lamp &amp; EL bal &amp; Refl Fix WR</v>
          </cell>
        </row>
        <row r="394">
          <cell r="B394">
            <v>1030</v>
          </cell>
          <cell r="C394">
            <v>112</v>
          </cell>
          <cell r="D394" t="str">
            <v>PP11123</v>
          </cell>
          <cell r="E394">
            <v>3</v>
          </cell>
          <cell r="F394">
            <v>32</v>
          </cell>
          <cell r="G394" t="str">
            <v>EL</v>
          </cell>
          <cell r="H394">
            <v>77</v>
          </cell>
          <cell r="I394" t="str">
            <v>????</v>
          </cell>
          <cell r="J394" t="str">
            <v>New 1'x 12'x 3 32w lmp &amp; EL bal &amp; Refl Fix WR</v>
          </cell>
        </row>
        <row r="395">
          <cell r="B395">
            <v>1035</v>
          </cell>
          <cell r="C395">
            <v>116</v>
          </cell>
          <cell r="D395" t="str">
            <v>PP11164</v>
          </cell>
          <cell r="E395">
            <v>4</v>
          </cell>
          <cell r="F395">
            <v>32</v>
          </cell>
          <cell r="G395" t="str">
            <v>EL</v>
          </cell>
          <cell r="H395">
            <v>110</v>
          </cell>
          <cell r="I395" t="str">
            <v>????</v>
          </cell>
          <cell r="J395" t="str">
            <v>New 1'x 16'x 4 32w lmp &amp; EL bal &amp; Refl Fix WR</v>
          </cell>
        </row>
        <row r="396">
          <cell r="B396">
            <v>1045</v>
          </cell>
          <cell r="C396">
            <v>14</v>
          </cell>
          <cell r="D396" t="str">
            <v>PP3141</v>
          </cell>
          <cell r="E396">
            <v>1</v>
          </cell>
          <cell r="F396">
            <v>32</v>
          </cell>
          <cell r="G396" t="str">
            <v>EL</v>
          </cell>
          <cell r="H396">
            <v>30</v>
          </cell>
          <cell r="I396" t="str">
            <v>F41LL</v>
          </cell>
          <cell r="J396" t="str">
            <v>New 1'x 4'x 1 32w lamp &amp; EL bal &amp; Refl Fix WR</v>
          </cell>
        </row>
        <row r="397">
          <cell r="B397">
            <v>1050</v>
          </cell>
          <cell r="C397">
            <v>14</v>
          </cell>
          <cell r="D397" t="str">
            <v>PP3141sm</v>
          </cell>
          <cell r="E397">
            <v>1</v>
          </cell>
          <cell r="F397">
            <v>32</v>
          </cell>
          <cell r="G397" t="str">
            <v>EL</v>
          </cell>
          <cell r="H397">
            <v>30</v>
          </cell>
          <cell r="I397" t="str">
            <v>????</v>
          </cell>
        </row>
        <row r="398">
          <cell r="B398">
            <v>1055</v>
          </cell>
          <cell r="C398">
            <v>14</v>
          </cell>
          <cell r="D398" t="str">
            <v>PP3142</v>
          </cell>
          <cell r="E398">
            <v>2</v>
          </cell>
          <cell r="F398">
            <v>32</v>
          </cell>
          <cell r="G398" t="str">
            <v>EL</v>
          </cell>
          <cell r="H398">
            <v>0</v>
          </cell>
          <cell r="I398" t="str">
            <v>????</v>
          </cell>
        </row>
        <row r="399">
          <cell r="B399">
            <v>1060</v>
          </cell>
          <cell r="C399">
            <v>14</v>
          </cell>
          <cell r="D399" t="str">
            <v>PP3142sm</v>
          </cell>
          <cell r="E399">
            <v>2</v>
          </cell>
          <cell r="F399">
            <v>32</v>
          </cell>
          <cell r="G399" t="str">
            <v>EL</v>
          </cell>
          <cell r="H399">
            <v>0</v>
          </cell>
          <cell r="I399" t="str">
            <v>????</v>
          </cell>
        </row>
        <row r="400">
          <cell r="B400">
            <v>1065</v>
          </cell>
          <cell r="C400">
            <v>18</v>
          </cell>
          <cell r="D400" t="str">
            <v>PP3182</v>
          </cell>
          <cell r="E400">
            <v>2</v>
          </cell>
          <cell r="F400">
            <v>32</v>
          </cell>
          <cell r="G400" t="str">
            <v>EL</v>
          </cell>
          <cell r="H400">
            <v>0</v>
          </cell>
          <cell r="I400" t="str">
            <v>????</v>
          </cell>
        </row>
        <row r="401">
          <cell r="B401">
            <v>1070</v>
          </cell>
          <cell r="C401">
            <v>18</v>
          </cell>
          <cell r="D401" t="str">
            <v>PP3182sm</v>
          </cell>
          <cell r="E401">
            <v>2</v>
          </cell>
          <cell r="F401">
            <v>32</v>
          </cell>
          <cell r="G401" t="str">
            <v>EL</v>
          </cell>
          <cell r="H401">
            <v>0</v>
          </cell>
          <cell r="I401" t="str">
            <v>????</v>
          </cell>
        </row>
        <row r="402">
          <cell r="B402">
            <v>1075</v>
          </cell>
          <cell r="C402">
            <v>112</v>
          </cell>
          <cell r="D402" t="str">
            <v>PP31123</v>
          </cell>
          <cell r="E402">
            <v>3</v>
          </cell>
          <cell r="F402">
            <v>32</v>
          </cell>
          <cell r="G402" t="str">
            <v>EL</v>
          </cell>
          <cell r="H402">
            <v>0</v>
          </cell>
          <cell r="I402" t="str">
            <v>????</v>
          </cell>
        </row>
        <row r="403">
          <cell r="B403">
            <v>1080</v>
          </cell>
          <cell r="C403">
            <v>112</v>
          </cell>
          <cell r="D403" t="str">
            <v>PP31123sm</v>
          </cell>
          <cell r="E403">
            <v>3</v>
          </cell>
          <cell r="F403">
            <v>32</v>
          </cell>
          <cell r="G403" t="str">
            <v>EL</v>
          </cell>
          <cell r="H403">
            <v>0</v>
          </cell>
          <cell r="I403" t="str">
            <v>????</v>
          </cell>
        </row>
        <row r="404">
          <cell r="B404">
            <v>1085</v>
          </cell>
          <cell r="C404">
            <v>116</v>
          </cell>
          <cell r="D404" t="str">
            <v>PP31164</v>
          </cell>
          <cell r="E404">
            <v>4</v>
          </cell>
          <cell r="F404">
            <v>32</v>
          </cell>
          <cell r="G404" t="str">
            <v>EL</v>
          </cell>
          <cell r="H404">
            <v>0</v>
          </cell>
          <cell r="I404" t="str">
            <v>????</v>
          </cell>
        </row>
        <row r="405">
          <cell r="B405">
            <v>1090</v>
          </cell>
          <cell r="C405">
            <v>116</v>
          </cell>
          <cell r="D405" t="str">
            <v>PP31164sm</v>
          </cell>
          <cell r="E405">
            <v>4</v>
          </cell>
          <cell r="F405">
            <v>32</v>
          </cell>
          <cell r="G405" t="str">
            <v>EL</v>
          </cell>
          <cell r="H405">
            <v>0</v>
          </cell>
          <cell r="I405" t="str">
            <v>????</v>
          </cell>
        </row>
        <row r="406">
          <cell r="B406">
            <v>1100</v>
          </cell>
          <cell r="C406">
            <v>22</v>
          </cell>
          <cell r="D406" t="str">
            <v>PP3222</v>
          </cell>
          <cell r="E406">
            <v>2</v>
          </cell>
          <cell r="F406">
            <v>17</v>
          </cell>
          <cell r="G406" t="str">
            <v>EL</v>
          </cell>
          <cell r="H406">
            <v>0</v>
          </cell>
          <cell r="I406" t="str">
            <v>????</v>
          </cell>
        </row>
        <row r="407">
          <cell r="B407">
            <v>1105</v>
          </cell>
          <cell r="C407">
            <v>22</v>
          </cell>
          <cell r="D407" t="str">
            <v>PP3222sm</v>
          </cell>
          <cell r="E407">
            <v>2</v>
          </cell>
          <cell r="F407">
            <v>17</v>
          </cell>
          <cell r="G407" t="str">
            <v>EL</v>
          </cell>
          <cell r="H407">
            <v>0</v>
          </cell>
          <cell r="I407" t="str">
            <v>????</v>
          </cell>
        </row>
        <row r="408">
          <cell r="B408">
            <v>1110</v>
          </cell>
          <cell r="C408">
            <v>22</v>
          </cell>
          <cell r="D408" t="str">
            <v>PP3223</v>
          </cell>
          <cell r="E408">
            <v>3</v>
          </cell>
          <cell r="F408">
            <v>17</v>
          </cell>
          <cell r="G408" t="str">
            <v>EL</v>
          </cell>
          <cell r="H408">
            <v>0</v>
          </cell>
          <cell r="I408" t="str">
            <v>????</v>
          </cell>
        </row>
        <row r="409">
          <cell r="B409">
            <v>1115</v>
          </cell>
          <cell r="C409">
            <v>22</v>
          </cell>
          <cell r="D409" t="str">
            <v>PP3223sm</v>
          </cell>
          <cell r="E409">
            <v>3</v>
          </cell>
          <cell r="F409">
            <v>17</v>
          </cell>
          <cell r="G409" t="str">
            <v>EL</v>
          </cell>
          <cell r="H409">
            <v>0</v>
          </cell>
          <cell r="I409" t="str">
            <v>????</v>
          </cell>
        </row>
        <row r="410">
          <cell r="B410">
            <v>1120</v>
          </cell>
          <cell r="C410">
            <v>22</v>
          </cell>
          <cell r="D410" t="str">
            <v>PP3224</v>
          </cell>
          <cell r="E410">
            <v>4</v>
          </cell>
          <cell r="F410">
            <v>17</v>
          </cell>
          <cell r="G410" t="str">
            <v>EL</v>
          </cell>
          <cell r="H410">
            <v>0</v>
          </cell>
          <cell r="I410" t="str">
            <v>????</v>
          </cell>
        </row>
        <row r="411">
          <cell r="B411">
            <v>1125</v>
          </cell>
          <cell r="C411">
            <v>22</v>
          </cell>
          <cell r="D411" t="str">
            <v>PP3224sm</v>
          </cell>
          <cell r="E411">
            <v>4</v>
          </cell>
          <cell r="F411">
            <v>17</v>
          </cell>
          <cell r="G411" t="str">
            <v>EL</v>
          </cell>
          <cell r="H411">
            <v>0</v>
          </cell>
          <cell r="I411" t="str">
            <v>????</v>
          </cell>
        </row>
        <row r="412">
          <cell r="B412">
            <v>1130</v>
          </cell>
          <cell r="C412">
            <v>22</v>
          </cell>
          <cell r="D412" t="str">
            <v>PP3221</v>
          </cell>
          <cell r="E412">
            <v>1</v>
          </cell>
          <cell r="F412" t="str">
            <v>40Biax</v>
          </cell>
          <cell r="G412" t="str">
            <v>EL</v>
          </cell>
          <cell r="H412">
            <v>0</v>
          </cell>
          <cell r="I412" t="str">
            <v>????</v>
          </cell>
        </row>
        <row r="413">
          <cell r="B413">
            <v>1135</v>
          </cell>
          <cell r="C413">
            <v>22</v>
          </cell>
          <cell r="D413" t="str">
            <v>PP3221sm</v>
          </cell>
          <cell r="E413">
            <v>1</v>
          </cell>
          <cell r="F413" t="str">
            <v>40Biax</v>
          </cell>
          <cell r="G413" t="str">
            <v>EL</v>
          </cell>
          <cell r="H413">
            <v>0</v>
          </cell>
          <cell r="I413" t="str">
            <v>????</v>
          </cell>
        </row>
        <row r="414">
          <cell r="B414">
            <v>1140</v>
          </cell>
          <cell r="C414">
            <v>22</v>
          </cell>
          <cell r="D414" t="str">
            <v>PP3222</v>
          </cell>
          <cell r="E414">
            <v>2</v>
          </cell>
          <cell r="F414" t="str">
            <v>40Biax</v>
          </cell>
          <cell r="G414" t="str">
            <v>EL</v>
          </cell>
          <cell r="H414">
            <v>0</v>
          </cell>
          <cell r="I414" t="str">
            <v>????</v>
          </cell>
        </row>
        <row r="415">
          <cell r="B415">
            <v>1145</v>
          </cell>
          <cell r="C415">
            <v>22</v>
          </cell>
          <cell r="D415" t="str">
            <v>PP3222sm</v>
          </cell>
          <cell r="E415">
            <v>2</v>
          </cell>
          <cell r="F415" t="str">
            <v>40Biax</v>
          </cell>
          <cell r="G415" t="str">
            <v>EL</v>
          </cell>
          <cell r="H415">
            <v>0</v>
          </cell>
          <cell r="I415" t="str">
            <v>????</v>
          </cell>
        </row>
        <row r="416">
          <cell r="B416">
            <v>1150</v>
          </cell>
          <cell r="C416">
            <v>22</v>
          </cell>
          <cell r="D416" t="str">
            <v>PP3223</v>
          </cell>
          <cell r="E416">
            <v>3</v>
          </cell>
          <cell r="F416" t="str">
            <v>40Biax</v>
          </cell>
          <cell r="G416" t="str">
            <v>EL</v>
          </cell>
          <cell r="H416">
            <v>0</v>
          </cell>
          <cell r="I416" t="str">
            <v>????</v>
          </cell>
        </row>
        <row r="417">
          <cell r="B417">
            <v>1155</v>
          </cell>
          <cell r="C417">
            <v>22</v>
          </cell>
          <cell r="D417" t="str">
            <v>PP3223sm</v>
          </cell>
          <cell r="E417">
            <v>3</v>
          </cell>
          <cell r="F417" t="str">
            <v>40Biax</v>
          </cell>
          <cell r="G417" t="str">
            <v>EL</v>
          </cell>
          <cell r="H417">
            <v>0</v>
          </cell>
          <cell r="I417" t="str">
            <v>????</v>
          </cell>
        </row>
        <row r="418">
          <cell r="B418">
            <v>1160</v>
          </cell>
          <cell r="C418">
            <v>22</v>
          </cell>
          <cell r="D418" t="str">
            <v>PP3221</v>
          </cell>
          <cell r="E418">
            <v>1</v>
          </cell>
          <cell r="F418" t="str">
            <v>31-U6</v>
          </cell>
          <cell r="G418" t="str">
            <v>EL</v>
          </cell>
          <cell r="H418">
            <v>0</v>
          </cell>
          <cell r="I418" t="str">
            <v>????</v>
          </cell>
        </row>
        <row r="419">
          <cell r="B419">
            <v>1165</v>
          </cell>
          <cell r="C419">
            <v>22</v>
          </cell>
          <cell r="D419" t="str">
            <v>PP3221sm</v>
          </cell>
          <cell r="E419">
            <v>1</v>
          </cell>
          <cell r="F419" t="str">
            <v>31-U6</v>
          </cell>
          <cell r="G419" t="str">
            <v>EL</v>
          </cell>
          <cell r="H419">
            <v>0</v>
          </cell>
          <cell r="I419" t="str">
            <v>????</v>
          </cell>
        </row>
        <row r="420">
          <cell r="B420">
            <v>1170</v>
          </cell>
          <cell r="C420">
            <v>22</v>
          </cell>
          <cell r="D420" t="str">
            <v>PP3222</v>
          </cell>
          <cell r="E420">
            <v>2</v>
          </cell>
          <cell r="F420" t="str">
            <v>31-U6</v>
          </cell>
          <cell r="G420" t="str">
            <v>EL</v>
          </cell>
          <cell r="H420">
            <v>0</v>
          </cell>
          <cell r="I420" t="str">
            <v>????</v>
          </cell>
        </row>
        <row r="421">
          <cell r="B421">
            <v>1175</v>
          </cell>
          <cell r="C421">
            <v>22</v>
          </cell>
          <cell r="D421" t="str">
            <v>PP3222sm</v>
          </cell>
          <cell r="E421">
            <v>2</v>
          </cell>
          <cell r="F421" t="str">
            <v>31-U6</v>
          </cell>
          <cell r="G421" t="str">
            <v>EL</v>
          </cell>
          <cell r="H421">
            <v>0</v>
          </cell>
          <cell r="I421" t="str">
            <v>????</v>
          </cell>
        </row>
        <row r="422">
          <cell r="B422">
            <v>1185</v>
          </cell>
          <cell r="C422">
            <v>24</v>
          </cell>
          <cell r="D422" t="str">
            <v>PP3241</v>
          </cell>
          <cell r="E422">
            <v>1</v>
          </cell>
          <cell r="F422">
            <v>32</v>
          </cell>
          <cell r="G422" t="str">
            <v>EL</v>
          </cell>
          <cell r="H422">
            <v>0</v>
          </cell>
          <cell r="I422" t="str">
            <v>????</v>
          </cell>
        </row>
        <row r="423">
          <cell r="B423">
            <v>1190</v>
          </cell>
          <cell r="C423">
            <v>24</v>
          </cell>
          <cell r="D423" t="str">
            <v>PP3241 M/S</v>
          </cell>
          <cell r="E423">
            <v>1</v>
          </cell>
          <cell r="F423">
            <v>32</v>
          </cell>
          <cell r="G423" t="str">
            <v>EL</v>
          </cell>
          <cell r="H423">
            <v>0</v>
          </cell>
          <cell r="I423" t="str">
            <v>????</v>
          </cell>
        </row>
        <row r="424">
          <cell r="B424">
            <v>1195</v>
          </cell>
          <cell r="C424">
            <v>24</v>
          </cell>
          <cell r="D424" t="str">
            <v>PP3241sm</v>
          </cell>
          <cell r="E424">
            <v>1</v>
          </cell>
          <cell r="F424">
            <v>32</v>
          </cell>
          <cell r="G424" t="str">
            <v>EL</v>
          </cell>
          <cell r="H424">
            <v>0</v>
          </cell>
          <cell r="I424" t="str">
            <v>????</v>
          </cell>
        </row>
        <row r="425">
          <cell r="B425">
            <v>1200</v>
          </cell>
          <cell r="C425">
            <v>24</v>
          </cell>
          <cell r="D425" t="str">
            <v>PP3241sm M/S</v>
          </cell>
          <cell r="E425">
            <v>1</v>
          </cell>
          <cell r="F425">
            <v>32</v>
          </cell>
          <cell r="G425" t="str">
            <v>EL</v>
          </cell>
          <cell r="H425">
            <v>0</v>
          </cell>
          <cell r="I425" t="str">
            <v>????</v>
          </cell>
        </row>
        <row r="426">
          <cell r="B426">
            <v>1205</v>
          </cell>
          <cell r="C426">
            <v>24</v>
          </cell>
          <cell r="D426" t="str">
            <v>PP3242</v>
          </cell>
          <cell r="E426">
            <v>2</v>
          </cell>
          <cell r="F426">
            <v>32</v>
          </cell>
          <cell r="G426" t="str">
            <v>EL</v>
          </cell>
          <cell r="H426">
            <v>58</v>
          </cell>
          <cell r="I426" t="str">
            <v>????</v>
          </cell>
          <cell r="J426" t="str">
            <v xml:space="preserve">New 2x4x2 T8 electronic &amp; Refl recessed troffer </v>
          </cell>
        </row>
        <row r="427">
          <cell r="B427">
            <v>1210</v>
          </cell>
          <cell r="C427">
            <v>24</v>
          </cell>
          <cell r="D427" t="str">
            <v>PP3242 M/S</v>
          </cell>
          <cell r="E427">
            <v>2</v>
          </cell>
          <cell r="F427">
            <v>32</v>
          </cell>
          <cell r="G427" t="str">
            <v>EL</v>
          </cell>
          <cell r="H427">
            <v>0</v>
          </cell>
          <cell r="I427" t="str">
            <v>????</v>
          </cell>
        </row>
        <row r="428">
          <cell r="B428">
            <v>1215</v>
          </cell>
          <cell r="C428">
            <v>24</v>
          </cell>
          <cell r="D428" t="str">
            <v>PP3242sm</v>
          </cell>
          <cell r="E428">
            <v>2</v>
          </cell>
          <cell r="F428">
            <v>32</v>
          </cell>
          <cell r="G428" t="str">
            <v>EL</v>
          </cell>
          <cell r="H428">
            <v>58</v>
          </cell>
          <cell r="I428" t="str">
            <v>????</v>
          </cell>
          <cell r="J428" t="str">
            <v xml:space="preserve">New 2x4x2 </v>
          </cell>
        </row>
        <row r="429">
          <cell r="B429">
            <v>1220</v>
          </cell>
          <cell r="C429">
            <v>24</v>
          </cell>
          <cell r="D429" t="str">
            <v>PP3242sm M/S</v>
          </cell>
          <cell r="E429">
            <v>2</v>
          </cell>
          <cell r="F429">
            <v>32</v>
          </cell>
          <cell r="G429" t="str">
            <v>EL</v>
          </cell>
          <cell r="H429">
            <v>0</v>
          </cell>
          <cell r="I429" t="str">
            <v>????</v>
          </cell>
        </row>
        <row r="430">
          <cell r="B430">
            <v>1225</v>
          </cell>
          <cell r="C430">
            <v>24</v>
          </cell>
          <cell r="D430" t="str">
            <v>PP3243</v>
          </cell>
          <cell r="E430">
            <v>3</v>
          </cell>
          <cell r="F430">
            <v>32</v>
          </cell>
          <cell r="G430" t="str">
            <v>EL</v>
          </cell>
          <cell r="H430">
            <v>0</v>
          </cell>
          <cell r="I430" t="str">
            <v>????</v>
          </cell>
        </row>
        <row r="431">
          <cell r="B431">
            <v>1230</v>
          </cell>
          <cell r="C431">
            <v>24</v>
          </cell>
          <cell r="D431" t="str">
            <v>PP3243sm</v>
          </cell>
          <cell r="E431">
            <v>3</v>
          </cell>
          <cell r="F431">
            <v>32</v>
          </cell>
          <cell r="G431" t="str">
            <v>EL</v>
          </cell>
          <cell r="H431">
            <v>0</v>
          </cell>
          <cell r="I431" t="str">
            <v>????</v>
          </cell>
        </row>
        <row r="432">
          <cell r="B432">
            <v>1235</v>
          </cell>
          <cell r="C432">
            <v>24</v>
          </cell>
          <cell r="D432" t="str">
            <v>PP3244</v>
          </cell>
          <cell r="E432">
            <v>4</v>
          </cell>
          <cell r="F432">
            <v>32</v>
          </cell>
          <cell r="G432" t="str">
            <v>EL</v>
          </cell>
          <cell r="H432">
            <v>0</v>
          </cell>
          <cell r="I432" t="str">
            <v>????</v>
          </cell>
        </row>
        <row r="433">
          <cell r="B433">
            <v>1240</v>
          </cell>
          <cell r="C433">
            <v>24</v>
          </cell>
          <cell r="D433" t="str">
            <v>PP3244sm</v>
          </cell>
          <cell r="E433">
            <v>4</v>
          </cell>
          <cell r="F433">
            <v>32</v>
          </cell>
          <cell r="G433" t="str">
            <v>EL</v>
          </cell>
          <cell r="H433">
            <v>0</v>
          </cell>
          <cell r="I433" t="str">
            <v>????</v>
          </cell>
        </row>
        <row r="434">
          <cell r="B434">
            <v>1245</v>
          </cell>
          <cell r="C434">
            <v>14</v>
          </cell>
          <cell r="D434" t="str">
            <v>PP4141</v>
          </cell>
          <cell r="E434">
            <v>1</v>
          </cell>
          <cell r="F434">
            <v>32</v>
          </cell>
          <cell r="G434" t="str">
            <v>EL</v>
          </cell>
          <cell r="H434">
            <v>0</v>
          </cell>
          <cell r="I434" t="str">
            <v>????</v>
          </cell>
        </row>
        <row r="435">
          <cell r="B435">
            <v>1250</v>
          </cell>
          <cell r="C435">
            <v>14</v>
          </cell>
          <cell r="D435" t="str">
            <v>PP4141sm</v>
          </cell>
          <cell r="E435">
            <v>1</v>
          </cell>
          <cell r="F435">
            <v>32</v>
          </cell>
          <cell r="G435" t="str">
            <v>EL</v>
          </cell>
          <cell r="H435">
            <v>0</v>
          </cell>
          <cell r="I435" t="str">
            <v>????</v>
          </cell>
        </row>
        <row r="436">
          <cell r="B436">
            <v>1255</v>
          </cell>
          <cell r="C436">
            <v>14</v>
          </cell>
          <cell r="D436" t="str">
            <v>PP4142</v>
          </cell>
          <cell r="E436">
            <v>2</v>
          </cell>
          <cell r="F436">
            <v>32</v>
          </cell>
          <cell r="G436" t="str">
            <v>EL</v>
          </cell>
          <cell r="H436">
            <v>0</v>
          </cell>
          <cell r="I436" t="str">
            <v>????</v>
          </cell>
        </row>
        <row r="437">
          <cell r="B437">
            <v>1260</v>
          </cell>
          <cell r="C437">
            <v>14</v>
          </cell>
          <cell r="D437" t="str">
            <v>PP4142sm</v>
          </cell>
          <cell r="E437">
            <v>2</v>
          </cell>
          <cell r="F437">
            <v>32</v>
          </cell>
          <cell r="G437" t="str">
            <v>EL</v>
          </cell>
          <cell r="H437">
            <v>0</v>
          </cell>
          <cell r="I437" t="str">
            <v>????</v>
          </cell>
        </row>
        <row r="438">
          <cell r="B438">
            <v>1265</v>
          </cell>
          <cell r="C438">
            <v>18</v>
          </cell>
          <cell r="D438" t="str">
            <v>PP4182</v>
          </cell>
          <cell r="E438">
            <v>2</v>
          </cell>
          <cell r="F438">
            <v>32</v>
          </cell>
          <cell r="G438" t="str">
            <v>EL</v>
          </cell>
          <cell r="H438">
            <v>0</v>
          </cell>
          <cell r="I438" t="str">
            <v>????</v>
          </cell>
        </row>
        <row r="439">
          <cell r="B439">
            <v>1270</v>
          </cell>
          <cell r="C439">
            <v>18</v>
          </cell>
          <cell r="D439" t="str">
            <v>PP4182sm</v>
          </cell>
          <cell r="E439">
            <v>2</v>
          </cell>
          <cell r="F439">
            <v>32</v>
          </cell>
          <cell r="G439" t="str">
            <v>EL</v>
          </cell>
          <cell r="H439">
            <v>0</v>
          </cell>
          <cell r="I439" t="str">
            <v>????</v>
          </cell>
        </row>
        <row r="440">
          <cell r="B440">
            <v>1275</v>
          </cell>
          <cell r="C440">
            <v>112</v>
          </cell>
          <cell r="D440" t="str">
            <v>PP41123</v>
          </cell>
          <cell r="E440">
            <v>3</v>
          </cell>
          <cell r="F440">
            <v>32</v>
          </cell>
          <cell r="G440" t="str">
            <v>EL</v>
          </cell>
          <cell r="H440">
            <v>0</v>
          </cell>
          <cell r="I440" t="str">
            <v>????</v>
          </cell>
        </row>
        <row r="441">
          <cell r="B441">
            <v>1280</v>
          </cell>
          <cell r="C441">
            <v>112</v>
          </cell>
          <cell r="D441" t="str">
            <v>PP41123sm</v>
          </cell>
          <cell r="E441">
            <v>3</v>
          </cell>
          <cell r="F441">
            <v>32</v>
          </cell>
          <cell r="G441" t="str">
            <v>EL</v>
          </cell>
          <cell r="H441">
            <v>0</v>
          </cell>
          <cell r="I441" t="str">
            <v>????</v>
          </cell>
        </row>
        <row r="442">
          <cell r="B442">
            <v>1285</v>
          </cell>
          <cell r="C442">
            <v>116</v>
          </cell>
          <cell r="D442" t="str">
            <v>PP41164</v>
          </cell>
          <cell r="E442">
            <v>4</v>
          </cell>
          <cell r="F442">
            <v>32</v>
          </cell>
          <cell r="G442" t="str">
            <v>EL</v>
          </cell>
          <cell r="H442">
            <v>0</v>
          </cell>
          <cell r="I442" t="str">
            <v>????</v>
          </cell>
        </row>
        <row r="443">
          <cell r="B443">
            <v>1290</v>
          </cell>
          <cell r="C443">
            <v>116</v>
          </cell>
          <cell r="D443" t="str">
            <v>PP41164sm</v>
          </cell>
          <cell r="E443">
            <v>4</v>
          </cell>
          <cell r="F443">
            <v>32</v>
          </cell>
          <cell r="G443" t="str">
            <v>EL</v>
          </cell>
          <cell r="H443">
            <v>0</v>
          </cell>
          <cell r="I443" t="str">
            <v>????</v>
          </cell>
        </row>
        <row r="444">
          <cell r="B444">
            <v>1300</v>
          </cell>
          <cell r="C444">
            <v>22</v>
          </cell>
          <cell r="D444" t="str">
            <v>PP4222</v>
          </cell>
          <cell r="E444">
            <v>2</v>
          </cell>
          <cell r="F444">
            <v>17</v>
          </cell>
          <cell r="G444" t="str">
            <v>EL</v>
          </cell>
          <cell r="H444">
            <v>0</v>
          </cell>
          <cell r="I444" t="str">
            <v>????</v>
          </cell>
        </row>
        <row r="445">
          <cell r="B445">
            <v>1305</v>
          </cell>
          <cell r="C445">
            <v>22</v>
          </cell>
          <cell r="D445" t="str">
            <v>PP4222sm</v>
          </cell>
          <cell r="E445">
            <v>2</v>
          </cell>
          <cell r="F445">
            <v>17</v>
          </cell>
          <cell r="G445" t="str">
            <v>EL</v>
          </cell>
          <cell r="H445">
            <v>0</v>
          </cell>
          <cell r="I445" t="str">
            <v>????</v>
          </cell>
        </row>
        <row r="446">
          <cell r="B446">
            <v>1310</v>
          </cell>
          <cell r="C446">
            <v>22</v>
          </cell>
          <cell r="D446" t="str">
            <v>PP4223</v>
          </cell>
          <cell r="E446">
            <v>3</v>
          </cell>
          <cell r="F446">
            <v>17</v>
          </cell>
          <cell r="G446" t="str">
            <v>EL</v>
          </cell>
          <cell r="H446">
            <v>0</v>
          </cell>
          <cell r="I446" t="str">
            <v>????</v>
          </cell>
        </row>
        <row r="447">
          <cell r="B447">
            <v>1315</v>
          </cell>
          <cell r="C447">
            <v>22</v>
          </cell>
          <cell r="D447" t="str">
            <v>PP4223sm</v>
          </cell>
          <cell r="E447">
            <v>3</v>
          </cell>
          <cell r="F447">
            <v>17</v>
          </cell>
          <cell r="G447" t="str">
            <v>EL</v>
          </cell>
          <cell r="H447">
            <v>0</v>
          </cell>
          <cell r="I447" t="str">
            <v>????</v>
          </cell>
        </row>
        <row r="448">
          <cell r="B448">
            <v>1320</v>
          </cell>
          <cell r="C448">
            <v>22</v>
          </cell>
          <cell r="D448" t="str">
            <v>PP4224</v>
          </cell>
          <cell r="E448">
            <v>4</v>
          </cell>
          <cell r="F448">
            <v>17</v>
          </cell>
          <cell r="G448" t="str">
            <v>EL</v>
          </cell>
          <cell r="H448">
            <v>0</v>
          </cell>
          <cell r="I448" t="str">
            <v>????</v>
          </cell>
        </row>
        <row r="449">
          <cell r="B449">
            <v>1325</v>
          </cell>
          <cell r="C449">
            <v>22</v>
          </cell>
          <cell r="D449" t="str">
            <v>PP4224sm</v>
          </cell>
          <cell r="E449">
            <v>4</v>
          </cell>
          <cell r="F449">
            <v>17</v>
          </cell>
          <cell r="G449" t="str">
            <v>EL</v>
          </cell>
          <cell r="H449">
            <v>0</v>
          </cell>
          <cell r="I449" t="str">
            <v>????</v>
          </cell>
        </row>
        <row r="450">
          <cell r="B450">
            <v>1330</v>
          </cell>
          <cell r="C450">
            <v>22</v>
          </cell>
          <cell r="D450" t="str">
            <v>PP4221</v>
          </cell>
          <cell r="E450">
            <v>1</v>
          </cell>
          <cell r="F450" t="str">
            <v>40Biax</v>
          </cell>
          <cell r="G450" t="str">
            <v>EL</v>
          </cell>
          <cell r="H450">
            <v>0</v>
          </cell>
          <cell r="I450" t="str">
            <v>????</v>
          </cell>
        </row>
        <row r="451">
          <cell r="B451">
            <v>1335</v>
          </cell>
          <cell r="C451">
            <v>22</v>
          </cell>
          <cell r="D451" t="str">
            <v>PP4221sm</v>
          </cell>
          <cell r="E451">
            <v>1</v>
          </cell>
          <cell r="F451" t="str">
            <v>40Biax</v>
          </cell>
          <cell r="G451" t="str">
            <v>EL</v>
          </cell>
          <cell r="H451">
            <v>0</v>
          </cell>
          <cell r="I451" t="str">
            <v>????</v>
          </cell>
        </row>
        <row r="452">
          <cell r="B452">
            <v>1340</v>
          </cell>
          <cell r="C452">
            <v>22</v>
          </cell>
          <cell r="D452" t="str">
            <v>PP4222</v>
          </cell>
          <cell r="E452">
            <v>2</v>
          </cell>
          <cell r="F452" t="str">
            <v>40Biax</v>
          </cell>
          <cell r="G452" t="str">
            <v>EL</v>
          </cell>
          <cell r="H452">
            <v>0</v>
          </cell>
          <cell r="I452" t="str">
            <v>????</v>
          </cell>
        </row>
        <row r="453">
          <cell r="B453">
            <v>1345</v>
          </cell>
          <cell r="C453">
            <v>22</v>
          </cell>
          <cell r="D453" t="str">
            <v>PP4222sm</v>
          </cell>
          <cell r="E453">
            <v>2</v>
          </cell>
          <cell r="F453" t="str">
            <v>40Biax</v>
          </cell>
          <cell r="G453" t="str">
            <v>EL</v>
          </cell>
          <cell r="H453">
            <v>0</v>
          </cell>
          <cell r="I453" t="str">
            <v>????</v>
          </cell>
        </row>
        <row r="454">
          <cell r="B454">
            <v>1350</v>
          </cell>
          <cell r="C454">
            <v>22</v>
          </cell>
          <cell r="D454" t="str">
            <v>PP4223</v>
          </cell>
          <cell r="E454">
            <v>3</v>
          </cell>
          <cell r="F454" t="str">
            <v>40Biax</v>
          </cell>
          <cell r="G454" t="str">
            <v>EL</v>
          </cell>
          <cell r="H454">
            <v>0</v>
          </cell>
          <cell r="I454" t="str">
            <v>????</v>
          </cell>
        </row>
        <row r="455">
          <cell r="B455">
            <v>1355</v>
          </cell>
          <cell r="C455">
            <v>22</v>
          </cell>
          <cell r="D455" t="str">
            <v>PP4223sm</v>
          </cell>
          <cell r="E455">
            <v>3</v>
          </cell>
          <cell r="F455" t="str">
            <v>40Biax</v>
          </cell>
          <cell r="G455" t="str">
            <v>EL</v>
          </cell>
          <cell r="H455">
            <v>0</v>
          </cell>
          <cell r="I455" t="str">
            <v>????</v>
          </cell>
        </row>
        <row r="456">
          <cell r="B456">
            <v>1360</v>
          </cell>
          <cell r="C456">
            <v>22</v>
          </cell>
          <cell r="D456" t="str">
            <v>PP4221</v>
          </cell>
          <cell r="E456">
            <v>1</v>
          </cell>
          <cell r="F456" t="str">
            <v>31-U6</v>
          </cell>
          <cell r="G456" t="str">
            <v>EL</v>
          </cell>
          <cell r="H456">
            <v>0</v>
          </cell>
          <cell r="I456" t="str">
            <v>????</v>
          </cell>
        </row>
        <row r="457">
          <cell r="B457">
            <v>1365</v>
          </cell>
          <cell r="C457">
            <v>22</v>
          </cell>
          <cell r="D457" t="str">
            <v>PP4221sm</v>
          </cell>
          <cell r="E457">
            <v>1</v>
          </cell>
          <cell r="F457" t="str">
            <v>31-U6</v>
          </cell>
          <cell r="G457" t="str">
            <v>EL</v>
          </cell>
          <cell r="H457">
            <v>0</v>
          </cell>
          <cell r="I457" t="str">
            <v>????</v>
          </cell>
        </row>
        <row r="458">
          <cell r="B458">
            <v>1370</v>
          </cell>
          <cell r="C458">
            <v>22</v>
          </cell>
          <cell r="D458" t="str">
            <v>PP4222</v>
          </cell>
          <cell r="E458">
            <v>2</v>
          </cell>
          <cell r="F458" t="str">
            <v>31-U6</v>
          </cell>
          <cell r="G458" t="str">
            <v>EL</v>
          </cell>
          <cell r="H458">
            <v>0</v>
          </cell>
          <cell r="I458" t="str">
            <v>????</v>
          </cell>
        </row>
        <row r="459">
          <cell r="B459">
            <v>1375</v>
          </cell>
          <cell r="C459">
            <v>22</v>
          </cell>
          <cell r="D459" t="str">
            <v>PP4222sm</v>
          </cell>
          <cell r="E459">
            <v>2</v>
          </cell>
          <cell r="F459" t="str">
            <v>31-U6</v>
          </cell>
          <cell r="G459" t="str">
            <v>EL</v>
          </cell>
          <cell r="H459">
            <v>0</v>
          </cell>
          <cell r="I459" t="str">
            <v>????</v>
          </cell>
        </row>
        <row r="460">
          <cell r="B460">
            <v>1385</v>
          </cell>
          <cell r="C460">
            <v>24</v>
          </cell>
          <cell r="D460" t="str">
            <v>PP4241</v>
          </cell>
          <cell r="E460">
            <v>1</v>
          </cell>
          <cell r="F460">
            <v>32</v>
          </cell>
          <cell r="G460" t="str">
            <v>EL</v>
          </cell>
          <cell r="H460">
            <v>0</v>
          </cell>
          <cell r="I460" t="str">
            <v>????</v>
          </cell>
        </row>
        <row r="461">
          <cell r="B461">
            <v>1390</v>
          </cell>
          <cell r="C461">
            <v>24</v>
          </cell>
          <cell r="D461" t="str">
            <v>PP4241 M/S</v>
          </cell>
          <cell r="E461">
            <v>1</v>
          </cell>
          <cell r="F461">
            <v>32</v>
          </cell>
          <cell r="G461" t="str">
            <v>EL</v>
          </cell>
          <cell r="H461">
            <v>0</v>
          </cell>
          <cell r="I461" t="str">
            <v>????</v>
          </cell>
        </row>
        <row r="462">
          <cell r="B462">
            <v>1395</v>
          </cell>
          <cell r="C462">
            <v>24</v>
          </cell>
          <cell r="D462" t="str">
            <v>PP4241sm</v>
          </cell>
          <cell r="E462">
            <v>1</v>
          </cell>
          <cell r="F462">
            <v>32</v>
          </cell>
          <cell r="G462" t="str">
            <v>EL</v>
          </cell>
          <cell r="H462">
            <v>0</v>
          </cell>
          <cell r="I462" t="str">
            <v>????</v>
          </cell>
        </row>
        <row r="463">
          <cell r="B463">
            <v>1400</v>
          </cell>
          <cell r="C463">
            <v>24</v>
          </cell>
          <cell r="D463" t="str">
            <v>PP4241sm M/S</v>
          </cell>
          <cell r="E463">
            <v>1</v>
          </cell>
          <cell r="F463">
            <v>32</v>
          </cell>
          <cell r="G463" t="str">
            <v>EL</v>
          </cell>
          <cell r="H463">
            <v>0</v>
          </cell>
          <cell r="I463" t="str">
            <v>????</v>
          </cell>
        </row>
        <row r="464">
          <cell r="B464">
            <v>1405</v>
          </cell>
          <cell r="C464">
            <v>24</v>
          </cell>
          <cell r="D464" t="str">
            <v>PP4242</v>
          </cell>
          <cell r="E464">
            <v>2</v>
          </cell>
          <cell r="F464">
            <v>32</v>
          </cell>
          <cell r="G464" t="str">
            <v>EL</v>
          </cell>
          <cell r="H464">
            <v>0</v>
          </cell>
          <cell r="I464" t="str">
            <v>????</v>
          </cell>
        </row>
        <row r="465">
          <cell r="B465">
            <v>1410</v>
          </cell>
          <cell r="C465">
            <v>24</v>
          </cell>
          <cell r="D465" t="str">
            <v>PP4242 M/S</v>
          </cell>
          <cell r="E465">
            <v>2</v>
          </cell>
          <cell r="F465">
            <v>32</v>
          </cell>
          <cell r="G465" t="str">
            <v>EL</v>
          </cell>
          <cell r="H465">
            <v>0</v>
          </cell>
          <cell r="I465" t="str">
            <v>????</v>
          </cell>
        </row>
        <row r="466">
          <cell r="B466">
            <v>1415</v>
          </cell>
          <cell r="C466">
            <v>24</v>
          </cell>
          <cell r="D466" t="str">
            <v>PP4242sm</v>
          </cell>
          <cell r="E466">
            <v>2</v>
          </cell>
          <cell r="F466">
            <v>32</v>
          </cell>
          <cell r="G466" t="str">
            <v>EL</v>
          </cell>
          <cell r="H466">
            <v>0</v>
          </cell>
          <cell r="I466" t="str">
            <v>????</v>
          </cell>
        </row>
        <row r="467">
          <cell r="B467">
            <v>1420</v>
          </cell>
          <cell r="C467">
            <v>24</v>
          </cell>
          <cell r="D467" t="str">
            <v>PP4242sm M/S</v>
          </cell>
          <cell r="E467">
            <v>2</v>
          </cell>
          <cell r="F467">
            <v>32</v>
          </cell>
          <cell r="G467" t="str">
            <v>EL</v>
          </cell>
          <cell r="H467">
            <v>0</v>
          </cell>
          <cell r="I467" t="str">
            <v>????</v>
          </cell>
        </row>
        <row r="468">
          <cell r="B468">
            <v>1425</v>
          </cell>
          <cell r="C468">
            <v>24</v>
          </cell>
          <cell r="D468" t="str">
            <v>PP4243</v>
          </cell>
          <cell r="E468">
            <v>3</v>
          </cell>
          <cell r="F468">
            <v>32</v>
          </cell>
          <cell r="G468" t="str">
            <v>EL</v>
          </cell>
          <cell r="H468">
            <v>0</v>
          </cell>
          <cell r="I468" t="str">
            <v>????</v>
          </cell>
        </row>
        <row r="469">
          <cell r="B469">
            <v>1430</v>
          </cell>
          <cell r="C469">
            <v>24</v>
          </cell>
          <cell r="D469" t="str">
            <v>PP4243sm</v>
          </cell>
          <cell r="E469">
            <v>3</v>
          </cell>
          <cell r="F469">
            <v>32</v>
          </cell>
          <cell r="G469" t="str">
            <v>EL</v>
          </cell>
          <cell r="H469">
            <v>0</v>
          </cell>
          <cell r="I469" t="str">
            <v>????</v>
          </cell>
        </row>
        <row r="470">
          <cell r="B470">
            <v>1435</v>
          </cell>
          <cell r="C470">
            <v>24</v>
          </cell>
          <cell r="D470" t="str">
            <v>PP4244</v>
          </cell>
          <cell r="E470">
            <v>4</v>
          </cell>
          <cell r="F470">
            <v>32</v>
          </cell>
          <cell r="G470" t="str">
            <v>EL</v>
          </cell>
          <cell r="H470">
            <v>0</v>
          </cell>
          <cell r="I470" t="str">
            <v>????</v>
          </cell>
        </row>
        <row r="471">
          <cell r="B471">
            <v>1440</v>
          </cell>
          <cell r="C471">
            <v>24</v>
          </cell>
          <cell r="D471" t="str">
            <v>PP4244sm</v>
          </cell>
          <cell r="E471">
            <v>4</v>
          </cell>
          <cell r="F471">
            <v>32</v>
          </cell>
          <cell r="G471" t="str">
            <v>EL</v>
          </cell>
          <cell r="H471">
            <v>0</v>
          </cell>
          <cell r="I471" t="str">
            <v>????</v>
          </cell>
        </row>
        <row r="472">
          <cell r="B472">
            <v>1450</v>
          </cell>
          <cell r="C472">
            <v>12</v>
          </cell>
          <cell r="D472" t="str">
            <v>PP5121</v>
          </cell>
          <cell r="E472">
            <v>1</v>
          </cell>
          <cell r="F472">
            <v>17</v>
          </cell>
          <cell r="G472" t="str">
            <v>EL</v>
          </cell>
          <cell r="H472">
            <v>0</v>
          </cell>
          <cell r="I472" t="str">
            <v>????</v>
          </cell>
        </row>
        <row r="473">
          <cell r="B473">
            <v>1455</v>
          </cell>
          <cell r="C473">
            <v>12</v>
          </cell>
          <cell r="D473" t="str">
            <v>PP5122</v>
          </cell>
          <cell r="E473">
            <v>2</v>
          </cell>
          <cell r="F473">
            <v>17</v>
          </cell>
          <cell r="G473" t="str">
            <v>EL</v>
          </cell>
          <cell r="H473">
            <v>0</v>
          </cell>
          <cell r="I473" t="str">
            <v>????</v>
          </cell>
        </row>
        <row r="474">
          <cell r="B474">
            <v>1460</v>
          </cell>
          <cell r="C474">
            <v>13</v>
          </cell>
          <cell r="D474" t="str">
            <v>PP5131</v>
          </cell>
          <cell r="E474">
            <v>1</v>
          </cell>
          <cell r="F474">
            <v>25</v>
          </cell>
          <cell r="G474" t="str">
            <v>EL</v>
          </cell>
          <cell r="H474">
            <v>0</v>
          </cell>
          <cell r="I474" t="str">
            <v>????</v>
          </cell>
        </row>
        <row r="475">
          <cell r="B475">
            <v>1465</v>
          </cell>
          <cell r="C475">
            <v>13</v>
          </cell>
          <cell r="D475" t="str">
            <v>PP5132</v>
          </cell>
          <cell r="E475">
            <v>2</v>
          </cell>
          <cell r="F475">
            <v>25</v>
          </cell>
          <cell r="G475" t="str">
            <v>EL</v>
          </cell>
          <cell r="H475">
            <v>0</v>
          </cell>
          <cell r="I475" t="str">
            <v>????</v>
          </cell>
        </row>
        <row r="476">
          <cell r="B476">
            <v>1470</v>
          </cell>
          <cell r="C476">
            <v>14</v>
          </cell>
          <cell r="D476" t="str">
            <v>PP5141</v>
          </cell>
          <cell r="E476">
            <v>1</v>
          </cell>
          <cell r="F476">
            <v>32</v>
          </cell>
          <cell r="G476" t="str">
            <v>EL</v>
          </cell>
          <cell r="H476">
            <v>30</v>
          </cell>
          <cell r="I476" t="str">
            <v>F41LL</v>
          </cell>
          <cell r="J476" t="str">
            <v>New 1'x 4'x 1 32w lmp &amp; EL bal &amp; Refl Fix SR</v>
          </cell>
        </row>
        <row r="477">
          <cell r="B477" t="str">
            <v>1475</v>
          </cell>
          <cell r="C477">
            <v>14</v>
          </cell>
          <cell r="D477" t="str">
            <v>PP5142</v>
          </cell>
          <cell r="E477">
            <v>2</v>
          </cell>
          <cell r="F477">
            <v>32</v>
          </cell>
          <cell r="G477" t="str">
            <v>EL</v>
          </cell>
          <cell r="H477">
            <v>62</v>
          </cell>
          <cell r="I477" t="str">
            <v>F42LL</v>
          </cell>
          <cell r="J477" t="str">
            <v>New 1'x 4'x 2 32w lmp &amp; EL bal &amp; Refl Fix SR</v>
          </cell>
        </row>
        <row r="478">
          <cell r="B478">
            <v>1480</v>
          </cell>
          <cell r="C478">
            <v>14</v>
          </cell>
          <cell r="D478" t="str">
            <v>PP5143</v>
          </cell>
          <cell r="E478">
            <v>3</v>
          </cell>
          <cell r="F478">
            <v>32</v>
          </cell>
          <cell r="G478" t="str">
            <v>EL</v>
          </cell>
          <cell r="H478">
            <v>0</v>
          </cell>
          <cell r="I478" t="str">
            <v>????</v>
          </cell>
        </row>
        <row r="479">
          <cell r="B479">
            <v>1485</v>
          </cell>
          <cell r="C479">
            <v>16</v>
          </cell>
          <cell r="D479" t="str">
            <v>PP5162</v>
          </cell>
          <cell r="E479">
            <v>2</v>
          </cell>
          <cell r="F479">
            <v>25</v>
          </cell>
          <cell r="G479" t="str">
            <v>EL</v>
          </cell>
          <cell r="H479">
            <v>0</v>
          </cell>
          <cell r="I479" t="str">
            <v>????</v>
          </cell>
        </row>
        <row r="480">
          <cell r="B480">
            <v>1490</v>
          </cell>
          <cell r="C480">
            <v>16</v>
          </cell>
          <cell r="D480" t="str">
            <v>PP5164</v>
          </cell>
          <cell r="E480">
            <v>4</v>
          </cell>
          <cell r="F480">
            <v>25</v>
          </cell>
          <cell r="G480" t="str">
            <v>EL</v>
          </cell>
          <cell r="H480">
            <v>0</v>
          </cell>
          <cell r="I480" t="str">
            <v>????</v>
          </cell>
        </row>
        <row r="481">
          <cell r="B481">
            <v>1495</v>
          </cell>
          <cell r="C481">
            <v>18</v>
          </cell>
          <cell r="D481" t="str">
            <v>PP5182</v>
          </cell>
          <cell r="E481">
            <v>32</v>
          </cell>
          <cell r="F481" t="str">
            <v>EL</v>
          </cell>
          <cell r="G481" t="str">
            <v>Y</v>
          </cell>
          <cell r="H481">
            <v>62</v>
          </cell>
          <cell r="I481" t="str">
            <v>F42LL</v>
          </cell>
          <cell r="J481" t="str">
            <v>New 1'x 4'x 2 32w lmp &amp; EL bal &amp; Refl Fix SR</v>
          </cell>
        </row>
        <row r="482">
          <cell r="B482">
            <v>1500</v>
          </cell>
          <cell r="C482">
            <v>18</v>
          </cell>
          <cell r="D482" t="str">
            <v>PP5184</v>
          </cell>
          <cell r="E482">
            <v>32</v>
          </cell>
          <cell r="F482" t="str">
            <v>EL</v>
          </cell>
          <cell r="G482" t="str">
            <v>Y</v>
          </cell>
          <cell r="H482">
            <v>110</v>
          </cell>
          <cell r="I482" t="str">
            <v>F44LL</v>
          </cell>
          <cell r="J482" t="str">
            <v>New 1'x 4'x 4 32w lmp &amp; EL bal &amp; Refl Fix SR</v>
          </cell>
        </row>
        <row r="483">
          <cell r="B483">
            <v>1505</v>
          </cell>
          <cell r="C483">
            <v>18</v>
          </cell>
          <cell r="D483" t="str">
            <v>PP5186</v>
          </cell>
          <cell r="E483">
            <v>6</v>
          </cell>
          <cell r="F483">
            <v>32</v>
          </cell>
          <cell r="G483" t="str">
            <v>EL</v>
          </cell>
          <cell r="H483">
            <v>0</v>
          </cell>
          <cell r="I483" t="str">
            <v>????</v>
          </cell>
        </row>
        <row r="484">
          <cell r="B484">
            <v>1510</v>
          </cell>
          <cell r="C484">
            <v>18</v>
          </cell>
          <cell r="D484" t="str">
            <v>PP5181</v>
          </cell>
          <cell r="E484">
            <v>1</v>
          </cell>
          <cell r="F484">
            <v>59</v>
          </cell>
          <cell r="G484" t="str">
            <v>EL</v>
          </cell>
          <cell r="H484">
            <v>0</v>
          </cell>
          <cell r="I484" t="str">
            <v>????</v>
          </cell>
        </row>
        <row r="485">
          <cell r="B485">
            <v>1515</v>
          </cell>
          <cell r="C485">
            <v>18</v>
          </cell>
          <cell r="D485" t="str">
            <v>PP5182</v>
          </cell>
          <cell r="E485">
            <v>2</v>
          </cell>
          <cell r="F485">
            <v>59</v>
          </cell>
          <cell r="G485" t="str">
            <v>EL</v>
          </cell>
          <cell r="H485">
            <v>0</v>
          </cell>
          <cell r="I485" t="str">
            <v>????</v>
          </cell>
        </row>
        <row r="486">
          <cell r="B486">
            <v>1520</v>
          </cell>
          <cell r="C486">
            <v>112</v>
          </cell>
          <cell r="D486" t="str">
            <v>PP5112</v>
          </cell>
          <cell r="E486">
            <v>3</v>
          </cell>
          <cell r="F486">
            <v>32</v>
          </cell>
          <cell r="G486" t="str">
            <v>EL</v>
          </cell>
          <cell r="H486">
            <v>0</v>
          </cell>
          <cell r="I486" t="str">
            <v>????</v>
          </cell>
        </row>
        <row r="487">
          <cell r="B487">
            <v>1524</v>
          </cell>
          <cell r="C487">
            <v>18</v>
          </cell>
          <cell r="D487" t="str">
            <v>PP5182</v>
          </cell>
          <cell r="E487">
            <v>32</v>
          </cell>
          <cell r="F487" t="str">
            <v>EL</v>
          </cell>
          <cell r="G487" t="str">
            <v>N</v>
          </cell>
          <cell r="H487">
            <v>62</v>
          </cell>
          <cell r="I487" t="str">
            <v>F42LL</v>
          </cell>
          <cell r="J487" t="str">
            <v>1X8X2 STRIP NO REFLECTOR</v>
          </cell>
        </row>
        <row r="488">
          <cell r="B488">
            <v>1525</v>
          </cell>
          <cell r="C488" t="str">
            <v>HALF1X16</v>
          </cell>
          <cell r="D488" t="str">
            <v>PP5116</v>
          </cell>
          <cell r="E488">
            <v>32</v>
          </cell>
          <cell r="F488" t="str">
            <v>EL</v>
          </cell>
          <cell r="G488" t="str">
            <v>Y</v>
          </cell>
          <cell r="H488">
            <v>55</v>
          </cell>
          <cell r="I488" t="str">
            <v>F42LL</v>
          </cell>
          <cell r="J488" t="str">
            <v>HALF 1X16X4 STRIP WITH REFLECTOR</v>
          </cell>
        </row>
        <row r="489">
          <cell r="B489">
            <v>1526</v>
          </cell>
          <cell r="C489" t="str">
            <v>HALF1X16</v>
          </cell>
          <cell r="D489" t="str">
            <v>PP5116</v>
          </cell>
          <cell r="E489">
            <v>32</v>
          </cell>
          <cell r="F489" t="str">
            <v>EL</v>
          </cell>
          <cell r="G489" t="str">
            <v>N</v>
          </cell>
          <cell r="H489">
            <v>55</v>
          </cell>
          <cell r="I489" t="str">
            <v>F42LL</v>
          </cell>
          <cell r="J489" t="str">
            <v>HALF 1X16X4 STRIP NO REFLECTOR</v>
          </cell>
        </row>
        <row r="490">
          <cell r="B490">
            <v>1530</v>
          </cell>
          <cell r="C490">
            <v>116</v>
          </cell>
          <cell r="D490" t="str">
            <v>PP5116</v>
          </cell>
          <cell r="E490">
            <v>2</v>
          </cell>
          <cell r="F490">
            <v>59</v>
          </cell>
          <cell r="G490" t="str">
            <v>EL</v>
          </cell>
          <cell r="H490">
            <v>0</v>
          </cell>
          <cell r="I490" t="str">
            <v>????</v>
          </cell>
        </row>
        <row r="491">
          <cell r="B491">
            <v>1535</v>
          </cell>
          <cell r="C491">
            <v>14</v>
          </cell>
          <cell r="D491" t="str">
            <v>PP5141OEVP</v>
          </cell>
          <cell r="E491">
            <v>1</v>
          </cell>
          <cell r="F491">
            <v>32</v>
          </cell>
          <cell r="G491" t="str">
            <v>EL</v>
          </cell>
          <cell r="H491">
            <v>30</v>
          </cell>
          <cell r="I491" t="str">
            <v>F41LL</v>
          </cell>
          <cell r="J491" t="str">
            <v>New 1'x 4'x 1 32w lmp &amp; EL bal &amp; Refl Fix VP</v>
          </cell>
        </row>
        <row r="492">
          <cell r="B492">
            <v>1540</v>
          </cell>
          <cell r="C492">
            <v>14</v>
          </cell>
          <cell r="D492" t="str">
            <v>PP5142OEVP</v>
          </cell>
          <cell r="E492">
            <v>2</v>
          </cell>
          <cell r="F492">
            <v>32</v>
          </cell>
          <cell r="G492" t="str">
            <v>EL</v>
          </cell>
          <cell r="H492">
            <v>62</v>
          </cell>
          <cell r="I492" t="str">
            <v>F42LL</v>
          </cell>
          <cell r="J492" t="str">
            <v>New 1'x 4'x 2 32w lmp &amp; EL bal &amp; Refl Fix VP</v>
          </cell>
        </row>
        <row r="493">
          <cell r="B493">
            <v>1545</v>
          </cell>
          <cell r="C493">
            <v>18</v>
          </cell>
          <cell r="D493" t="str">
            <v>PP5182OEVP</v>
          </cell>
          <cell r="E493">
            <v>32</v>
          </cell>
          <cell r="F493" t="str">
            <v>EL</v>
          </cell>
          <cell r="G493" t="str">
            <v>Y</v>
          </cell>
          <cell r="H493">
            <v>62</v>
          </cell>
          <cell r="I493" t="str">
            <v>F42LL</v>
          </cell>
          <cell r="J493" t="str">
            <v>New 1'x 8'x 2 32w lmp &amp; EL bal &amp; Refl Fix VP</v>
          </cell>
        </row>
        <row r="494">
          <cell r="B494">
            <v>1550</v>
          </cell>
          <cell r="C494">
            <v>18</v>
          </cell>
          <cell r="D494" t="str">
            <v>PP5184OEVP</v>
          </cell>
          <cell r="E494">
            <v>4</v>
          </cell>
          <cell r="F494">
            <v>32</v>
          </cell>
          <cell r="G494" t="str">
            <v>EL</v>
          </cell>
          <cell r="H494">
            <v>0</v>
          </cell>
          <cell r="I494" t="str">
            <v>????</v>
          </cell>
          <cell r="J494" t="str">
            <v>New 1'x 8'x 4 32w lmp &amp; EL bal &amp; Refl Fix VP</v>
          </cell>
        </row>
        <row r="495">
          <cell r="B495">
            <v>1555</v>
          </cell>
          <cell r="C495">
            <v>18</v>
          </cell>
          <cell r="D495" t="str">
            <v>PP5181OEVP</v>
          </cell>
          <cell r="E495">
            <v>1</v>
          </cell>
          <cell r="F495">
            <v>59</v>
          </cell>
          <cell r="G495" t="str">
            <v>EL</v>
          </cell>
          <cell r="H495">
            <v>0</v>
          </cell>
          <cell r="I495" t="str">
            <v>????</v>
          </cell>
        </row>
        <row r="496">
          <cell r="B496">
            <v>1560</v>
          </cell>
          <cell r="C496">
            <v>18</v>
          </cell>
          <cell r="D496" t="str">
            <v>PP5182OEVP</v>
          </cell>
          <cell r="E496">
            <v>2</v>
          </cell>
          <cell r="F496">
            <v>59</v>
          </cell>
          <cell r="G496" t="str">
            <v>EL</v>
          </cell>
          <cell r="H496">
            <v>0</v>
          </cell>
          <cell r="I496" t="str">
            <v>????</v>
          </cell>
        </row>
        <row r="497">
          <cell r="B497">
            <v>1570</v>
          </cell>
          <cell r="C497">
            <v>12</v>
          </cell>
          <cell r="D497" t="str">
            <v>ST121</v>
          </cell>
          <cell r="E497">
            <v>1</v>
          </cell>
          <cell r="F497">
            <v>17</v>
          </cell>
          <cell r="G497" t="str">
            <v>EL</v>
          </cell>
          <cell r="H497">
            <v>0</v>
          </cell>
          <cell r="I497" t="str">
            <v>????</v>
          </cell>
        </row>
        <row r="498">
          <cell r="B498">
            <v>1575</v>
          </cell>
          <cell r="C498">
            <v>12</v>
          </cell>
          <cell r="D498" t="str">
            <v>ST122</v>
          </cell>
          <cell r="E498">
            <v>2</v>
          </cell>
          <cell r="F498">
            <v>17</v>
          </cell>
          <cell r="G498" t="str">
            <v>EL</v>
          </cell>
          <cell r="H498">
            <v>0</v>
          </cell>
          <cell r="I498" t="str">
            <v>????</v>
          </cell>
        </row>
        <row r="499">
          <cell r="B499">
            <v>1580</v>
          </cell>
          <cell r="C499">
            <v>13</v>
          </cell>
          <cell r="D499" t="str">
            <v>ST131</v>
          </cell>
          <cell r="E499">
            <v>1</v>
          </cell>
          <cell r="F499">
            <v>25</v>
          </cell>
          <cell r="G499" t="str">
            <v>EL</v>
          </cell>
          <cell r="H499">
            <v>0</v>
          </cell>
          <cell r="I499" t="str">
            <v>????</v>
          </cell>
        </row>
        <row r="500">
          <cell r="B500">
            <v>1585</v>
          </cell>
          <cell r="C500">
            <v>13</v>
          </cell>
          <cell r="D500" t="str">
            <v>ST132</v>
          </cell>
          <cell r="E500">
            <v>2</v>
          </cell>
          <cell r="F500">
            <v>25</v>
          </cell>
          <cell r="G500" t="str">
            <v>EL</v>
          </cell>
          <cell r="H500">
            <v>0</v>
          </cell>
          <cell r="I500" t="str">
            <v>????</v>
          </cell>
        </row>
        <row r="501">
          <cell r="B501">
            <v>1590</v>
          </cell>
          <cell r="C501">
            <v>14</v>
          </cell>
          <cell r="D501" t="str">
            <v>ST141</v>
          </cell>
          <cell r="E501">
            <v>1</v>
          </cell>
          <cell r="F501">
            <v>32</v>
          </cell>
          <cell r="G501" t="str">
            <v>EL</v>
          </cell>
          <cell r="H501">
            <v>0</v>
          </cell>
          <cell r="I501" t="str">
            <v>????</v>
          </cell>
          <cell r="J501" t="str">
            <v>New 1'x 4'x 2 32w Lamps &amp; EL bal ST</v>
          </cell>
        </row>
        <row r="502">
          <cell r="B502" t="str">
            <v>1595</v>
          </cell>
          <cell r="C502">
            <v>14</v>
          </cell>
          <cell r="D502" t="str">
            <v>ST142</v>
          </cell>
          <cell r="E502">
            <v>2</v>
          </cell>
          <cell r="F502">
            <v>32</v>
          </cell>
          <cell r="G502" t="str">
            <v>EL</v>
          </cell>
          <cell r="H502">
            <v>58</v>
          </cell>
          <cell r="I502" t="str">
            <v>????</v>
          </cell>
          <cell r="J502" t="str">
            <v>New 1'x 4'x 2 32w Lamps &amp; EL bal ST</v>
          </cell>
        </row>
        <row r="503">
          <cell r="B503">
            <v>1600</v>
          </cell>
          <cell r="C503">
            <v>18</v>
          </cell>
          <cell r="D503" t="str">
            <v>ST182</v>
          </cell>
          <cell r="E503">
            <v>2</v>
          </cell>
          <cell r="F503">
            <v>32</v>
          </cell>
          <cell r="G503" t="str">
            <v>EL</v>
          </cell>
          <cell r="H503">
            <v>0</v>
          </cell>
          <cell r="I503" t="str">
            <v>????</v>
          </cell>
          <cell r="J503" t="str">
            <v>New 1'x 8'x 2 32w Lamps &amp; EL bal ST</v>
          </cell>
        </row>
        <row r="504">
          <cell r="B504">
            <v>1605</v>
          </cell>
          <cell r="C504">
            <v>18</v>
          </cell>
          <cell r="D504" t="str">
            <v>ST181</v>
          </cell>
          <cell r="E504">
            <v>1</v>
          </cell>
          <cell r="F504">
            <v>59</v>
          </cell>
          <cell r="G504" t="str">
            <v>EL</v>
          </cell>
          <cell r="H504">
            <v>0</v>
          </cell>
          <cell r="I504" t="str">
            <v>????</v>
          </cell>
          <cell r="J504" t="str">
            <v>New 1'x 8'x 1 59w Lamps &amp; EL bal ST</v>
          </cell>
        </row>
        <row r="505">
          <cell r="B505">
            <v>1610</v>
          </cell>
          <cell r="C505">
            <v>18</v>
          </cell>
          <cell r="D505" t="str">
            <v>ST182</v>
          </cell>
          <cell r="E505">
            <v>2</v>
          </cell>
          <cell r="F505">
            <v>59</v>
          </cell>
          <cell r="G505" t="str">
            <v>EL</v>
          </cell>
          <cell r="H505">
            <v>0</v>
          </cell>
          <cell r="I505" t="str">
            <v>????</v>
          </cell>
          <cell r="J505" t="str">
            <v>New 1'x 8'x 2 59w Lamps &amp; EL bal ST</v>
          </cell>
        </row>
        <row r="506">
          <cell r="B506" t="str">
            <v>1615</v>
          </cell>
          <cell r="C506">
            <v>18</v>
          </cell>
          <cell r="D506" t="str">
            <v>ST184</v>
          </cell>
          <cell r="E506">
            <v>4</v>
          </cell>
          <cell r="F506">
            <v>32</v>
          </cell>
          <cell r="G506" t="str">
            <v>EL</v>
          </cell>
          <cell r="I506" t="str">
            <v>????</v>
          </cell>
          <cell r="J506" t="str">
            <v>New 1'x 8'x 4 32w Lamps &amp; EL bal ST</v>
          </cell>
        </row>
        <row r="507">
          <cell r="B507">
            <v>1620</v>
          </cell>
          <cell r="C507">
            <v>112</v>
          </cell>
          <cell r="D507" t="str">
            <v>ST1123</v>
          </cell>
          <cell r="E507">
            <v>3</v>
          </cell>
          <cell r="F507">
            <v>32</v>
          </cell>
          <cell r="G507" t="str">
            <v>EL</v>
          </cell>
          <cell r="H507">
            <v>0</v>
          </cell>
          <cell r="I507" t="str">
            <v>????</v>
          </cell>
        </row>
        <row r="508">
          <cell r="B508">
            <v>1625</v>
          </cell>
          <cell r="C508">
            <v>116</v>
          </cell>
          <cell r="D508" t="str">
            <v>ST1164</v>
          </cell>
          <cell r="E508">
            <v>4</v>
          </cell>
          <cell r="F508">
            <v>32</v>
          </cell>
          <cell r="G508" t="str">
            <v>EL</v>
          </cell>
          <cell r="H508">
            <v>0</v>
          </cell>
          <cell r="I508" t="str">
            <v>????</v>
          </cell>
        </row>
        <row r="509">
          <cell r="B509">
            <v>2015</v>
          </cell>
          <cell r="C509" t="str">
            <v>N/A</v>
          </cell>
          <cell r="D509" t="str">
            <v>N/A</v>
          </cell>
          <cell r="E509">
            <v>2</v>
          </cell>
          <cell r="F509" t="str">
            <v>N/A</v>
          </cell>
          <cell r="G509" t="str">
            <v>N/A</v>
          </cell>
          <cell r="H509">
            <v>15</v>
          </cell>
          <cell r="I509" t="str">
            <v>15/2</v>
          </cell>
          <cell r="J509" t="str">
            <v>2L 15w Incandescent</v>
          </cell>
        </row>
        <row r="510">
          <cell r="B510">
            <v>2021</v>
          </cell>
          <cell r="C510" t="str">
            <v>N/A</v>
          </cell>
          <cell r="D510">
            <v>2</v>
          </cell>
          <cell r="E510">
            <v>20</v>
          </cell>
          <cell r="F510" t="str">
            <v>N/A</v>
          </cell>
          <cell r="G510" t="str">
            <v>N/A</v>
          </cell>
          <cell r="H510">
            <v>40</v>
          </cell>
          <cell r="I510" t="str">
            <v>20/2</v>
          </cell>
          <cell r="J510" t="str">
            <v>2L 20w Incandescent</v>
          </cell>
        </row>
        <row r="511">
          <cell r="B511">
            <v>2025</v>
          </cell>
          <cell r="C511" t="str">
            <v>N/A</v>
          </cell>
          <cell r="D511">
            <v>1</v>
          </cell>
          <cell r="E511">
            <v>25</v>
          </cell>
          <cell r="F511" t="str">
            <v>N/A</v>
          </cell>
          <cell r="G511" t="str">
            <v>N/A</v>
          </cell>
          <cell r="H511">
            <v>25</v>
          </cell>
          <cell r="I511" t="str">
            <v>25/1</v>
          </cell>
          <cell r="J511" t="str">
            <v>1L 25w Incandescent</v>
          </cell>
        </row>
        <row r="512">
          <cell r="B512">
            <v>2026</v>
          </cell>
          <cell r="C512" t="str">
            <v>N/A</v>
          </cell>
          <cell r="D512" t="str">
            <v>N/A</v>
          </cell>
          <cell r="E512">
            <v>25</v>
          </cell>
          <cell r="F512" t="str">
            <v>N/A</v>
          </cell>
          <cell r="G512" t="str">
            <v>N/A</v>
          </cell>
          <cell r="H512">
            <v>50</v>
          </cell>
          <cell r="I512" t="str">
            <v>I25/2</v>
          </cell>
          <cell r="J512" t="str">
            <v>2L 25w Incandescent</v>
          </cell>
        </row>
        <row r="513">
          <cell r="B513">
            <v>2027</v>
          </cell>
          <cell r="C513" t="str">
            <v>N/A</v>
          </cell>
          <cell r="D513" t="str">
            <v>N/A</v>
          </cell>
          <cell r="E513">
            <v>25</v>
          </cell>
          <cell r="F513" t="str">
            <v>N/A</v>
          </cell>
          <cell r="G513" t="str">
            <v>N/A</v>
          </cell>
          <cell r="H513">
            <v>75</v>
          </cell>
          <cell r="I513" t="str">
            <v>I25/3</v>
          </cell>
          <cell r="J513" t="str">
            <v>3L 25w Incandescent</v>
          </cell>
        </row>
        <row r="514">
          <cell r="B514">
            <v>2028</v>
          </cell>
          <cell r="C514" t="str">
            <v>N/A</v>
          </cell>
          <cell r="D514" t="str">
            <v>N/A</v>
          </cell>
          <cell r="E514">
            <v>25</v>
          </cell>
          <cell r="F514" t="str">
            <v>N/A</v>
          </cell>
          <cell r="G514" t="str">
            <v>N/A</v>
          </cell>
          <cell r="H514">
            <v>100</v>
          </cell>
          <cell r="I514" t="str">
            <v>I25/4</v>
          </cell>
          <cell r="J514" t="str">
            <v>4L 25w Incandescent</v>
          </cell>
        </row>
        <row r="515">
          <cell r="B515">
            <v>2034</v>
          </cell>
          <cell r="C515" t="str">
            <v>N/A</v>
          </cell>
          <cell r="D515" t="str">
            <v>N/A</v>
          </cell>
          <cell r="F515" t="str">
            <v>N/A</v>
          </cell>
          <cell r="G515" t="str">
            <v>N/A</v>
          </cell>
          <cell r="H515">
            <v>34</v>
          </cell>
          <cell r="I515" t="str">
            <v>I34/1</v>
          </cell>
          <cell r="J515" t="str">
            <v>1L 34w Incandescent</v>
          </cell>
        </row>
        <row r="516">
          <cell r="B516">
            <v>2035</v>
          </cell>
          <cell r="C516" t="str">
            <v>N/A</v>
          </cell>
          <cell r="D516" t="str">
            <v>N/A</v>
          </cell>
          <cell r="F516" t="str">
            <v>N/A</v>
          </cell>
          <cell r="G516" t="str">
            <v>N/A</v>
          </cell>
          <cell r="H516">
            <v>68</v>
          </cell>
          <cell r="I516" t="str">
            <v>I34/2</v>
          </cell>
          <cell r="J516" t="str">
            <v>2L 34w Incandescent</v>
          </cell>
        </row>
        <row r="517">
          <cell r="B517">
            <v>2036</v>
          </cell>
          <cell r="C517" t="str">
            <v>N/A</v>
          </cell>
          <cell r="D517" t="str">
            <v>N/A</v>
          </cell>
          <cell r="F517" t="str">
            <v>N/A</v>
          </cell>
          <cell r="G517" t="str">
            <v>N/A</v>
          </cell>
          <cell r="H517">
            <v>102</v>
          </cell>
          <cell r="I517" t="str">
            <v>I34/3</v>
          </cell>
          <cell r="J517" t="str">
            <v>3L 34w Incandescent</v>
          </cell>
        </row>
        <row r="518">
          <cell r="B518">
            <v>2037</v>
          </cell>
          <cell r="C518" t="str">
            <v>N/A</v>
          </cell>
          <cell r="D518" t="str">
            <v>N/A</v>
          </cell>
          <cell r="F518" t="str">
            <v>N/A</v>
          </cell>
          <cell r="G518" t="str">
            <v>N/A</v>
          </cell>
          <cell r="H518">
            <v>136</v>
          </cell>
          <cell r="I518" t="str">
            <v>I34/4</v>
          </cell>
          <cell r="J518" t="str">
            <v>4L 34w Incandescent</v>
          </cell>
        </row>
        <row r="519">
          <cell r="B519">
            <v>2050</v>
          </cell>
          <cell r="C519" t="str">
            <v>N/A</v>
          </cell>
          <cell r="D519" t="str">
            <v>N/A</v>
          </cell>
          <cell r="E519">
            <v>50</v>
          </cell>
          <cell r="F519" t="str">
            <v>N/A</v>
          </cell>
          <cell r="G519" t="str">
            <v>N/A</v>
          </cell>
          <cell r="H519">
            <v>50</v>
          </cell>
          <cell r="I519" t="str">
            <v>I50/1</v>
          </cell>
          <cell r="J519" t="str">
            <v>1L 50w Incandescent</v>
          </cell>
        </row>
        <row r="520">
          <cell r="B520">
            <v>2040</v>
          </cell>
          <cell r="C520" t="str">
            <v>N/A</v>
          </cell>
          <cell r="D520" t="str">
            <v>N/A</v>
          </cell>
          <cell r="E520">
            <v>40</v>
          </cell>
          <cell r="F520" t="str">
            <v>N/A</v>
          </cell>
          <cell r="G520" t="str">
            <v>N/A</v>
          </cell>
          <cell r="H520">
            <v>40</v>
          </cell>
          <cell r="I520" t="str">
            <v>I40/1</v>
          </cell>
          <cell r="J520" t="str">
            <v>1L 40w Incandescent</v>
          </cell>
        </row>
        <row r="521">
          <cell r="B521">
            <v>2041</v>
          </cell>
          <cell r="C521" t="str">
            <v>N/A</v>
          </cell>
          <cell r="D521" t="str">
            <v>N/A</v>
          </cell>
          <cell r="E521">
            <v>2</v>
          </cell>
          <cell r="F521" t="str">
            <v>N/A</v>
          </cell>
          <cell r="G521" t="str">
            <v>N/A</v>
          </cell>
          <cell r="H521">
            <v>80</v>
          </cell>
          <cell r="I521" t="str">
            <v>I40/2</v>
          </cell>
          <cell r="J521" t="str">
            <v>2L 40w Incandescent</v>
          </cell>
        </row>
        <row r="522">
          <cell r="B522">
            <v>2042</v>
          </cell>
          <cell r="C522" t="str">
            <v>N/A</v>
          </cell>
          <cell r="D522" t="str">
            <v>N/A</v>
          </cell>
          <cell r="E522">
            <v>3</v>
          </cell>
          <cell r="F522" t="str">
            <v>N/A</v>
          </cell>
          <cell r="G522" t="str">
            <v>N/A</v>
          </cell>
          <cell r="H522">
            <v>120</v>
          </cell>
          <cell r="I522" t="str">
            <v>I40/3</v>
          </cell>
          <cell r="J522" t="str">
            <v>3L 40w Incandescent</v>
          </cell>
        </row>
        <row r="523">
          <cell r="B523">
            <v>2043</v>
          </cell>
          <cell r="C523" t="str">
            <v>N/A</v>
          </cell>
          <cell r="D523" t="str">
            <v>N/A</v>
          </cell>
          <cell r="E523">
            <v>4</v>
          </cell>
          <cell r="F523" t="str">
            <v>N/A</v>
          </cell>
          <cell r="G523" t="str">
            <v>N/A</v>
          </cell>
          <cell r="H523">
            <v>160</v>
          </cell>
          <cell r="I523" t="str">
            <v>I40/4</v>
          </cell>
          <cell r="J523" t="str">
            <v>4L 40w Incandescent</v>
          </cell>
        </row>
        <row r="524">
          <cell r="B524">
            <v>2050</v>
          </cell>
          <cell r="C524" t="str">
            <v>N/A</v>
          </cell>
          <cell r="D524" t="str">
            <v>N/A</v>
          </cell>
          <cell r="E524">
            <v>1</v>
          </cell>
          <cell r="F524" t="str">
            <v>N/A</v>
          </cell>
          <cell r="G524" t="str">
            <v>N/A</v>
          </cell>
          <cell r="H524">
            <v>50</v>
          </cell>
          <cell r="I524" t="str">
            <v>I50/1</v>
          </cell>
          <cell r="J524" t="str">
            <v>1L 50w Incandescent</v>
          </cell>
        </row>
        <row r="525">
          <cell r="B525">
            <v>2051</v>
          </cell>
          <cell r="C525" t="str">
            <v>N/A</v>
          </cell>
          <cell r="D525" t="str">
            <v>N/A</v>
          </cell>
          <cell r="E525">
            <v>2</v>
          </cell>
          <cell r="F525" t="str">
            <v>N/A</v>
          </cell>
          <cell r="G525" t="str">
            <v>N/A</v>
          </cell>
          <cell r="H525">
            <v>100</v>
          </cell>
          <cell r="I525" t="str">
            <v>I50/2</v>
          </cell>
          <cell r="J525" t="str">
            <v>2L 50w Incandescent</v>
          </cell>
        </row>
        <row r="526">
          <cell r="B526">
            <v>2052</v>
          </cell>
          <cell r="C526" t="str">
            <v>N/A</v>
          </cell>
          <cell r="D526" t="str">
            <v>N/A</v>
          </cell>
          <cell r="E526">
            <v>3</v>
          </cell>
          <cell r="F526" t="str">
            <v>N/A</v>
          </cell>
          <cell r="G526" t="str">
            <v>N/A</v>
          </cell>
          <cell r="H526">
            <v>150</v>
          </cell>
          <cell r="I526" t="str">
            <v>I50/3</v>
          </cell>
          <cell r="J526" t="str">
            <v>3L 50w Incandescent</v>
          </cell>
        </row>
        <row r="527">
          <cell r="B527">
            <v>2053</v>
          </cell>
          <cell r="C527" t="str">
            <v>N/A</v>
          </cell>
          <cell r="D527" t="str">
            <v>N/A</v>
          </cell>
          <cell r="E527">
            <v>4</v>
          </cell>
          <cell r="F527" t="str">
            <v>N/A</v>
          </cell>
          <cell r="G527" t="str">
            <v>N/A</v>
          </cell>
          <cell r="H527">
            <v>200</v>
          </cell>
          <cell r="I527" t="str">
            <v>I50/4</v>
          </cell>
          <cell r="J527" t="str">
            <v>4L 50w Incandescent</v>
          </cell>
        </row>
        <row r="528">
          <cell r="B528">
            <v>2054</v>
          </cell>
          <cell r="C528" t="str">
            <v>N/A</v>
          </cell>
          <cell r="D528" t="str">
            <v>N/A</v>
          </cell>
          <cell r="E528">
            <v>1</v>
          </cell>
          <cell r="F528" t="str">
            <v>N/A</v>
          </cell>
          <cell r="G528" t="str">
            <v>N/A</v>
          </cell>
          <cell r="H528">
            <v>52</v>
          </cell>
          <cell r="I528" t="str">
            <v>I52/1</v>
          </cell>
          <cell r="J528" t="str">
            <v>Incandescent 52w</v>
          </cell>
        </row>
        <row r="529">
          <cell r="B529">
            <v>2060</v>
          </cell>
          <cell r="C529" t="str">
            <v>N/A</v>
          </cell>
          <cell r="D529" t="str">
            <v>N/A</v>
          </cell>
          <cell r="E529">
            <v>1</v>
          </cell>
          <cell r="F529" t="str">
            <v>N/A</v>
          </cell>
          <cell r="G529" t="str">
            <v>N/A</v>
          </cell>
          <cell r="H529">
            <v>60</v>
          </cell>
          <cell r="I529" t="str">
            <v>I60/1</v>
          </cell>
          <cell r="J529" t="str">
            <v>Incandescent 60w</v>
          </cell>
        </row>
        <row r="530">
          <cell r="B530">
            <v>2061</v>
          </cell>
          <cell r="C530" t="str">
            <v>N/A</v>
          </cell>
          <cell r="D530" t="str">
            <v>N/A</v>
          </cell>
          <cell r="E530">
            <v>2</v>
          </cell>
          <cell r="F530" t="str">
            <v>N/A</v>
          </cell>
          <cell r="G530" t="str">
            <v>N/A</v>
          </cell>
          <cell r="H530">
            <v>120</v>
          </cell>
          <cell r="I530" t="str">
            <v>I60/2</v>
          </cell>
          <cell r="J530" t="str">
            <v>2L Incandescent 60w</v>
          </cell>
        </row>
        <row r="531">
          <cell r="B531">
            <v>2062</v>
          </cell>
          <cell r="E531">
            <v>3</v>
          </cell>
          <cell r="H531">
            <v>180</v>
          </cell>
          <cell r="I531" t="str">
            <v>I60/3</v>
          </cell>
          <cell r="J531" t="str">
            <v>3L Incandescent 60w</v>
          </cell>
        </row>
        <row r="532">
          <cell r="B532">
            <v>2063</v>
          </cell>
          <cell r="E532">
            <v>4</v>
          </cell>
          <cell r="H532">
            <v>240</v>
          </cell>
          <cell r="I532" t="str">
            <v>I60/4</v>
          </cell>
          <cell r="J532" t="str">
            <v>4L Incandescent 60w</v>
          </cell>
        </row>
        <row r="533">
          <cell r="B533">
            <v>2065</v>
          </cell>
          <cell r="C533" t="str">
            <v>N/A</v>
          </cell>
          <cell r="D533" t="str">
            <v>N/A</v>
          </cell>
          <cell r="E533">
            <v>1</v>
          </cell>
          <cell r="F533" t="str">
            <v>N/A</v>
          </cell>
          <cell r="G533" t="str">
            <v>N/A</v>
          </cell>
          <cell r="H533">
            <v>65</v>
          </cell>
          <cell r="I533" t="str">
            <v>I65/1</v>
          </cell>
          <cell r="J533" t="str">
            <v>Incandescent 65w</v>
          </cell>
        </row>
        <row r="534">
          <cell r="B534">
            <v>2067</v>
          </cell>
          <cell r="C534" t="str">
            <v>N/A</v>
          </cell>
          <cell r="D534" t="str">
            <v>N/A</v>
          </cell>
          <cell r="E534">
            <v>1</v>
          </cell>
          <cell r="F534" t="str">
            <v>N/A</v>
          </cell>
          <cell r="G534" t="str">
            <v>N/A</v>
          </cell>
          <cell r="H534">
            <v>67</v>
          </cell>
          <cell r="I534" t="str">
            <v>I67/1</v>
          </cell>
          <cell r="J534" t="str">
            <v>Incandescent 67w</v>
          </cell>
        </row>
        <row r="535">
          <cell r="B535">
            <v>2075</v>
          </cell>
          <cell r="C535" t="str">
            <v>N/A</v>
          </cell>
          <cell r="D535" t="str">
            <v>N/A</v>
          </cell>
          <cell r="E535">
            <v>1</v>
          </cell>
          <cell r="F535" t="str">
            <v>N/A</v>
          </cell>
          <cell r="G535" t="str">
            <v>N/A</v>
          </cell>
          <cell r="H535">
            <v>75</v>
          </cell>
          <cell r="I535" t="str">
            <v>I75/1</v>
          </cell>
          <cell r="J535" t="str">
            <v>Incandescent 75w</v>
          </cell>
        </row>
        <row r="536">
          <cell r="B536">
            <v>2076</v>
          </cell>
          <cell r="C536" t="str">
            <v>N/A</v>
          </cell>
          <cell r="D536" t="str">
            <v>N/A</v>
          </cell>
          <cell r="E536">
            <v>2</v>
          </cell>
          <cell r="F536" t="str">
            <v>N/A</v>
          </cell>
          <cell r="G536" t="str">
            <v>N/A</v>
          </cell>
          <cell r="H536">
            <v>150</v>
          </cell>
          <cell r="I536" t="str">
            <v>I75/2</v>
          </cell>
          <cell r="J536" t="str">
            <v>2L Incandescent 75w</v>
          </cell>
        </row>
        <row r="537">
          <cell r="B537">
            <v>2090</v>
          </cell>
          <cell r="C537" t="str">
            <v>N/A</v>
          </cell>
          <cell r="D537" t="str">
            <v>N/A</v>
          </cell>
          <cell r="E537">
            <v>1</v>
          </cell>
          <cell r="F537" t="str">
            <v>N/A</v>
          </cell>
          <cell r="G537" t="str">
            <v>N/A</v>
          </cell>
          <cell r="H537">
            <v>90</v>
          </cell>
          <cell r="I537" t="str">
            <v>I90/1</v>
          </cell>
          <cell r="J537" t="str">
            <v>Incandescent 90w</v>
          </cell>
        </row>
        <row r="538">
          <cell r="B538">
            <v>2100</v>
          </cell>
          <cell r="C538" t="str">
            <v>N/A</v>
          </cell>
          <cell r="D538" t="str">
            <v>N/A</v>
          </cell>
          <cell r="E538">
            <v>1</v>
          </cell>
          <cell r="F538" t="str">
            <v>N/A</v>
          </cell>
          <cell r="G538" t="str">
            <v>N/A</v>
          </cell>
          <cell r="H538">
            <v>100</v>
          </cell>
          <cell r="I538" t="str">
            <v>I100/1</v>
          </cell>
          <cell r="J538" t="str">
            <v>Incandescent 100w</v>
          </cell>
        </row>
        <row r="539">
          <cell r="B539">
            <v>2102</v>
          </cell>
          <cell r="C539" t="str">
            <v>N/A</v>
          </cell>
          <cell r="D539" t="str">
            <v>N/A</v>
          </cell>
          <cell r="E539">
            <v>2</v>
          </cell>
          <cell r="F539" t="str">
            <v>N/A</v>
          </cell>
          <cell r="G539" t="str">
            <v>N/A</v>
          </cell>
          <cell r="H539">
            <v>100</v>
          </cell>
          <cell r="I539" t="str">
            <v>I100/2</v>
          </cell>
          <cell r="J539" t="str">
            <v>2L Incandescent 100w</v>
          </cell>
        </row>
        <row r="540">
          <cell r="B540">
            <v>2103</v>
          </cell>
          <cell r="C540" t="str">
            <v>N/A</v>
          </cell>
          <cell r="D540" t="str">
            <v>N/A</v>
          </cell>
          <cell r="E540">
            <v>3</v>
          </cell>
          <cell r="F540" t="str">
            <v>N/A</v>
          </cell>
          <cell r="G540" t="str">
            <v>N/A</v>
          </cell>
          <cell r="H540">
            <v>100</v>
          </cell>
          <cell r="I540" t="str">
            <v>I100/3</v>
          </cell>
          <cell r="J540" t="str">
            <v>3L Incandescent 100w</v>
          </cell>
        </row>
        <row r="541">
          <cell r="B541">
            <v>2150</v>
          </cell>
          <cell r="C541" t="str">
            <v>N/A</v>
          </cell>
          <cell r="D541" t="str">
            <v>N/A</v>
          </cell>
          <cell r="E541">
            <v>1</v>
          </cell>
          <cell r="F541" t="str">
            <v>N/A</v>
          </cell>
          <cell r="G541" t="str">
            <v>N/A</v>
          </cell>
          <cell r="H541">
            <v>150</v>
          </cell>
          <cell r="I541" t="str">
            <v>I150/1</v>
          </cell>
          <cell r="J541" t="str">
            <v>Incandescent 150w</v>
          </cell>
        </row>
        <row r="542">
          <cell r="B542">
            <v>2200</v>
          </cell>
          <cell r="C542" t="str">
            <v>INCAN RETRO</v>
          </cell>
          <cell r="D542">
            <v>1</v>
          </cell>
          <cell r="E542">
            <v>200</v>
          </cell>
          <cell r="F542" t="str">
            <v>N/A</v>
          </cell>
          <cell r="G542" t="str">
            <v>N/A</v>
          </cell>
          <cell r="H542">
            <v>200</v>
          </cell>
          <cell r="I542" t="str">
            <v>I200/1</v>
          </cell>
          <cell r="J542" t="str">
            <v>Incandescent 200W</v>
          </cell>
        </row>
        <row r="543">
          <cell r="B543">
            <v>2300</v>
          </cell>
          <cell r="C543" t="str">
            <v>INCAN RETRO</v>
          </cell>
          <cell r="D543">
            <v>1</v>
          </cell>
          <cell r="E543">
            <v>300</v>
          </cell>
          <cell r="F543" t="str">
            <v>N/A</v>
          </cell>
          <cell r="G543" t="str">
            <v>N/A</v>
          </cell>
          <cell r="H543">
            <v>200</v>
          </cell>
          <cell r="I543" t="str">
            <v>I300/1</v>
          </cell>
          <cell r="J543" t="str">
            <v>Incandescent 300W</v>
          </cell>
        </row>
        <row r="544">
          <cell r="B544">
            <v>2500</v>
          </cell>
          <cell r="C544" t="str">
            <v>N/A</v>
          </cell>
          <cell r="D544" t="str">
            <v>N/A</v>
          </cell>
          <cell r="E544">
            <v>1</v>
          </cell>
          <cell r="F544" t="str">
            <v>N/A</v>
          </cell>
          <cell r="G544" t="str">
            <v>N/A</v>
          </cell>
          <cell r="H544">
            <v>500</v>
          </cell>
          <cell r="I544" t="str">
            <v>I500/1</v>
          </cell>
          <cell r="J544" t="str">
            <v>Incandescent 500w</v>
          </cell>
        </row>
        <row r="545">
          <cell r="B545">
            <v>3000</v>
          </cell>
          <cell r="C545" t="str">
            <v>EXIT</v>
          </cell>
          <cell r="D545" t="str">
            <v>1RED</v>
          </cell>
          <cell r="E545">
            <v>2</v>
          </cell>
          <cell r="F545" t="str">
            <v>N/A</v>
          </cell>
          <cell r="G545" t="str">
            <v>N/A</v>
          </cell>
          <cell r="H545">
            <v>2</v>
          </cell>
          <cell r="I545" t="str">
            <v>ELED2/1</v>
          </cell>
          <cell r="J545" t="str">
            <v>Exit Light Emitting Diode, (1) 2w lamp, Single Sided, red</v>
          </cell>
        </row>
        <row r="546">
          <cell r="B546">
            <v>3002</v>
          </cell>
          <cell r="C546" t="str">
            <v>EXIT</v>
          </cell>
          <cell r="D546" t="str">
            <v>1GREEN</v>
          </cell>
          <cell r="E546">
            <v>2</v>
          </cell>
          <cell r="F546" t="str">
            <v>N/A</v>
          </cell>
          <cell r="G546" t="str">
            <v>N/A</v>
          </cell>
          <cell r="H546">
            <v>2</v>
          </cell>
          <cell r="I546" t="str">
            <v>ELED2/1</v>
          </cell>
          <cell r="J546" t="str">
            <v>Exit Light Emitting Diode, (1) 2w lamp, Single Sided, green</v>
          </cell>
        </row>
        <row r="547">
          <cell r="B547">
            <v>3005</v>
          </cell>
          <cell r="C547" t="str">
            <v>EXIT</v>
          </cell>
          <cell r="D547">
            <v>1</v>
          </cell>
          <cell r="E547">
            <v>5</v>
          </cell>
          <cell r="F547" t="str">
            <v>ST</v>
          </cell>
          <cell r="G547" t="str">
            <v>N/A</v>
          </cell>
          <cell r="H547">
            <v>5</v>
          </cell>
          <cell r="I547" t="str">
            <v>El5/1</v>
          </cell>
          <cell r="J547" t="str">
            <v>EXIT Incandescent, (1) 5w lamp</v>
          </cell>
        </row>
        <row r="548">
          <cell r="B548">
            <v>3015</v>
          </cell>
          <cell r="C548" t="str">
            <v>EXIT</v>
          </cell>
          <cell r="D548">
            <v>1</v>
          </cell>
          <cell r="E548">
            <v>15</v>
          </cell>
          <cell r="F548" t="str">
            <v>N/A</v>
          </cell>
          <cell r="G548" t="str">
            <v>N/A</v>
          </cell>
          <cell r="H548">
            <v>15</v>
          </cell>
          <cell r="I548" t="str">
            <v>El15/1</v>
          </cell>
          <cell r="J548" t="str">
            <v>EXIT Incandescent, (1) 15w lamp</v>
          </cell>
        </row>
        <row r="549">
          <cell r="B549">
            <v>3016</v>
          </cell>
          <cell r="C549" t="str">
            <v>EXIT</v>
          </cell>
          <cell r="D549">
            <v>2</v>
          </cell>
          <cell r="E549">
            <v>15</v>
          </cell>
          <cell r="F549" t="str">
            <v>N/A</v>
          </cell>
          <cell r="G549" t="str">
            <v>N/A</v>
          </cell>
          <cell r="H549">
            <v>30</v>
          </cell>
          <cell r="I549" t="str">
            <v>El15/2</v>
          </cell>
          <cell r="J549" t="str">
            <v>EXIT Incandescent, (2) 15w lamp</v>
          </cell>
        </row>
        <row r="550">
          <cell r="B550">
            <v>3020</v>
          </cell>
          <cell r="C550" t="str">
            <v>EXIT</v>
          </cell>
          <cell r="D550">
            <v>1</v>
          </cell>
          <cell r="E550">
            <v>20</v>
          </cell>
          <cell r="F550" t="str">
            <v>N/A</v>
          </cell>
          <cell r="G550" t="str">
            <v>N/A</v>
          </cell>
          <cell r="H550">
            <v>20</v>
          </cell>
          <cell r="I550" t="str">
            <v>El20/1</v>
          </cell>
          <cell r="J550" t="str">
            <v>EXIT Incandescent, (1) 20w lamp</v>
          </cell>
        </row>
        <row r="551">
          <cell r="B551">
            <v>3021</v>
          </cell>
          <cell r="C551" t="str">
            <v>EXIT</v>
          </cell>
          <cell r="D551">
            <v>2</v>
          </cell>
          <cell r="E551">
            <v>20</v>
          </cell>
          <cell r="F551" t="str">
            <v>N/A</v>
          </cell>
          <cell r="G551" t="str">
            <v>N/A</v>
          </cell>
          <cell r="H551">
            <v>40</v>
          </cell>
          <cell r="I551" t="str">
            <v>El20/2</v>
          </cell>
          <cell r="J551" t="str">
            <v>EXIT Incandescent, (2) 20w lamp</v>
          </cell>
        </row>
        <row r="552">
          <cell r="B552">
            <v>3025</v>
          </cell>
          <cell r="C552" t="str">
            <v>EXIT</v>
          </cell>
          <cell r="D552">
            <v>1</v>
          </cell>
          <cell r="E552">
            <v>25</v>
          </cell>
          <cell r="F552" t="str">
            <v>N/A</v>
          </cell>
          <cell r="G552" t="str">
            <v>N/A</v>
          </cell>
          <cell r="H552">
            <v>25</v>
          </cell>
          <cell r="I552" t="str">
            <v>El25/1</v>
          </cell>
          <cell r="J552" t="str">
            <v>EXIT Incandescent, (1) 25w lamp</v>
          </cell>
        </row>
        <row r="553">
          <cell r="B553">
            <v>3030</v>
          </cell>
          <cell r="C553" t="str">
            <v>EXIT</v>
          </cell>
          <cell r="D553">
            <v>1</v>
          </cell>
          <cell r="E553">
            <v>40</v>
          </cell>
          <cell r="F553" t="str">
            <v>N/A</v>
          </cell>
          <cell r="G553" t="str">
            <v>N/A</v>
          </cell>
          <cell r="H553">
            <v>40</v>
          </cell>
          <cell r="I553" t="str">
            <v>El40/1</v>
          </cell>
          <cell r="J553" t="str">
            <v>EXIT Incandescent, (1) 40w lamp</v>
          </cell>
        </row>
        <row r="554">
          <cell r="B554">
            <v>3035</v>
          </cell>
          <cell r="C554" t="str">
            <v>EXIT</v>
          </cell>
          <cell r="D554" t="str">
            <v>2RED</v>
          </cell>
          <cell r="E554">
            <v>2</v>
          </cell>
          <cell r="F554" t="str">
            <v>N/A</v>
          </cell>
          <cell r="G554" t="str">
            <v>N/A</v>
          </cell>
          <cell r="H554">
            <v>4</v>
          </cell>
          <cell r="I554" t="str">
            <v>ELED2/2</v>
          </cell>
          <cell r="J554" t="str">
            <v>EXIT Light Emetteng Diode, (2) 2w lamp, Dual Sided</v>
          </cell>
        </row>
        <row r="555">
          <cell r="B555">
            <v>3040</v>
          </cell>
          <cell r="C555" t="str">
            <v>EXIT</v>
          </cell>
          <cell r="D555" t="str">
            <v>2GREEN</v>
          </cell>
          <cell r="E555">
            <v>2</v>
          </cell>
          <cell r="F555" t="str">
            <v>N/A</v>
          </cell>
          <cell r="G555" t="str">
            <v>N/A</v>
          </cell>
          <cell r="H555">
            <v>4</v>
          </cell>
          <cell r="I555" t="str">
            <v>EI5/2</v>
          </cell>
          <cell r="J555" t="str">
            <v>Exit Light Emitting Diode, (2) 4w lamp, Double Sided</v>
          </cell>
        </row>
        <row r="556">
          <cell r="B556">
            <v>3045</v>
          </cell>
          <cell r="C556" t="str">
            <v>EXIT</v>
          </cell>
          <cell r="D556">
            <v>2</v>
          </cell>
          <cell r="E556">
            <v>5</v>
          </cell>
          <cell r="F556" t="str">
            <v>N/A</v>
          </cell>
          <cell r="G556" t="str">
            <v>N/A</v>
          </cell>
          <cell r="H556">
            <v>10</v>
          </cell>
          <cell r="I556" t="str">
            <v>CFT5/2</v>
          </cell>
          <cell r="J556" t="str">
            <v>Compact Florescent, twin, (2)  5w lamp    exit</v>
          </cell>
        </row>
        <row r="557">
          <cell r="B557">
            <v>3050</v>
          </cell>
          <cell r="C557" t="str">
            <v>EXIT</v>
          </cell>
          <cell r="D557">
            <v>2</v>
          </cell>
          <cell r="E557">
            <v>8</v>
          </cell>
          <cell r="F557" t="str">
            <v>ST</v>
          </cell>
          <cell r="G557" t="str">
            <v>N/A</v>
          </cell>
          <cell r="H557">
            <v>16</v>
          </cell>
          <cell r="I557" t="str">
            <v>CFT8/2</v>
          </cell>
          <cell r="J557" t="str">
            <v>EXIT Flourecent, (2) 8w lamp</v>
          </cell>
        </row>
        <row r="558">
          <cell r="B558">
            <v>3055</v>
          </cell>
          <cell r="C558" t="str">
            <v>EXIT</v>
          </cell>
          <cell r="D558">
            <v>2</v>
          </cell>
          <cell r="E558">
            <v>15</v>
          </cell>
          <cell r="F558" t="str">
            <v>N/A</v>
          </cell>
          <cell r="G558" t="str">
            <v>N/A</v>
          </cell>
          <cell r="H558">
            <v>30</v>
          </cell>
          <cell r="I558" t="str">
            <v>????</v>
          </cell>
          <cell r="J558" t="str">
            <v>EXIT Incandescent, (2) 15w lamp</v>
          </cell>
        </row>
        <row r="559">
          <cell r="B559">
            <v>3060</v>
          </cell>
          <cell r="C559" t="str">
            <v>EXIT</v>
          </cell>
          <cell r="D559">
            <v>2</v>
          </cell>
          <cell r="E559">
            <v>20</v>
          </cell>
          <cell r="F559" t="str">
            <v>N/A</v>
          </cell>
          <cell r="G559" t="str">
            <v>N/A</v>
          </cell>
          <cell r="H559">
            <v>40</v>
          </cell>
          <cell r="I559" t="str">
            <v>????</v>
          </cell>
          <cell r="J559" t="str">
            <v>EXIT Incandescent, (2) 20w lamp</v>
          </cell>
        </row>
        <row r="560">
          <cell r="B560">
            <v>3065</v>
          </cell>
          <cell r="C560" t="str">
            <v>EXIT</v>
          </cell>
          <cell r="D560">
            <v>2</v>
          </cell>
          <cell r="E560">
            <v>25</v>
          </cell>
          <cell r="F560" t="str">
            <v>N/A</v>
          </cell>
          <cell r="G560" t="str">
            <v>N/A</v>
          </cell>
          <cell r="H560">
            <v>50</v>
          </cell>
          <cell r="I560" t="str">
            <v>????</v>
          </cell>
          <cell r="J560" t="str">
            <v>EXIT Incandescent, (2) 25w lamp</v>
          </cell>
        </row>
        <row r="561">
          <cell r="B561">
            <v>3070</v>
          </cell>
          <cell r="C561" t="str">
            <v>EXIT</v>
          </cell>
          <cell r="E561">
            <v>40</v>
          </cell>
          <cell r="F561" t="str">
            <v>N/A</v>
          </cell>
          <cell r="G561" t="str">
            <v>N/A</v>
          </cell>
          <cell r="H561">
            <v>80</v>
          </cell>
          <cell r="I561" t="str">
            <v>????</v>
          </cell>
        </row>
        <row r="562">
          <cell r="B562">
            <v>4022</v>
          </cell>
          <cell r="C562" t="str">
            <v>CIRCULINE</v>
          </cell>
          <cell r="H562">
            <v>22</v>
          </cell>
          <cell r="I562" t="str">
            <v>????</v>
          </cell>
          <cell r="J562" t="str">
            <v>CIRCULINE 22W</v>
          </cell>
        </row>
        <row r="563">
          <cell r="I563" t="str">
            <v>????</v>
          </cell>
        </row>
        <row r="564">
          <cell r="I564" t="str">
            <v>????</v>
          </cell>
        </row>
        <row r="565">
          <cell r="I565" t="str">
            <v>????</v>
          </cell>
        </row>
        <row r="566">
          <cell r="I566" t="str">
            <v>????</v>
          </cell>
        </row>
        <row r="567">
          <cell r="I567" t="str">
            <v>????</v>
          </cell>
        </row>
        <row r="568">
          <cell r="I568" t="str">
            <v>????</v>
          </cell>
        </row>
        <row r="569">
          <cell r="I569" t="str">
            <v>????</v>
          </cell>
        </row>
        <row r="570">
          <cell r="I570" t="str">
            <v>????</v>
          </cell>
        </row>
        <row r="571">
          <cell r="I571" t="str">
            <v>????</v>
          </cell>
        </row>
        <row r="572">
          <cell r="C572">
            <v>14</v>
          </cell>
          <cell r="D572">
            <v>0</v>
          </cell>
          <cell r="E572">
            <v>0</v>
          </cell>
          <cell r="F572" t="str">
            <v>ST</v>
          </cell>
          <cell r="G572" t="str">
            <v>NO</v>
          </cell>
          <cell r="I572" t="str">
            <v>????</v>
          </cell>
          <cell r="J572" t="str">
            <v>1'x 4' 0 lamps &amp; 1 ST bal disabled</v>
          </cell>
        </row>
        <row r="573">
          <cell r="C573">
            <v>13</v>
          </cell>
          <cell r="D573">
            <v>0</v>
          </cell>
          <cell r="E573">
            <v>0</v>
          </cell>
          <cell r="F573" t="str">
            <v>ST</v>
          </cell>
          <cell r="G573" t="str">
            <v>NO</v>
          </cell>
          <cell r="I573" t="str">
            <v>????</v>
          </cell>
          <cell r="J573" t="str">
            <v>1'x 3' 0 lamps &amp; 1 ST bal disabled</v>
          </cell>
        </row>
        <row r="574">
          <cell r="C574">
            <v>24</v>
          </cell>
          <cell r="D574">
            <v>2</v>
          </cell>
          <cell r="E574">
            <v>34</v>
          </cell>
          <cell r="F574" t="str">
            <v>ST</v>
          </cell>
          <cell r="G574" t="str">
            <v>NO</v>
          </cell>
          <cell r="I574" t="str">
            <v>????</v>
          </cell>
          <cell r="J574" t="str">
            <v>2'x 4'x 2 34w lamps &amp; 2 ST bal delamped</v>
          </cell>
        </row>
        <row r="575">
          <cell r="C575">
            <v>22</v>
          </cell>
          <cell r="D575">
            <v>2</v>
          </cell>
          <cell r="E575">
            <v>20</v>
          </cell>
          <cell r="F575" t="str">
            <v>ST</v>
          </cell>
          <cell r="G575" t="str">
            <v>NO</v>
          </cell>
          <cell r="I575" t="str">
            <v>????</v>
          </cell>
          <cell r="J575" t="str">
            <v>2'x 2'x 2 20w lamps &amp; 2 ST bal delamped</v>
          </cell>
        </row>
        <row r="576">
          <cell r="C576" t="str">
            <v>REC</v>
          </cell>
          <cell r="D576">
            <v>1</v>
          </cell>
          <cell r="E576">
            <v>60</v>
          </cell>
          <cell r="F576" t="str">
            <v>N/A</v>
          </cell>
          <cell r="G576" t="str">
            <v>NO</v>
          </cell>
          <cell r="H576">
            <v>60</v>
          </cell>
          <cell r="I576" t="str">
            <v>????</v>
          </cell>
          <cell r="J576" t="str">
            <v>Incandescent Downlight 60w</v>
          </cell>
        </row>
        <row r="577">
          <cell r="C577" t="str">
            <v>CPFL</v>
          </cell>
          <cell r="D577">
            <v>1</v>
          </cell>
          <cell r="E577">
            <v>18</v>
          </cell>
          <cell r="F577" t="str">
            <v>EL</v>
          </cell>
          <cell r="G577" t="str">
            <v>NO</v>
          </cell>
          <cell r="H577">
            <v>18</v>
          </cell>
          <cell r="I577" t="str">
            <v>????</v>
          </cell>
          <cell r="J577" t="str">
            <v>Screw In CPFL 18w &amp; EL bal</v>
          </cell>
        </row>
        <row r="578">
          <cell r="C578" t="str">
            <v>INCAN</v>
          </cell>
          <cell r="D578">
            <v>2</v>
          </cell>
          <cell r="E578">
            <v>60</v>
          </cell>
          <cell r="F578" t="str">
            <v>N/A</v>
          </cell>
          <cell r="G578" t="str">
            <v>NO</v>
          </cell>
          <cell r="H578">
            <v>120</v>
          </cell>
          <cell r="I578" t="str">
            <v>????</v>
          </cell>
          <cell r="J578" t="str">
            <v>Incandescent 2 60w</v>
          </cell>
        </row>
        <row r="579">
          <cell r="C579" t="str">
            <v>DRUM</v>
          </cell>
          <cell r="D579">
            <v>2</v>
          </cell>
          <cell r="E579">
            <v>13</v>
          </cell>
          <cell r="F579" t="str">
            <v>EL</v>
          </cell>
          <cell r="G579" t="str">
            <v>NO</v>
          </cell>
          <cell r="H579">
            <v>26</v>
          </cell>
          <cell r="I579" t="str">
            <v>????</v>
          </cell>
          <cell r="J579" t="str">
            <v>New CPFL 2 13w Drum Fixture</v>
          </cell>
        </row>
        <row r="580">
          <cell r="C580" t="str">
            <v>EXIT</v>
          </cell>
          <cell r="D580">
            <v>2</v>
          </cell>
          <cell r="E580">
            <v>20</v>
          </cell>
          <cell r="F580" t="str">
            <v>N/A</v>
          </cell>
          <cell r="G580" t="str">
            <v>NO</v>
          </cell>
          <cell r="H580">
            <v>40</v>
          </cell>
          <cell r="I580" t="str">
            <v>????</v>
          </cell>
          <cell r="J580" t="str">
            <v>EXIT 2 20w bulbs</v>
          </cell>
        </row>
        <row r="581">
          <cell r="C581" t="str">
            <v>Exit LED</v>
          </cell>
          <cell r="D581">
            <v>2</v>
          </cell>
          <cell r="E581">
            <v>2</v>
          </cell>
          <cell r="F581" t="str">
            <v>N/A</v>
          </cell>
          <cell r="G581" t="str">
            <v>NO</v>
          </cell>
          <cell r="H581">
            <v>4</v>
          </cell>
          <cell r="I581" t="str">
            <v>????</v>
          </cell>
          <cell r="J581" t="str">
            <v>EXIT LED 2 2w LED's</v>
          </cell>
        </row>
        <row r="582">
          <cell r="C582" t="str">
            <v>INCAN</v>
          </cell>
          <cell r="D582">
            <v>1</v>
          </cell>
          <cell r="E582">
            <v>150</v>
          </cell>
          <cell r="F582" t="str">
            <v>N/A</v>
          </cell>
          <cell r="G582" t="str">
            <v>NO</v>
          </cell>
          <cell r="H582">
            <v>75</v>
          </cell>
          <cell r="I582" t="str">
            <v>????</v>
          </cell>
          <cell r="J582" t="str">
            <v>Incandescent Downlight Can 75w</v>
          </cell>
        </row>
        <row r="583">
          <cell r="C583" t="str">
            <v>Delray</v>
          </cell>
          <cell r="D583">
            <v>2</v>
          </cell>
          <cell r="E583">
            <v>26</v>
          </cell>
          <cell r="F583" t="str">
            <v>EL</v>
          </cell>
          <cell r="G583" t="str">
            <v>NO</v>
          </cell>
          <cell r="H583">
            <v>52</v>
          </cell>
          <cell r="I583" t="str">
            <v>????</v>
          </cell>
          <cell r="J583" t="str">
            <v>CPFL 2 26w Retro. Kit</v>
          </cell>
        </row>
        <row r="584">
          <cell r="C584" t="str">
            <v>INCAN</v>
          </cell>
          <cell r="D584">
            <v>1</v>
          </cell>
          <cell r="E584">
            <v>150</v>
          </cell>
          <cell r="F584" t="str">
            <v>N/A</v>
          </cell>
          <cell r="G584" t="str">
            <v>NO</v>
          </cell>
          <cell r="H584">
            <v>150</v>
          </cell>
          <cell r="I584" t="str">
            <v>????</v>
          </cell>
          <cell r="J584" t="str">
            <v>Incandescent Downlight 150w</v>
          </cell>
        </row>
        <row r="585">
          <cell r="C585" t="str">
            <v>INCAN</v>
          </cell>
          <cell r="D585">
            <v>1</v>
          </cell>
          <cell r="E585">
            <v>75</v>
          </cell>
          <cell r="F585" t="str">
            <v>N/A</v>
          </cell>
          <cell r="G585" t="str">
            <v>NO</v>
          </cell>
          <cell r="I585" t="str">
            <v>????</v>
          </cell>
          <cell r="J585" t="str">
            <v>Incandescent 75PAR30FL Halogen</v>
          </cell>
        </row>
        <row r="586">
          <cell r="C586" t="str">
            <v>INCAN</v>
          </cell>
          <cell r="D586">
            <v>2</v>
          </cell>
          <cell r="E586">
            <v>60</v>
          </cell>
          <cell r="F586" t="str">
            <v>N/A</v>
          </cell>
          <cell r="G586" t="str">
            <v>NO</v>
          </cell>
          <cell r="I586" t="str">
            <v>????</v>
          </cell>
          <cell r="J586" t="str">
            <v>2'x 2'x 2 60w Incan. &amp; 2 ST bal disabled</v>
          </cell>
        </row>
        <row r="587">
          <cell r="C587" t="str">
            <v>EXIT</v>
          </cell>
          <cell r="D587">
            <v>2</v>
          </cell>
          <cell r="E587">
            <v>30</v>
          </cell>
          <cell r="F587" t="str">
            <v>N/A</v>
          </cell>
          <cell r="G587" t="str">
            <v>NO</v>
          </cell>
          <cell r="H587">
            <v>60</v>
          </cell>
          <cell r="I587" t="str">
            <v>????</v>
          </cell>
          <cell r="J587" t="str">
            <v>EXIT 2 30w bulbs</v>
          </cell>
        </row>
        <row r="588">
          <cell r="C588" t="str">
            <v>Exit LED</v>
          </cell>
          <cell r="D588">
            <v>2</v>
          </cell>
          <cell r="E588">
            <v>2</v>
          </cell>
          <cell r="F588" t="str">
            <v>N/A</v>
          </cell>
          <cell r="G588" t="str">
            <v>NO</v>
          </cell>
          <cell r="H588">
            <v>4</v>
          </cell>
          <cell r="I588" t="str">
            <v>????</v>
          </cell>
          <cell r="J588" t="str">
            <v>EXIT LED 2 2w LED's</v>
          </cell>
        </row>
        <row r="589">
          <cell r="C589">
            <v>24</v>
          </cell>
          <cell r="D589">
            <v>2</v>
          </cell>
          <cell r="E589">
            <v>34</v>
          </cell>
          <cell r="F589" t="str">
            <v>ES</v>
          </cell>
          <cell r="G589" t="str">
            <v>NO</v>
          </cell>
          <cell r="I589" t="str">
            <v>????</v>
          </cell>
          <cell r="J589" t="str">
            <v>2'x 4'x 2 34w lmp &amp; 1 disabld.ST bal &amp; 1 ES</v>
          </cell>
        </row>
        <row r="590">
          <cell r="C590">
            <v>24</v>
          </cell>
          <cell r="D590">
            <v>2</v>
          </cell>
          <cell r="E590">
            <v>34</v>
          </cell>
          <cell r="F590" t="str">
            <v>ST</v>
          </cell>
          <cell r="G590" t="str">
            <v>NO</v>
          </cell>
          <cell r="I590" t="str">
            <v>????</v>
          </cell>
          <cell r="J590" t="str">
            <v>2'x 4'x 2 34 w lmp &amp; 2 ST bal 1 disabled</v>
          </cell>
        </row>
        <row r="591">
          <cell r="C591" t="str">
            <v>INCAN</v>
          </cell>
          <cell r="D591">
            <v>1</v>
          </cell>
          <cell r="E591">
            <v>75</v>
          </cell>
          <cell r="F591" t="str">
            <v>N/A</v>
          </cell>
          <cell r="G591" t="str">
            <v>NO</v>
          </cell>
          <cell r="I591" t="str">
            <v>????</v>
          </cell>
          <cell r="J591" t="str">
            <v>Incandescent Keyless 75w</v>
          </cell>
        </row>
        <row r="592">
          <cell r="C592" t="str">
            <v>INCAN</v>
          </cell>
          <cell r="D592">
            <v>1</v>
          </cell>
          <cell r="E592">
            <v>150</v>
          </cell>
          <cell r="F592" t="str">
            <v>N/A</v>
          </cell>
          <cell r="G592" t="str">
            <v>NO</v>
          </cell>
          <cell r="I592" t="str">
            <v>????</v>
          </cell>
          <cell r="J592" t="str">
            <v>Incandescent Downlight 150w</v>
          </cell>
        </row>
        <row r="593">
          <cell r="C593" t="str">
            <v>CPFL</v>
          </cell>
          <cell r="D593">
            <v>2</v>
          </cell>
          <cell r="E593">
            <v>26</v>
          </cell>
          <cell r="F593" t="str">
            <v>EL</v>
          </cell>
          <cell r="G593" t="str">
            <v>NO</v>
          </cell>
          <cell r="H593">
            <v>52</v>
          </cell>
          <cell r="I593" t="str">
            <v>????</v>
          </cell>
          <cell r="J593" t="str">
            <v>CPFL 2 26w Retro. Kit</v>
          </cell>
        </row>
        <row r="594">
          <cell r="C594" t="str">
            <v>EXIT</v>
          </cell>
          <cell r="D594">
            <v>2</v>
          </cell>
          <cell r="E594">
            <v>25</v>
          </cell>
          <cell r="F594" t="str">
            <v>N/A</v>
          </cell>
          <cell r="G594" t="str">
            <v>NO</v>
          </cell>
          <cell r="H594">
            <v>50</v>
          </cell>
          <cell r="I594" t="str">
            <v>????</v>
          </cell>
          <cell r="J594" t="str">
            <v>EXIT 2 25w bulbs</v>
          </cell>
        </row>
        <row r="595">
          <cell r="C595" t="str">
            <v>Exit LED</v>
          </cell>
          <cell r="D595">
            <v>1</v>
          </cell>
          <cell r="E595">
            <v>2</v>
          </cell>
          <cell r="F595" t="str">
            <v>N/A</v>
          </cell>
          <cell r="G595" t="str">
            <v>NO</v>
          </cell>
          <cell r="H595">
            <v>4</v>
          </cell>
          <cell r="I595" t="str">
            <v>????</v>
          </cell>
          <cell r="J595" t="str">
            <v>EXIT LED 2 2w LED's</v>
          </cell>
        </row>
        <row r="596">
          <cell r="C596" t="str">
            <v>INCAN</v>
          </cell>
          <cell r="D596">
            <v>2</v>
          </cell>
          <cell r="E596">
            <v>67</v>
          </cell>
          <cell r="F596" t="str">
            <v>N/A</v>
          </cell>
          <cell r="G596" t="str">
            <v>NO</v>
          </cell>
          <cell r="I596" t="str">
            <v>????</v>
          </cell>
          <cell r="J596" t="str">
            <v>Incandescent Jelly-Jar 2 67w</v>
          </cell>
        </row>
        <row r="597">
          <cell r="C597">
            <v>14</v>
          </cell>
          <cell r="D597">
            <v>1</v>
          </cell>
          <cell r="E597">
            <v>32</v>
          </cell>
          <cell r="F597" t="str">
            <v>EL</v>
          </cell>
          <cell r="G597" t="str">
            <v>NO</v>
          </cell>
          <cell r="I597" t="str">
            <v>????</v>
          </cell>
          <cell r="J597" t="str">
            <v>1'x 4'x 1 32w lmp &amp; EL bal New Wrap Fixt.</v>
          </cell>
        </row>
        <row r="598">
          <cell r="C598">
            <v>24</v>
          </cell>
          <cell r="D598">
            <v>2</v>
          </cell>
          <cell r="E598">
            <v>34</v>
          </cell>
          <cell r="F598" t="str">
            <v>ES</v>
          </cell>
          <cell r="G598" t="str">
            <v>NO</v>
          </cell>
          <cell r="I598" t="str">
            <v>????</v>
          </cell>
          <cell r="J598" t="str">
            <v>2'x 4'x 2 34w lamps &amp; ES bal delamped</v>
          </cell>
        </row>
        <row r="599">
          <cell r="C599" t="str">
            <v>CPFL</v>
          </cell>
          <cell r="D599">
            <v>2</v>
          </cell>
          <cell r="E599">
            <v>13</v>
          </cell>
          <cell r="F599" t="str">
            <v>EL</v>
          </cell>
          <cell r="G599" t="str">
            <v>NO</v>
          </cell>
          <cell r="H599">
            <v>26</v>
          </cell>
          <cell r="I599" t="str">
            <v>????</v>
          </cell>
          <cell r="J599" t="str">
            <v>CPFL 2 13w Retro. Kit</v>
          </cell>
        </row>
        <row r="600">
          <cell r="C600">
            <v>24</v>
          </cell>
          <cell r="D600">
            <v>3</v>
          </cell>
          <cell r="E600">
            <v>32</v>
          </cell>
          <cell r="F600" t="str">
            <v>EL</v>
          </cell>
          <cell r="G600" t="str">
            <v>NO</v>
          </cell>
          <cell r="I600" t="str">
            <v>????</v>
          </cell>
          <cell r="J600" t="str">
            <v>2'x 4'x 2 32w lamps &amp; 2 EL ballasts</v>
          </cell>
        </row>
        <row r="601">
          <cell r="C601" t="str">
            <v>INCAN</v>
          </cell>
          <cell r="D601">
            <v>1</v>
          </cell>
          <cell r="E601">
            <v>300</v>
          </cell>
          <cell r="F601" t="str">
            <v>N/A</v>
          </cell>
          <cell r="G601" t="str">
            <v>N/A</v>
          </cell>
          <cell r="H601">
            <v>300</v>
          </cell>
          <cell r="I601" t="str">
            <v>????</v>
          </cell>
          <cell r="J601" t="str">
            <v>Incandescent "top-hat" 300w</v>
          </cell>
        </row>
        <row r="602">
          <cell r="C602" t="str">
            <v>INCAN</v>
          </cell>
          <cell r="D602">
            <v>1</v>
          </cell>
          <cell r="E602">
            <v>150</v>
          </cell>
          <cell r="F602" t="str">
            <v>N/A</v>
          </cell>
          <cell r="G602" t="str">
            <v>N/A</v>
          </cell>
          <cell r="H602">
            <v>150</v>
          </cell>
          <cell r="I602" t="str">
            <v>????</v>
          </cell>
          <cell r="J602" t="str">
            <v>Incandescent Keyless 150w</v>
          </cell>
        </row>
        <row r="603">
          <cell r="C603" t="str">
            <v xml:space="preserve">EXIT </v>
          </cell>
          <cell r="D603">
            <v>2</v>
          </cell>
          <cell r="E603">
            <v>5</v>
          </cell>
          <cell r="I603" t="str">
            <v>????</v>
          </cell>
          <cell r="J603" t="str">
            <v>EXIT Candelabra w/ 2 F8T5CW</v>
          </cell>
        </row>
        <row r="604">
          <cell r="C604" t="str">
            <v>EXIT</v>
          </cell>
          <cell r="D604">
            <v>2</v>
          </cell>
          <cell r="E604">
            <v>7</v>
          </cell>
          <cell r="F604" t="str">
            <v>N/A</v>
          </cell>
          <cell r="G604" t="str">
            <v>N/A</v>
          </cell>
          <cell r="I604" t="str">
            <v>????</v>
          </cell>
          <cell r="J604" t="str">
            <v>EXIT single side 7w PL</v>
          </cell>
        </row>
        <row r="605">
          <cell r="C605" t="str">
            <v>HID</v>
          </cell>
          <cell r="D605">
            <v>1</v>
          </cell>
          <cell r="E605">
            <v>35</v>
          </cell>
          <cell r="F605" t="str">
            <v>HP</v>
          </cell>
          <cell r="G605" t="str">
            <v>N/A</v>
          </cell>
          <cell r="I605" t="str">
            <v>????</v>
          </cell>
          <cell r="J605" t="str">
            <v>New 35w HPS Spot Fixture</v>
          </cell>
        </row>
        <row r="606">
          <cell r="C606">
            <v>14</v>
          </cell>
          <cell r="D606">
            <v>1</v>
          </cell>
          <cell r="E606">
            <v>60</v>
          </cell>
          <cell r="F606" t="str">
            <v>ST</v>
          </cell>
          <cell r="G606" t="str">
            <v>YES</v>
          </cell>
          <cell r="I606" t="str">
            <v>????</v>
          </cell>
          <cell r="J606" t="str">
            <v>1'x 4'x 1 60w lamp &amp; ST bal</v>
          </cell>
        </row>
        <row r="607">
          <cell r="C607">
            <v>28</v>
          </cell>
          <cell r="D607">
            <v>4</v>
          </cell>
          <cell r="E607">
            <v>215</v>
          </cell>
          <cell r="F607" t="str">
            <v>ST</v>
          </cell>
          <cell r="G607" t="str">
            <v>NO</v>
          </cell>
          <cell r="I607" t="str">
            <v>????</v>
          </cell>
          <cell r="J607" t="str">
            <v>2'x 8'x 4 215w lamps &amp; 2 ST bal</v>
          </cell>
        </row>
        <row r="608">
          <cell r="C608">
            <v>28</v>
          </cell>
          <cell r="D608">
            <v>10</v>
          </cell>
          <cell r="E608">
            <v>32</v>
          </cell>
          <cell r="F608" t="str">
            <v>EL</v>
          </cell>
          <cell r="G608" t="str">
            <v>YES</v>
          </cell>
          <cell r="I608" t="str">
            <v>????</v>
          </cell>
          <cell r="J608" t="str">
            <v>4'x 8'x 10 32w lamps &amp; 3 EL bal &amp; Refl</v>
          </cell>
        </row>
        <row r="609">
          <cell r="C609">
            <v>18</v>
          </cell>
          <cell r="D609">
            <v>3</v>
          </cell>
          <cell r="E609">
            <v>215</v>
          </cell>
          <cell r="F609" t="str">
            <v>ST</v>
          </cell>
          <cell r="G609" t="str">
            <v>NO</v>
          </cell>
          <cell r="I609" t="str">
            <v>????</v>
          </cell>
          <cell r="J609" t="str">
            <v>1'x 8'x 3 215w lamps &amp; 2 ST bal</v>
          </cell>
        </row>
        <row r="610">
          <cell r="C610">
            <v>14</v>
          </cell>
          <cell r="D610">
            <v>3</v>
          </cell>
          <cell r="E610">
            <v>110</v>
          </cell>
          <cell r="F610" t="str">
            <v>ST</v>
          </cell>
          <cell r="G610" t="str">
            <v>NO</v>
          </cell>
          <cell r="I610" t="str">
            <v>????</v>
          </cell>
          <cell r="J610" t="str">
            <v>1'x 4'x 3 110w lamps &amp; 2 ST bal</v>
          </cell>
        </row>
        <row r="611">
          <cell r="C611">
            <v>14</v>
          </cell>
          <cell r="D611">
            <v>3</v>
          </cell>
          <cell r="E611">
            <v>32</v>
          </cell>
          <cell r="F611" t="str">
            <v>EL</v>
          </cell>
          <cell r="G611" t="str">
            <v>YES</v>
          </cell>
          <cell r="I611" t="str">
            <v>????</v>
          </cell>
          <cell r="J611" t="str">
            <v>1'x 4'x 3 32w lamps &amp; EL bal &amp; Refl</v>
          </cell>
        </row>
        <row r="612">
          <cell r="C612">
            <v>18</v>
          </cell>
          <cell r="D612">
            <v>6</v>
          </cell>
          <cell r="E612">
            <v>32</v>
          </cell>
          <cell r="F612" t="str">
            <v>EL</v>
          </cell>
          <cell r="G612" t="str">
            <v>YES</v>
          </cell>
          <cell r="I612" t="str">
            <v>????</v>
          </cell>
          <cell r="J612" t="str">
            <v>1'x 8'x 6 32w lamps &amp; 2 EL bal &amp; Refl</v>
          </cell>
        </row>
        <row r="613">
          <cell r="C613">
            <v>14</v>
          </cell>
          <cell r="D613">
            <v>4</v>
          </cell>
          <cell r="E613">
            <v>60</v>
          </cell>
          <cell r="F613" t="str">
            <v>ES</v>
          </cell>
          <cell r="G613" t="str">
            <v>NO</v>
          </cell>
          <cell r="I613" t="str">
            <v>????</v>
          </cell>
          <cell r="J613" t="str">
            <v>1'x 4'x 4 60w lamps &amp; 2 ST bal</v>
          </cell>
        </row>
        <row r="614">
          <cell r="C614">
            <v>14</v>
          </cell>
          <cell r="D614">
            <v>3</v>
          </cell>
          <cell r="E614">
            <v>32</v>
          </cell>
          <cell r="F614" t="str">
            <v>EL</v>
          </cell>
          <cell r="G614" t="str">
            <v>YES</v>
          </cell>
          <cell r="I614" t="str">
            <v>????</v>
          </cell>
          <cell r="J614" t="str">
            <v>1'x 4'x 3 32w lamps &amp; EL bal &amp; Refl</v>
          </cell>
        </row>
        <row r="615">
          <cell r="C615">
            <v>14</v>
          </cell>
          <cell r="D615">
            <v>2</v>
          </cell>
          <cell r="E615">
            <v>110</v>
          </cell>
          <cell r="F615" t="str">
            <v>ST</v>
          </cell>
          <cell r="G615" t="str">
            <v>NO</v>
          </cell>
          <cell r="I615" t="str">
            <v>????</v>
          </cell>
          <cell r="J615" t="str">
            <v>1'x 4'x 2 110w lamps &amp; ST bal</v>
          </cell>
        </row>
        <row r="616">
          <cell r="H616">
            <v>13</v>
          </cell>
          <cell r="I616" t="str">
            <v>????</v>
          </cell>
          <cell r="J616" t="str">
            <v>PL-SLS 13w</v>
          </cell>
        </row>
        <row r="617">
          <cell r="H617">
            <v>15</v>
          </cell>
          <cell r="I617" t="str">
            <v>????</v>
          </cell>
          <cell r="J617" t="str">
            <v>PL-SLS 15w</v>
          </cell>
        </row>
        <row r="618">
          <cell r="H618">
            <v>20</v>
          </cell>
          <cell r="I618" t="str">
            <v>????</v>
          </cell>
          <cell r="J618" t="str">
            <v>PL-SLS 20w</v>
          </cell>
        </row>
        <row r="619">
          <cell r="H619">
            <v>23</v>
          </cell>
          <cell r="I619" t="str">
            <v>????</v>
          </cell>
          <cell r="J619" t="str">
            <v>PL-SLS 23w</v>
          </cell>
        </row>
        <row r="620">
          <cell r="H620">
            <v>22</v>
          </cell>
          <cell r="I620" t="str">
            <v>????</v>
          </cell>
          <cell r="J620" t="str">
            <v>22w QUAD</v>
          </cell>
        </row>
        <row r="621">
          <cell r="I621" t="str">
            <v>????</v>
          </cell>
        </row>
        <row r="622">
          <cell r="I622" t="str">
            <v>????</v>
          </cell>
        </row>
        <row r="623">
          <cell r="I623" t="str">
            <v>????</v>
          </cell>
        </row>
        <row r="624">
          <cell r="B624" t="str">
            <v>CFT5/1</v>
          </cell>
          <cell r="C624" t="str">
            <v>ANY CMPL FIX</v>
          </cell>
          <cell r="D624">
            <v>1</v>
          </cell>
          <cell r="E624">
            <v>5</v>
          </cell>
          <cell r="F624" t="str">
            <v>N/A</v>
          </cell>
          <cell r="G624" t="str">
            <v>N/A</v>
          </cell>
          <cell r="H624">
            <v>9</v>
          </cell>
          <cell r="I624" t="str">
            <v>CFT5/1</v>
          </cell>
          <cell r="J624" t="str">
            <v>Compact Fluorescent, twin, (1) 5W lamp</v>
          </cell>
        </row>
        <row r="625">
          <cell r="B625" t="str">
            <v>CFT5/2</v>
          </cell>
          <cell r="C625" t="str">
            <v>ANY CMPL FIX</v>
          </cell>
          <cell r="D625">
            <v>2</v>
          </cell>
          <cell r="E625">
            <v>5</v>
          </cell>
          <cell r="F625" t="str">
            <v>N/A</v>
          </cell>
          <cell r="G625" t="str">
            <v>N/A</v>
          </cell>
          <cell r="H625">
            <v>14</v>
          </cell>
          <cell r="I625" t="str">
            <v>CFT5/2</v>
          </cell>
          <cell r="J625" t="str">
            <v>Compact Fluorescent, twin, (2) 5W lamp</v>
          </cell>
        </row>
        <row r="626">
          <cell r="B626" t="str">
            <v>CFT7/1</v>
          </cell>
          <cell r="C626" t="str">
            <v>ANY CMPL FIX</v>
          </cell>
          <cell r="D626">
            <v>1</v>
          </cell>
          <cell r="E626">
            <v>7</v>
          </cell>
          <cell r="F626" t="str">
            <v>N/A</v>
          </cell>
          <cell r="G626" t="str">
            <v>N/A</v>
          </cell>
          <cell r="H626">
            <v>11</v>
          </cell>
          <cell r="I626" t="str">
            <v>CFT7/1</v>
          </cell>
          <cell r="J626" t="str">
            <v>Compact Fluorescent, twin, (1) 7W lamp</v>
          </cell>
        </row>
        <row r="627">
          <cell r="B627" t="str">
            <v>CF7/INT</v>
          </cell>
          <cell r="C627" t="str">
            <v>ANY CMPL FIX</v>
          </cell>
          <cell r="D627">
            <v>1</v>
          </cell>
          <cell r="E627">
            <v>7</v>
          </cell>
          <cell r="F627" t="str">
            <v>N/A</v>
          </cell>
          <cell r="G627" t="str">
            <v>N/A</v>
          </cell>
          <cell r="H627">
            <v>9</v>
          </cell>
          <cell r="I627" t="str">
            <v>CF7/INT</v>
          </cell>
          <cell r="J627" t="str">
            <v>Compact Fluorescent, Integral, (1) 7W lamp</v>
          </cell>
        </row>
        <row r="628">
          <cell r="B628" t="str">
            <v>CFT7/2</v>
          </cell>
          <cell r="C628" t="str">
            <v>ANY CMPL FIX</v>
          </cell>
          <cell r="D628">
            <v>2</v>
          </cell>
          <cell r="E628">
            <v>7</v>
          </cell>
          <cell r="F628" t="str">
            <v>N/A</v>
          </cell>
          <cell r="G628" t="str">
            <v>N/A</v>
          </cell>
          <cell r="H628">
            <v>14</v>
          </cell>
          <cell r="I628" t="str">
            <v>CFT7/2</v>
          </cell>
          <cell r="J628" t="str">
            <v>Compact Fluorescent, twin, (2) 7W lamp</v>
          </cell>
        </row>
        <row r="629">
          <cell r="B629" t="str">
            <v>CFT9/2</v>
          </cell>
          <cell r="C629" t="str">
            <v>ANY CMPL FIX</v>
          </cell>
          <cell r="D629">
            <v>2</v>
          </cell>
          <cell r="E629">
            <v>9</v>
          </cell>
          <cell r="F629" t="str">
            <v>N/A</v>
          </cell>
          <cell r="G629" t="str">
            <v>N/A</v>
          </cell>
          <cell r="H629">
            <v>18</v>
          </cell>
          <cell r="I629" t="str">
            <v>CFT9/2</v>
          </cell>
          <cell r="J629" t="str">
            <v>Compact Fluorescent, twin, (2) 9W lamp</v>
          </cell>
        </row>
        <row r="630">
          <cell r="B630" t="str">
            <v>CFT9/1</v>
          </cell>
          <cell r="C630" t="str">
            <v>ANY CMPL FIX</v>
          </cell>
          <cell r="D630">
            <v>1</v>
          </cell>
          <cell r="E630">
            <v>9</v>
          </cell>
          <cell r="F630" t="str">
            <v>N/A</v>
          </cell>
          <cell r="G630" t="str">
            <v>N/A</v>
          </cell>
          <cell r="H630">
            <v>9</v>
          </cell>
          <cell r="I630" t="str">
            <v>CFT9/1</v>
          </cell>
          <cell r="J630" t="str">
            <v>Compact Fluorescent, twin, (1) 9W lamp</v>
          </cell>
        </row>
        <row r="631">
          <cell r="B631" t="str">
            <v>CF9/INT</v>
          </cell>
          <cell r="C631" t="str">
            <v>ANY CMPL FIX</v>
          </cell>
          <cell r="D631">
            <v>1</v>
          </cell>
          <cell r="E631">
            <v>9</v>
          </cell>
          <cell r="F631" t="str">
            <v>N/A</v>
          </cell>
          <cell r="G631" t="str">
            <v>N/A</v>
          </cell>
          <cell r="H631">
            <v>9</v>
          </cell>
          <cell r="I631" t="str">
            <v>CF9/INT</v>
          </cell>
          <cell r="J631" t="str">
            <v>Compact Fluorescent, Integral, (1) 9W lamp</v>
          </cell>
        </row>
        <row r="632">
          <cell r="B632" t="str">
            <v>CFQ9/1</v>
          </cell>
          <cell r="C632" t="str">
            <v>ANY CMPL FIX</v>
          </cell>
          <cell r="D632">
            <v>1</v>
          </cell>
          <cell r="E632">
            <v>9</v>
          </cell>
          <cell r="F632" t="str">
            <v>N/A</v>
          </cell>
          <cell r="G632" t="str">
            <v>N/A</v>
          </cell>
          <cell r="H632">
            <v>9</v>
          </cell>
          <cell r="I632" t="str">
            <v>CFQ9/1</v>
          </cell>
          <cell r="J632" t="str">
            <v>Compact Fluorescent, quad, (1) 9W lamp</v>
          </cell>
        </row>
        <row r="633">
          <cell r="B633" t="str">
            <v>CF10/2D</v>
          </cell>
          <cell r="C633" t="str">
            <v>ANY CMPL FIX</v>
          </cell>
          <cell r="D633">
            <v>1</v>
          </cell>
          <cell r="E633">
            <v>10</v>
          </cell>
          <cell r="F633" t="str">
            <v>N/A</v>
          </cell>
          <cell r="G633" t="str">
            <v>N/A</v>
          </cell>
          <cell r="H633">
            <v>10</v>
          </cell>
          <cell r="I633" t="str">
            <v>CF10/2D</v>
          </cell>
          <cell r="J633" t="str">
            <v>Compact Fluorescent, 2D, (1) 10W lamp</v>
          </cell>
        </row>
        <row r="634">
          <cell r="B634" t="str">
            <v>CFQ10A/1</v>
          </cell>
          <cell r="C634" t="str">
            <v>ANY CMPL FIX</v>
          </cell>
          <cell r="D634">
            <v>1</v>
          </cell>
          <cell r="E634">
            <v>10</v>
          </cell>
          <cell r="F634" t="str">
            <v>N/A</v>
          </cell>
          <cell r="G634" t="str">
            <v>N/A</v>
          </cell>
          <cell r="H634">
            <v>16</v>
          </cell>
          <cell r="I634" t="str">
            <v>CFQ10A/1</v>
          </cell>
          <cell r="J634" t="str">
            <v>Compact Fluorescent, quad, (1) 10W lamp, Autotransformer</v>
          </cell>
        </row>
        <row r="635">
          <cell r="B635" t="str">
            <v>CF11/GL</v>
          </cell>
          <cell r="C635" t="str">
            <v>ANY CMPL FIX</v>
          </cell>
          <cell r="D635">
            <v>1</v>
          </cell>
          <cell r="E635">
            <v>11</v>
          </cell>
          <cell r="F635" t="str">
            <v>N/A</v>
          </cell>
          <cell r="G635" t="str">
            <v>N/A</v>
          </cell>
          <cell r="H635">
            <v>11</v>
          </cell>
          <cell r="I635" t="str">
            <v>CF11/GL</v>
          </cell>
          <cell r="J635" t="str">
            <v>Compact Fluorescent, Globe, (1) 11W lamp</v>
          </cell>
        </row>
        <row r="636">
          <cell r="B636" t="str">
            <v>CF13/CAP</v>
          </cell>
          <cell r="C636" t="str">
            <v>ANY CMPL FIX</v>
          </cell>
          <cell r="D636">
            <v>1</v>
          </cell>
          <cell r="E636">
            <v>13</v>
          </cell>
          <cell r="F636" t="str">
            <v>N/A</v>
          </cell>
          <cell r="G636" t="str">
            <v>N/A</v>
          </cell>
          <cell r="H636">
            <v>13</v>
          </cell>
          <cell r="I636" t="str">
            <v>CF13/CAP</v>
          </cell>
          <cell r="J636" t="str">
            <v>Compact Fluorescent, Capsule, (1) 13W lamp</v>
          </cell>
        </row>
        <row r="637">
          <cell r="B637" t="str">
            <v>CFT13/2</v>
          </cell>
          <cell r="C637" t="str">
            <v>ANY CMPL FIX</v>
          </cell>
          <cell r="D637">
            <v>2</v>
          </cell>
          <cell r="E637">
            <v>13</v>
          </cell>
          <cell r="F637" t="str">
            <v>N/A</v>
          </cell>
          <cell r="G637" t="str">
            <v>N/A</v>
          </cell>
          <cell r="H637">
            <v>26</v>
          </cell>
          <cell r="I637" t="str">
            <v>CFT13/2</v>
          </cell>
          <cell r="J637" t="str">
            <v>Compact Fluorescent, twin, (2) 13W lamp</v>
          </cell>
        </row>
        <row r="638">
          <cell r="B638" t="str">
            <v>CFQ13/1</v>
          </cell>
          <cell r="C638" t="str">
            <v>ANY CMPL FIX</v>
          </cell>
          <cell r="D638">
            <v>1</v>
          </cell>
          <cell r="E638">
            <v>13</v>
          </cell>
          <cell r="F638" t="str">
            <v>N/A</v>
          </cell>
          <cell r="G638" t="str">
            <v>N/A</v>
          </cell>
          <cell r="H638">
            <v>13</v>
          </cell>
          <cell r="I638" t="str">
            <v>CFQ13/1</v>
          </cell>
          <cell r="J638" t="str">
            <v>Compact Fluorescent, quad, (1) 13W lamp</v>
          </cell>
        </row>
        <row r="639">
          <cell r="B639" t="str">
            <v>CFT13/1</v>
          </cell>
          <cell r="C639" t="str">
            <v>ANY CMPL FIX</v>
          </cell>
          <cell r="D639">
            <v>1</v>
          </cell>
          <cell r="E639">
            <v>13</v>
          </cell>
          <cell r="F639" t="str">
            <v>N/A</v>
          </cell>
          <cell r="G639" t="str">
            <v>N/A</v>
          </cell>
          <cell r="H639">
            <v>15</v>
          </cell>
          <cell r="I639" t="str">
            <v>CFT13/1</v>
          </cell>
          <cell r="J639" t="str">
            <v>Compact Fluorescent, twin, (1) 13W lamp</v>
          </cell>
        </row>
        <row r="640">
          <cell r="B640" t="str">
            <v>CFQ13/2</v>
          </cell>
          <cell r="C640" t="str">
            <v>ANY CMPL FIX</v>
          </cell>
          <cell r="D640">
            <v>2</v>
          </cell>
          <cell r="E640">
            <v>13</v>
          </cell>
          <cell r="F640" t="str">
            <v>N/A</v>
          </cell>
          <cell r="G640" t="str">
            <v>N/A</v>
          </cell>
          <cell r="H640">
            <v>30</v>
          </cell>
          <cell r="I640" t="str">
            <v>CFQ13/2</v>
          </cell>
          <cell r="J640" t="str">
            <v>Compact Fluorescent, quad, (2) 13W lamp</v>
          </cell>
        </row>
        <row r="641">
          <cell r="B641" t="str">
            <v>CFQ13/4</v>
          </cell>
          <cell r="D641">
            <v>4</v>
          </cell>
          <cell r="E641">
            <v>13</v>
          </cell>
          <cell r="H641">
            <v>13</v>
          </cell>
          <cell r="I641" t="str">
            <v>CFQ13/4</v>
          </cell>
          <cell r="J641" t="str">
            <v>Compact Fluorescent, quad, (4) 13W lamp</v>
          </cell>
        </row>
        <row r="642">
          <cell r="B642" t="str">
            <v>CF15/GL</v>
          </cell>
          <cell r="C642" t="str">
            <v>ANY CMPL FIX</v>
          </cell>
          <cell r="D642">
            <v>1</v>
          </cell>
          <cell r="E642">
            <v>13</v>
          </cell>
          <cell r="F642" t="str">
            <v>N/A</v>
          </cell>
          <cell r="G642" t="str">
            <v>N/A</v>
          </cell>
          <cell r="H642">
            <v>15</v>
          </cell>
          <cell r="I642" t="str">
            <v>CF15/GL</v>
          </cell>
          <cell r="J642" t="str">
            <v>Compact Fluorescent, Globe, (1) 15W lamp</v>
          </cell>
        </row>
        <row r="643">
          <cell r="B643" t="str">
            <v>CF13/INT</v>
          </cell>
          <cell r="C643" t="str">
            <v>ANY CMPL FIX</v>
          </cell>
          <cell r="D643">
            <v>1</v>
          </cell>
          <cell r="E643">
            <v>13</v>
          </cell>
          <cell r="F643" t="str">
            <v>N/A</v>
          </cell>
          <cell r="G643" t="str">
            <v>N/A</v>
          </cell>
          <cell r="H643">
            <v>15</v>
          </cell>
          <cell r="I643" t="str">
            <v>CF13/INT</v>
          </cell>
          <cell r="J643" t="str">
            <v>Compact Fluorescent, Integral, (1) 13W lamp</v>
          </cell>
        </row>
        <row r="644">
          <cell r="B644" t="str">
            <v>CFQ15/1</v>
          </cell>
          <cell r="C644" t="str">
            <v>ANY CMPL FIX</v>
          </cell>
          <cell r="D644">
            <v>1</v>
          </cell>
          <cell r="E644">
            <v>15</v>
          </cell>
          <cell r="F644" t="str">
            <v>N/A</v>
          </cell>
          <cell r="G644" t="str">
            <v>N/A</v>
          </cell>
          <cell r="H644">
            <v>15</v>
          </cell>
          <cell r="I644" t="str">
            <v>CFQ15/1</v>
          </cell>
          <cell r="J644" t="str">
            <v>Compact Fluorescent, quad, (1) 15W lamp</v>
          </cell>
        </row>
        <row r="645">
          <cell r="B645" t="str">
            <v>CFQ15/2</v>
          </cell>
          <cell r="C645" t="str">
            <v>ANY CMPL FIX</v>
          </cell>
          <cell r="D645">
            <v>2</v>
          </cell>
          <cell r="E645">
            <v>15</v>
          </cell>
          <cell r="F645" t="str">
            <v>N/A</v>
          </cell>
          <cell r="G645" t="str">
            <v>N/A</v>
          </cell>
          <cell r="H645">
            <v>30</v>
          </cell>
          <cell r="I645" t="str">
            <v>CFQ15/2</v>
          </cell>
          <cell r="J645" t="str">
            <v>Compact Fluorescent, quad, (2) 15W lamp</v>
          </cell>
        </row>
        <row r="646">
          <cell r="B646" t="str">
            <v>CFQ15/3</v>
          </cell>
          <cell r="D646">
            <v>3</v>
          </cell>
          <cell r="E646">
            <v>15</v>
          </cell>
          <cell r="H646">
            <v>45</v>
          </cell>
          <cell r="I646" t="str">
            <v>CFQ15/3</v>
          </cell>
          <cell r="J646" t="str">
            <v>Compact Fluorescent, quad, (3)  15W lamp</v>
          </cell>
        </row>
        <row r="647">
          <cell r="B647" t="str">
            <v>CF16/2D</v>
          </cell>
          <cell r="C647" t="str">
            <v>ANY CMPL FIX</v>
          </cell>
          <cell r="D647">
            <v>1</v>
          </cell>
          <cell r="E647">
            <v>16</v>
          </cell>
          <cell r="F647" t="str">
            <v>N/A</v>
          </cell>
          <cell r="G647" t="str">
            <v>N/A</v>
          </cell>
          <cell r="H647">
            <v>16</v>
          </cell>
          <cell r="I647" t="str">
            <v>CF16/2D</v>
          </cell>
          <cell r="J647" t="str">
            <v>Compact Fluorescent, 2D, (1) 16W lamp</v>
          </cell>
        </row>
        <row r="648">
          <cell r="B648" t="str">
            <v>CFT18RS/1</v>
          </cell>
          <cell r="C648" t="str">
            <v>ANY CMPL FIX</v>
          </cell>
          <cell r="D648">
            <v>1</v>
          </cell>
          <cell r="E648">
            <v>18</v>
          </cell>
          <cell r="F648" t="str">
            <v>N/A</v>
          </cell>
          <cell r="G648" t="str">
            <v>N/A</v>
          </cell>
          <cell r="H648">
            <v>18</v>
          </cell>
          <cell r="I648" t="str">
            <v>CFT18RS/1</v>
          </cell>
          <cell r="J648" t="str">
            <v>Compact Fluorescent, twin, rapid start (1) 18W lamp</v>
          </cell>
        </row>
        <row r="649">
          <cell r="B649" t="str">
            <v>CFT18IS/1</v>
          </cell>
          <cell r="C649" t="str">
            <v>ANY CMPL FIX</v>
          </cell>
          <cell r="D649">
            <v>1</v>
          </cell>
          <cell r="E649">
            <v>18</v>
          </cell>
          <cell r="F649" t="str">
            <v>N/A</v>
          </cell>
          <cell r="G649" t="str">
            <v>N/A</v>
          </cell>
          <cell r="H649">
            <v>18</v>
          </cell>
          <cell r="I649" t="str">
            <v>CFT18IS/1</v>
          </cell>
          <cell r="J649" t="str">
            <v>Compact Fluorescent, twin, instant start (1) 18W lamp</v>
          </cell>
        </row>
        <row r="650">
          <cell r="B650" t="str">
            <v>CFQ18/4</v>
          </cell>
          <cell r="C650" t="str">
            <v>ANY CMPL FIX</v>
          </cell>
          <cell r="D650">
            <v>4</v>
          </cell>
          <cell r="E650">
            <v>18</v>
          </cell>
          <cell r="F650" t="str">
            <v>N/A</v>
          </cell>
          <cell r="G650" t="str">
            <v>N/A</v>
          </cell>
          <cell r="H650">
            <v>84</v>
          </cell>
          <cell r="I650" t="str">
            <v>CFQ18/4</v>
          </cell>
          <cell r="J650" t="str">
            <v>Compact Fluorescent, quad, (4) 18W lamp</v>
          </cell>
        </row>
        <row r="651">
          <cell r="B651" t="str">
            <v>CFQ18/2</v>
          </cell>
          <cell r="C651" t="str">
            <v>ANY CMPL FIX</v>
          </cell>
          <cell r="D651">
            <v>2</v>
          </cell>
          <cell r="E651">
            <v>18</v>
          </cell>
          <cell r="F651" t="str">
            <v>N/A</v>
          </cell>
          <cell r="G651" t="str">
            <v>N/A</v>
          </cell>
          <cell r="H651">
            <v>42</v>
          </cell>
          <cell r="I651" t="str">
            <v>CFQ18/2</v>
          </cell>
          <cell r="J651" t="str">
            <v>Compact Fluorescent, quad, (2) 18W lamp</v>
          </cell>
        </row>
        <row r="652">
          <cell r="B652" t="str">
            <v>CFT18RS/2</v>
          </cell>
          <cell r="C652" t="str">
            <v>ANY CMPL FIX</v>
          </cell>
          <cell r="D652">
            <v>2</v>
          </cell>
          <cell r="E652">
            <v>18</v>
          </cell>
          <cell r="F652" t="str">
            <v>N/A</v>
          </cell>
          <cell r="G652" t="str">
            <v>N/A</v>
          </cell>
          <cell r="H652">
            <v>46</v>
          </cell>
          <cell r="I652" t="str">
            <v>CFT18RS/2</v>
          </cell>
          <cell r="J652" t="str">
            <v>Compact Fluorescent, twin, rapid start (2) 18W lamp</v>
          </cell>
        </row>
        <row r="653">
          <cell r="B653" t="str">
            <v>CFT18IS/2</v>
          </cell>
          <cell r="C653" t="str">
            <v>ANY CMPL FIX</v>
          </cell>
          <cell r="D653">
            <v>2</v>
          </cell>
          <cell r="E653">
            <v>18</v>
          </cell>
          <cell r="F653" t="str">
            <v>N/A</v>
          </cell>
          <cell r="G653" t="str">
            <v>N/A</v>
          </cell>
          <cell r="H653">
            <v>46</v>
          </cell>
          <cell r="I653" t="str">
            <v>CFT18IS/2</v>
          </cell>
          <cell r="J653" t="str">
            <v>Compact Fluorescent, twin, instant start (2) 18W lamp</v>
          </cell>
        </row>
        <row r="654">
          <cell r="B654" t="str">
            <v>CFQ18A/1</v>
          </cell>
          <cell r="C654" t="str">
            <v>ANY CMPL FIX</v>
          </cell>
          <cell r="D654">
            <v>1</v>
          </cell>
          <cell r="E654">
            <v>18</v>
          </cell>
          <cell r="F654" t="str">
            <v>N/A</v>
          </cell>
          <cell r="G654" t="str">
            <v>N/A</v>
          </cell>
          <cell r="H654">
            <v>25</v>
          </cell>
          <cell r="I654" t="str">
            <v>CFQ18A/1</v>
          </cell>
          <cell r="J654" t="str">
            <v>Compact Fluorescent, quad, (1) 18W lamp, Autotransformer</v>
          </cell>
        </row>
        <row r="655">
          <cell r="B655" t="str">
            <v>CFQ18R/1</v>
          </cell>
          <cell r="C655" t="str">
            <v>ANY CMPL FIX</v>
          </cell>
          <cell r="D655">
            <v>1</v>
          </cell>
          <cell r="E655">
            <v>18</v>
          </cell>
          <cell r="F655" t="str">
            <v>N/A</v>
          </cell>
          <cell r="G655" t="str">
            <v>N/A</v>
          </cell>
          <cell r="H655">
            <v>22</v>
          </cell>
          <cell r="I655" t="str">
            <v>CFQ18R/1</v>
          </cell>
          <cell r="J655" t="str">
            <v>Compact Fluorescent, quad, (1) 18W lamp, Reactor</v>
          </cell>
        </row>
        <row r="656">
          <cell r="B656" t="str">
            <v>BX18/1</v>
          </cell>
          <cell r="C656" t="str">
            <v>ANY CMPL FIX</v>
          </cell>
          <cell r="D656">
            <v>1</v>
          </cell>
          <cell r="E656">
            <v>18</v>
          </cell>
          <cell r="F656" t="str">
            <v>N/A</v>
          </cell>
          <cell r="G656" t="str">
            <v>N/A</v>
          </cell>
          <cell r="H656">
            <v>20</v>
          </cell>
          <cell r="I656" t="str">
            <v>BX18/1</v>
          </cell>
          <cell r="J656" t="str">
            <v>Fluorescent, Biax, (1) 18W lamp</v>
          </cell>
        </row>
        <row r="657">
          <cell r="B657" t="str">
            <v>CF18/CAP</v>
          </cell>
          <cell r="C657" t="str">
            <v>ANY CMPL FIX</v>
          </cell>
          <cell r="D657">
            <v>1</v>
          </cell>
          <cell r="E657">
            <v>18</v>
          </cell>
          <cell r="F657" t="str">
            <v>N/A</v>
          </cell>
          <cell r="G657" t="str">
            <v>N/A</v>
          </cell>
          <cell r="H657">
            <v>18</v>
          </cell>
          <cell r="I657" t="str">
            <v>CF18/CAP</v>
          </cell>
          <cell r="J657" t="str">
            <v>Compact Fluorescent, Capsule, (1) 18W lamp</v>
          </cell>
        </row>
        <row r="658">
          <cell r="B658" t="str">
            <v>CF20/INT</v>
          </cell>
          <cell r="C658" t="str">
            <v>ANY CMPL FIX</v>
          </cell>
          <cell r="D658">
            <v>1</v>
          </cell>
          <cell r="E658">
            <v>20</v>
          </cell>
          <cell r="F658" t="str">
            <v>N/A</v>
          </cell>
          <cell r="G658" t="str">
            <v>N/A</v>
          </cell>
          <cell r="H658">
            <v>20</v>
          </cell>
          <cell r="I658" t="str">
            <v>CF20/INT</v>
          </cell>
          <cell r="J658" t="str">
            <v>Compact Fluorescent, Integral, (1) 20W lamp</v>
          </cell>
        </row>
        <row r="659">
          <cell r="B659" t="str">
            <v>CFQ20/1</v>
          </cell>
          <cell r="C659" t="str">
            <v>ANY CMPL FIX</v>
          </cell>
          <cell r="D659">
            <v>1</v>
          </cell>
          <cell r="E659">
            <v>20</v>
          </cell>
          <cell r="F659" t="str">
            <v>N/A</v>
          </cell>
          <cell r="G659" t="str">
            <v>N/A</v>
          </cell>
          <cell r="H659">
            <v>27</v>
          </cell>
          <cell r="I659" t="str">
            <v>CFQ20/1</v>
          </cell>
          <cell r="J659" t="str">
            <v>Compact Fluorescent, quad, (1) 20W lamp</v>
          </cell>
        </row>
        <row r="660">
          <cell r="B660" t="str">
            <v>CF26/INT</v>
          </cell>
          <cell r="C660" t="str">
            <v>ANY CMPL FIX</v>
          </cell>
          <cell r="D660">
            <v>1</v>
          </cell>
          <cell r="E660">
            <v>20</v>
          </cell>
          <cell r="F660" t="str">
            <v>N/A</v>
          </cell>
          <cell r="G660" t="str">
            <v>N/A</v>
          </cell>
          <cell r="H660">
            <v>26</v>
          </cell>
          <cell r="I660" t="str">
            <v>CF26/INT</v>
          </cell>
          <cell r="J660" t="str">
            <v>Compact Fluorescent, Integral, (1) 26W lamp</v>
          </cell>
        </row>
        <row r="661">
          <cell r="B661" t="str">
            <v>CF21/2D</v>
          </cell>
          <cell r="C661" t="str">
            <v>ANY CMPL FIX</v>
          </cell>
          <cell r="D661">
            <v>1</v>
          </cell>
          <cell r="E661">
            <v>21</v>
          </cell>
          <cell r="F661" t="str">
            <v>N/A</v>
          </cell>
          <cell r="G661" t="str">
            <v>N/A</v>
          </cell>
          <cell r="H661">
            <v>23</v>
          </cell>
          <cell r="I661" t="str">
            <v>CF21/2D</v>
          </cell>
          <cell r="J661" t="str">
            <v>Compact Fluorescent, 2D, (1) 21W lamp</v>
          </cell>
        </row>
        <row r="662">
          <cell r="B662" t="str">
            <v>BX24/1</v>
          </cell>
          <cell r="C662" t="str">
            <v>ANY CMPL FIX</v>
          </cell>
          <cell r="D662">
            <v>1</v>
          </cell>
          <cell r="E662">
            <v>24</v>
          </cell>
          <cell r="F662" t="str">
            <v>N/A</v>
          </cell>
          <cell r="G662" t="str">
            <v>N/A</v>
          </cell>
          <cell r="H662">
            <v>26</v>
          </cell>
          <cell r="I662" t="str">
            <v>BX24/1</v>
          </cell>
          <cell r="J662" t="str">
            <v>Fluorescent, Biax, (1) 24W lamp</v>
          </cell>
        </row>
        <row r="663">
          <cell r="B663" t="str">
            <v>CFQ26R/1</v>
          </cell>
          <cell r="C663" t="str">
            <v>ANY CMPL FIX</v>
          </cell>
          <cell r="D663">
            <v>1</v>
          </cell>
          <cell r="E663">
            <v>26</v>
          </cell>
          <cell r="F663" t="str">
            <v>N/A</v>
          </cell>
          <cell r="G663" t="str">
            <v>N/A</v>
          </cell>
          <cell r="H663">
            <v>31</v>
          </cell>
          <cell r="I663" t="str">
            <v>CFQ26R/1</v>
          </cell>
          <cell r="J663" t="str">
            <v>Compact Fluorescent, quad, (1) 26W lamp, Reflector</v>
          </cell>
        </row>
        <row r="664">
          <cell r="B664" t="str">
            <v>CFQ26/1</v>
          </cell>
          <cell r="C664" t="str">
            <v>ANY CMPL FIX</v>
          </cell>
          <cell r="D664">
            <v>1</v>
          </cell>
          <cell r="E664">
            <v>26</v>
          </cell>
          <cell r="F664" t="str">
            <v>N/A</v>
          </cell>
          <cell r="G664" t="str">
            <v>N/A</v>
          </cell>
          <cell r="H664">
            <v>25</v>
          </cell>
          <cell r="I664" t="str">
            <v>CFQ26/1</v>
          </cell>
          <cell r="J664" t="str">
            <v>Compact Fluorescent, quad, (1) 26W lamp</v>
          </cell>
        </row>
        <row r="665">
          <cell r="B665" t="str">
            <v>CFQ26A/1</v>
          </cell>
          <cell r="C665" t="str">
            <v>ANY CMPL FIX</v>
          </cell>
          <cell r="D665">
            <v>1</v>
          </cell>
          <cell r="E665">
            <v>26</v>
          </cell>
          <cell r="F665" t="str">
            <v>N/A</v>
          </cell>
          <cell r="G665" t="str">
            <v>N/A</v>
          </cell>
          <cell r="H665">
            <v>37</v>
          </cell>
          <cell r="I665" t="str">
            <v>CFQ26A/1</v>
          </cell>
          <cell r="J665" t="str">
            <v>Compact Fluorescent, quad, (1) 26W lamp, Autotransformer</v>
          </cell>
        </row>
        <row r="666">
          <cell r="B666" t="str">
            <v>CFQ26/2</v>
          </cell>
          <cell r="C666" t="str">
            <v>ANY CMPL FIX</v>
          </cell>
          <cell r="D666">
            <v>2</v>
          </cell>
          <cell r="E666">
            <v>26</v>
          </cell>
          <cell r="F666" t="str">
            <v>N/A</v>
          </cell>
          <cell r="G666" t="str">
            <v>N/A</v>
          </cell>
          <cell r="H666">
            <v>50</v>
          </cell>
          <cell r="I666" t="str">
            <v>CFQ26/2</v>
          </cell>
          <cell r="J666" t="str">
            <v>Compact Fluorescent, quad, (2) 26W lamp</v>
          </cell>
        </row>
        <row r="667">
          <cell r="B667" t="str">
            <v>CFT27RS/2</v>
          </cell>
          <cell r="C667" t="str">
            <v>ANY CMPL FIX</v>
          </cell>
          <cell r="D667">
            <v>2</v>
          </cell>
          <cell r="E667">
            <v>27</v>
          </cell>
          <cell r="F667" t="str">
            <v>N/A</v>
          </cell>
          <cell r="G667" t="str">
            <v>N/A</v>
          </cell>
          <cell r="H667">
            <v>66</v>
          </cell>
          <cell r="I667" t="str">
            <v>CFT27RS/2</v>
          </cell>
          <cell r="J667" t="str">
            <v>Compact Fluorescent, twin, rapid start (2) 27W lamp</v>
          </cell>
        </row>
        <row r="668">
          <cell r="B668" t="str">
            <v>CFT27IS/2</v>
          </cell>
          <cell r="C668" t="str">
            <v>ANY CMPL FIX</v>
          </cell>
          <cell r="D668">
            <v>2</v>
          </cell>
          <cell r="E668">
            <v>27</v>
          </cell>
          <cell r="F668" t="str">
            <v>N/A</v>
          </cell>
          <cell r="G668" t="str">
            <v>N/A</v>
          </cell>
          <cell r="H668">
            <v>60</v>
          </cell>
          <cell r="I668" t="str">
            <v>CFT27IS/2</v>
          </cell>
          <cell r="J668" t="str">
            <v>Compact Fluorescent, twin, instant start (2) 27W lamp</v>
          </cell>
        </row>
        <row r="669">
          <cell r="B669" t="str">
            <v>CFT27RS/1</v>
          </cell>
          <cell r="C669" t="str">
            <v>ANY CMPL FIX</v>
          </cell>
          <cell r="D669">
            <v>1</v>
          </cell>
          <cell r="E669">
            <v>27</v>
          </cell>
          <cell r="F669" t="str">
            <v>N/A</v>
          </cell>
          <cell r="G669" t="str">
            <v>N/A</v>
          </cell>
          <cell r="H669">
            <v>32</v>
          </cell>
          <cell r="I669" t="str">
            <v>CFT27RS/1</v>
          </cell>
          <cell r="J669" t="str">
            <v>Compact Fluorescent, twin, rapid start (1) 27W lamp</v>
          </cell>
        </row>
        <row r="670">
          <cell r="B670" t="str">
            <v>CFT27IS/1</v>
          </cell>
          <cell r="C670" t="str">
            <v>ANY CMPL FIX</v>
          </cell>
          <cell r="D670">
            <v>1</v>
          </cell>
          <cell r="E670">
            <v>27</v>
          </cell>
          <cell r="F670" t="str">
            <v>N/A</v>
          </cell>
          <cell r="G670" t="str">
            <v>N/A</v>
          </cell>
          <cell r="H670">
            <v>28</v>
          </cell>
          <cell r="I670" t="str">
            <v>CFT27IS/1</v>
          </cell>
          <cell r="J670" t="str">
            <v>Compact Fluorescent, twin, instant start (1) 27W lamp</v>
          </cell>
        </row>
        <row r="671">
          <cell r="B671" t="str">
            <v>CFQ27/1</v>
          </cell>
          <cell r="C671" t="str">
            <v>ANY CMPL FIX</v>
          </cell>
          <cell r="D671">
            <v>1</v>
          </cell>
          <cell r="E671">
            <v>27</v>
          </cell>
          <cell r="F671" t="str">
            <v>N/A</v>
          </cell>
          <cell r="G671" t="str">
            <v>N/A</v>
          </cell>
          <cell r="H671">
            <v>34</v>
          </cell>
          <cell r="I671" t="str">
            <v>CFQ27/1</v>
          </cell>
          <cell r="J671" t="str">
            <v>Compact Fluorescent, quad, (1) 27W lamp</v>
          </cell>
        </row>
        <row r="672">
          <cell r="B672" t="str">
            <v>CF28/2D</v>
          </cell>
          <cell r="C672" t="str">
            <v>ANY CMPL FIX</v>
          </cell>
          <cell r="D672">
            <v>1</v>
          </cell>
          <cell r="E672">
            <v>28</v>
          </cell>
          <cell r="F672" t="str">
            <v>N/A</v>
          </cell>
          <cell r="G672" t="str">
            <v>N/A</v>
          </cell>
          <cell r="H672">
            <v>30</v>
          </cell>
          <cell r="I672" t="str">
            <v>CF28/2D</v>
          </cell>
          <cell r="J672" t="str">
            <v>Compact Fluorescent, 2D, (1) 28W lamp</v>
          </cell>
        </row>
        <row r="673">
          <cell r="B673" t="str">
            <v>CFT36/2</v>
          </cell>
          <cell r="C673" t="str">
            <v>ANY CMPL FIX</v>
          </cell>
          <cell r="D673">
            <v>2</v>
          </cell>
          <cell r="E673">
            <v>36</v>
          </cell>
          <cell r="F673" t="str">
            <v>N/A</v>
          </cell>
          <cell r="G673" t="str">
            <v>N/A</v>
          </cell>
          <cell r="H673">
            <v>88</v>
          </cell>
          <cell r="I673" t="str">
            <v>CFT36/2</v>
          </cell>
          <cell r="J673" t="str">
            <v>Compact Fluorescent, twin, (2) 36W lamp</v>
          </cell>
        </row>
        <row r="674">
          <cell r="B674" t="str">
            <v>CFT36/1</v>
          </cell>
          <cell r="C674" t="str">
            <v>ANY CMPL FIX</v>
          </cell>
          <cell r="D674">
            <v>1</v>
          </cell>
          <cell r="E674">
            <v>36</v>
          </cell>
          <cell r="F674" t="str">
            <v>N/A</v>
          </cell>
          <cell r="G674" t="str">
            <v>N/A</v>
          </cell>
          <cell r="H674">
            <v>51</v>
          </cell>
          <cell r="I674" t="str">
            <v>CFT36/1</v>
          </cell>
          <cell r="J674" t="str">
            <v>Compact Fluorescent, twin, (1) 36W lamp</v>
          </cell>
        </row>
        <row r="675">
          <cell r="B675" t="str">
            <v>BX36/1</v>
          </cell>
          <cell r="C675" t="str">
            <v>ANY CMPL FIX</v>
          </cell>
          <cell r="D675">
            <v>1</v>
          </cell>
          <cell r="E675">
            <v>36</v>
          </cell>
          <cell r="F675" t="str">
            <v>N/A</v>
          </cell>
          <cell r="G675" t="str">
            <v>N/A</v>
          </cell>
          <cell r="H675">
            <v>40</v>
          </cell>
          <cell r="I675" t="str">
            <v>BX36/1</v>
          </cell>
          <cell r="J675" t="str">
            <v>Fluorescent, Biax, (1) 36W lamp</v>
          </cell>
        </row>
        <row r="676">
          <cell r="B676" t="str">
            <v>CF38/2D</v>
          </cell>
          <cell r="C676" t="str">
            <v>ANY CMPL FIX</v>
          </cell>
          <cell r="D676">
            <v>1</v>
          </cell>
          <cell r="E676">
            <v>38</v>
          </cell>
          <cell r="F676" t="str">
            <v>N/A</v>
          </cell>
          <cell r="G676" t="str">
            <v>N/A</v>
          </cell>
          <cell r="H676">
            <v>44</v>
          </cell>
          <cell r="I676" t="str">
            <v>CF38/2D</v>
          </cell>
          <cell r="J676" t="str">
            <v>Compact Fluorescent, 2D, (1) 38W lamp</v>
          </cell>
        </row>
        <row r="677">
          <cell r="B677" t="str">
            <v>CFT40/1</v>
          </cell>
          <cell r="C677" t="str">
            <v>ANY CMPL FIX</v>
          </cell>
          <cell r="D677">
            <v>1</v>
          </cell>
          <cell r="E677">
            <v>40</v>
          </cell>
          <cell r="F677" t="str">
            <v>N/A</v>
          </cell>
          <cell r="G677" t="str">
            <v>N/A</v>
          </cell>
          <cell r="H677">
            <v>48</v>
          </cell>
          <cell r="I677" t="str">
            <v>CFT40/1</v>
          </cell>
          <cell r="J677" t="str">
            <v>Compact Fluorescent, twin, (1) 40W lamp</v>
          </cell>
        </row>
        <row r="678">
          <cell r="B678" t="str">
            <v>CFT40/2</v>
          </cell>
          <cell r="C678" t="str">
            <v>ANY CMPL FIX</v>
          </cell>
          <cell r="D678">
            <v>2</v>
          </cell>
          <cell r="E678">
            <v>40</v>
          </cell>
          <cell r="F678" t="str">
            <v>N/A</v>
          </cell>
          <cell r="G678" t="str">
            <v>N/A</v>
          </cell>
          <cell r="H678">
            <v>82</v>
          </cell>
          <cell r="I678" t="str">
            <v>CFT40/2</v>
          </cell>
          <cell r="J678" t="str">
            <v>Compact Fluorescent, twin, (2) 40W lamp</v>
          </cell>
        </row>
        <row r="679">
          <cell r="B679" t="str">
            <v>CFT50/1</v>
          </cell>
          <cell r="C679" t="str">
            <v>ANY CMPL FIX</v>
          </cell>
          <cell r="D679">
            <v>1</v>
          </cell>
          <cell r="E679">
            <v>50</v>
          </cell>
          <cell r="F679" t="str">
            <v>N/A</v>
          </cell>
          <cell r="G679" t="str">
            <v>N/A</v>
          </cell>
          <cell r="H679">
            <v>46</v>
          </cell>
          <cell r="I679" t="str">
            <v>CFT50/1</v>
          </cell>
          <cell r="J679" t="str">
            <v>Compact Fluorescent, twin, (1) 50W lamp</v>
          </cell>
        </row>
        <row r="680">
          <cell r="B680" t="str">
            <v>CFT50/2</v>
          </cell>
          <cell r="C680" t="str">
            <v>ANY CMPL FIX</v>
          </cell>
          <cell r="D680">
            <v>2</v>
          </cell>
          <cell r="E680">
            <v>50</v>
          </cell>
          <cell r="F680" t="str">
            <v>N/A</v>
          </cell>
          <cell r="G680" t="str">
            <v>N/A</v>
          </cell>
          <cell r="H680">
            <v>82</v>
          </cell>
          <cell r="I680" t="str">
            <v>CFT50/2</v>
          </cell>
          <cell r="J680" t="str">
            <v>Compact Fluorescent, twin, (2) 50W lamp</v>
          </cell>
        </row>
        <row r="682">
          <cell r="B682">
            <v>3160</v>
          </cell>
          <cell r="C682" t="str">
            <v>22W CIRCULINE</v>
          </cell>
          <cell r="D682">
            <v>1</v>
          </cell>
          <cell r="E682">
            <v>22</v>
          </cell>
          <cell r="F682" t="str">
            <v>ST</v>
          </cell>
          <cell r="G682" t="str">
            <v>N/A</v>
          </cell>
          <cell r="H682">
            <v>35</v>
          </cell>
          <cell r="I682" t="str">
            <v>FC8/1</v>
          </cell>
          <cell r="J682" t="str">
            <v>Surface Mount Fixture w/ 22w Circuline</v>
          </cell>
        </row>
        <row r="684">
          <cell r="B684" t="str">
            <v>H45</v>
          </cell>
          <cell r="C684" t="str">
            <v>HALOGEN</v>
          </cell>
          <cell r="D684">
            <v>1</v>
          </cell>
          <cell r="E684">
            <v>45</v>
          </cell>
          <cell r="F684" t="str">
            <v>N/A</v>
          </cell>
          <cell r="G684" t="str">
            <v>N/A</v>
          </cell>
          <cell r="H684">
            <v>45</v>
          </cell>
          <cell r="I684" t="str">
            <v>H45/1</v>
          </cell>
          <cell r="J684" t="str">
            <v>Halogen, (1), 45w lamp</v>
          </cell>
        </row>
        <row r="685">
          <cell r="B685" t="str">
            <v>H50</v>
          </cell>
          <cell r="C685" t="str">
            <v>HALOGEN</v>
          </cell>
          <cell r="D685">
            <v>1</v>
          </cell>
          <cell r="E685">
            <v>50</v>
          </cell>
          <cell r="F685" t="str">
            <v>N/A</v>
          </cell>
          <cell r="G685" t="str">
            <v>N/A</v>
          </cell>
          <cell r="H685">
            <v>50</v>
          </cell>
          <cell r="I685" t="str">
            <v>H50/1</v>
          </cell>
          <cell r="J685" t="str">
            <v>Halogen, (1), 50w lamp</v>
          </cell>
        </row>
        <row r="686">
          <cell r="B686" t="str">
            <v>H52</v>
          </cell>
          <cell r="C686" t="str">
            <v>HALOGEN</v>
          </cell>
          <cell r="D686">
            <v>1</v>
          </cell>
          <cell r="E686">
            <v>52</v>
          </cell>
          <cell r="F686" t="str">
            <v>N/A</v>
          </cell>
          <cell r="G686" t="str">
            <v>N/A</v>
          </cell>
          <cell r="H686">
            <v>52</v>
          </cell>
          <cell r="I686" t="str">
            <v>H52/1</v>
          </cell>
          <cell r="J686" t="str">
            <v>Halogen, (1), 52w lamp</v>
          </cell>
        </row>
        <row r="687">
          <cell r="B687" t="str">
            <v>H72</v>
          </cell>
          <cell r="C687" t="str">
            <v>HALOGEN</v>
          </cell>
          <cell r="D687">
            <v>1</v>
          </cell>
          <cell r="E687">
            <v>72</v>
          </cell>
          <cell r="F687" t="str">
            <v>N/A</v>
          </cell>
          <cell r="G687" t="str">
            <v>N/A</v>
          </cell>
          <cell r="H687">
            <v>72</v>
          </cell>
          <cell r="I687" t="str">
            <v>H72/1</v>
          </cell>
          <cell r="J687" t="str">
            <v>Halogen, (1), 72w lamp</v>
          </cell>
        </row>
        <row r="688">
          <cell r="B688" t="str">
            <v>H90</v>
          </cell>
          <cell r="C688" t="str">
            <v>HALOGEN</v>
          </cell>
          <cell r="D688">
            <v>1</v>
          </cell>
          <cell r="E688">
            <v>90</v>
          </cell>
          <cell r="F688" t="str">
            <v>N/A</v>
          </cell>
          <cell r="G688" t="str">
            <v>N/A</v>
          </cell>
          <cell r="H688">
            <v>90</v>
          </cell>
          <cell r="I688" t="str">
            <v>H90/1</v>
          </cell>
          <cell r="J688" t="str">
            <v>Halogen, (1), 90w lamp</v>
          </cell>
        </row>
        <row r="691">
          <cell r="B691" t="str">
            <v>HPS35</v>
          </cell>
          <cell r="C691" t="str">
            <v>HID</v>
          </cell>
          <cell r="D691">
            <v>1</v>
          </cell>
          <cell r="E691">
            <v>35</v>
          </cell>
          <cell r="F691" t="str">
            <v>STD</v>
          </cell>
          <cell r="G691" t="str">
            <v>N/A</v>
          </cell>
          <cell r="H691">
            <v>44</v>
          </cell>
          <cell r="I691" t="str">
            <v>HPS35/1</v>
          </cell>
          <cell r="J691" t="str">
            <v>High Pressure Sodium, (1) 35W lamp</v>
          </cell>
        </row>
        <row r="692">
          <cell r="B692" t="str">
            <v>HPS50</v>
          </cell>
          <cell r="C692" t="str">
            <v>HID</v>
          </cell>
          <cell r="D692">
            <v>1</v>
          </cell>
          <cell r="E692">
            <v>50</v>
          </cell>
          <cell r="F692" t="str">
            <v>STD</v>
          </cell>
          <cell r="G692" t="str">
            <v>N/A</v>
          </cell>
          <cell r="H692">
            <v>61</v>
          </cell>
          <cell r="I692" t="str">
            <v>HPS50/1</v>
          </cell>
          <cell r="J692" t="str">
            <v>High Pressure Sodium, (1) 50W lamp</v>
          </cell>
        </row>
        <row r="693">
          <cell r="B693" t="str">
            <v>HPS70</v>
          </cell>
          <cell r="C693" t="str">
            <v>HID</v>
          </cell>
          <cell r="D693">
            <v>1</v>
          </cell>
          <cell r="E693">
            <v>70</v>
          </cell>
          <cell r="F693" t="str">
            <v>STD</v>
          </cell>
          <cell r="G693" t="str">
            <v>N/A</v>
          </cell>
          <cell r="H693">
            <v>83</v>
          </cell>
          <cell r="I693" t="str">
            <v>HPS70/1</v>
          </cell>
          <cell r="J693" t="str">
            <v>High Pressure Sodium, (1) 70W lamp</v>
          </cell>
        </row>
        <row r="694">
          <cell r="B694" t="str">
            <v>HPS90</v>
          </cell>
          <cell r="C694" t="str">
            <v>HID</v>
          </cell>
          <cell r="D694">
            <v>1</v>
          </cell>
          <cell r="E694">
            <v>90</v>
          </cell>
          <cell r="F694" t="str">
            <v>STD</v>
          </cell>
          <cell r="G694" t="str">
            <v>N/A</v>
          </cell>
          <cell r="H694">
            <v>95</v>
          </cell>
          <cell r="I694" t="str">
            <v>HPS90/1</v>
          </cell>
          <cell r="J694" t="str">
            <v>High Pressure Sodium, (1) 90W lamp</v>
          </cell>
        </row>
        <row r="695">
          <cell r="B695" t="str">
            <v>HPS100</v>
          </cell>
          <cell r="C695" t="str">
            <v>HID</v>
          </cell>
          <cell r="D695">
            <v>1</v>
          </cell>
          <cell r="E695">
            <v>100</v>
          </cell>
          <cell r="F695" t="str">
            <v>STD</v>
          </cell>
          <cell r="G695" t="str">
            <v>N/A</v>
          </cell>
          <cell r="H695">
            <v>116</v>
          </cell>
          <cell r="I695" t="str">
            <v>HPS100/1</v>
          </cell>
          <cell r="J695" t="str">
            <v>High Pressure Sodium, (1) 100W lamp</v>
          </cell>
        </row>
        <row r="696">
          <cell r="B696" t="str">
            <v>HPS150</v>
          </cell>
          <cell r="C696" t="str">
            <v>HID</v>
          </cell>
          <cell r="D696">
            <v>1</v>
          </cell>
          <cell r="E696">
            <v>150</v>
          </cell>
          <cell r="F696" t="str">
            <v>STD</v>
          </cell>
          <cell r="G696" t="str">
            <v>N/A</v>
          </cell>
          <cell r="H696">
            <v>173</v>
          </cell>
          <cell r="I696" t="str">
            <v>HPS150/1</v>
          </cell>
          <cell r="J696" t="str">
            <v>High Pressure Sodium, (1) 150W lamp</v>
          </cell>
        </row>
        <row r="697">
          <cell r="B697" t="str">
            <v>HPS200</v>
          </cell>
          <cell r="C697" t="str">
            <v>HID</v>
          </cell>
          <cell r="D697">
            <v>1</v>
          </cell>
          <cell r="E697">
            <v>200</v>
          </cell>
          <cell r="F697" t="str">
            <v>STD</v>
          </cell>
          <cell r="G697" t="str">
            <v>N/A</v>
          </cell>
          <cell r="H697">
            <v>240</v>
          </cell>
          <cell r="I697" t="str">
            <v>HPS200/1</v>
          </cell>
          <cell r="J697" t="str">
            <v>High Pressure Sodium, (1) 200W lamp</v>
          </cell>
        </row>
        <row r="698">
          <cell r="B698" t="str">
            <v>HPS250</v>
          </cell>
          <cell r="C698" t="str">
            <v>HID</v>
          </cell>
          <cell r="D698">
            <v>1</v>
          </cell>
          <cell r="E698">
            <v>250</v>
          </cell>
          <cell r="F698" t="str">
            <v>STD</v>
          </cell>
          <cell r="G698" t="str">
            <v>N/A</v>
          </cell>
          <cell r="H698">
            <v>302</v>
          </cell>
          <cell r="I698" t="str">
            <v>HPS250/1</v>
          </cell>
          <cell r="J698" t="str">
            <v>High Pressure Sodium, (1) 250W lamp</v>
          </cell>
        </row>
        <row r="699">
          <cell r="B699" t="str">
            <v>HPS310</v>
          </cell>
          <cell r="C699" t="str">
            <v>HID</v>
          </cell>
          <cell r="D699">
            <v>1</v>
          </cell>
          <cell r="E699">
            <v>310</v>
          </cell>
          <cell r="F699" t="str">
            <v>STD</v>
          </cell>
          <cell r="G699" t="str">
            <v>N/A</v>
          </cell>
          <cell r="H699">
            <v>355</v>
          </cell>
          <cell r="I699" t="str">
            <v>HPS310/1</v>
          </cell>
          <cell r="J699" t="str">
            <v>High Pressure Sodium, (1) 310W lamp</v>
          </cell>
        </row>
        <row r="700">
          <cell r="B700" t="str">
            <v>HPS360</v>
          </cell>
          <cell r="C700" t="str">
            <v>HID</v>
          </cell>
          <cell r="D700">
            <v>1</v>
          </cell>
          <cell r="E700">
            <v>360</v>
          </cell>
          <cell r="F700" t="str">
            <v>STD</v>
          </cell>
          <cell r="G700" t="str">
            <v>N/A</v>
          </cell>
          <cell r="H700">
            <v>395</v>
          </cell>
          <cell r="I700" t="str">
            <v>HPS360/1</v>
          </cell>
          <cell r="J700" t="str">
            <v>High Pressure Sodium, (1) 360W lamp</v>
          </cell>
        </row>
        <row r="701">
          <cell r="B701" t="str">
            <v>HPS400</v>
          </cell>
          <cell r="C701" t="str">
            <v>HID</v>
          </cell>
          <cell r="D701">
            <v>1</v>
          </cell>
          <cell r="E701">
            <v>400</v>
          </cell>
          <cell r="F701" t="str">
            <v>STD</v>
          </cell>
          <cell r="G701" t="str">
            <v>N/A</v>
          </cell>
          <cell r="H701">
            <v>469</v>
          </cell>
          <cell r="I701" t="str">
            <v>HPS400/1</v>
          </cell>
          <cell r="J701" t="str">
            <v>High Pressure Sodium, (1) 400W lamp</v>
          </cell>
        </row>
        <row r="702">
          <cell r="B702" t="str">
            <v>HPS1000</v>
          </cell>
          <cell r="C702" t="str">
            <v>HID</v>
          </cell>
          <cell r="D702">
            <v>1</v>
          </cell>
          <cell r="E702">
            <v>1000</v>
          </cell>
          <cell r="F702" t="str">
            <v>STD</v>
          </cell>
          <cell r="G702" t="str">
            <v>N/A</v>
          </cell>
          <cell r="H702">
            <v>1090</v>
          </cell>
          <cell r="I702" t="str">
            <v>HPS1000/1</v>
          </cell>
          <cell r="J702" t="str">
            <v>High Pressure Sodium, (1) 1000W lamp</v>
          </cell>
        </row>
        <row r="703">
          <cell r="B703" t="str">
            <v>MH32</v>
          </cell>
          <cell r="C703" t="str">
            <v>HID</v>
          </cell>
          <cell r="D703">
            <v>1</v>
          </cell>
          <cell r="E703">
            <v>32</v>
          </cell>
          <cell r="F703" t="str">
            <v>STD</v>
          </cell>
          <cell r="G703" t="str">
            <v>N/A</v>
          </cell>
          <cell r="H703">
            <v>40</v>
          </cell>
          <cell r="I703" t="str">
            <v>MH32/1</v>
          </cell>
          <cell r="J703" t="str">
            <v>Metal Halide, (1) 40W lamp</v>
          </cell>
        </row>
        <row r="704">
          <cell r="B704" t="str">
            <v>MH50</v>
          </cell>
          <cell r="C704" t="str">
            <v>HID</v>
          </cell>
          <cell r="D704">
            <v>1</v>
          </cell>
          <cell r="E704">
            <v>50</v>
          </cell>
          <cell r="F704" t="str">
            <v>STD</v>
          </cell>
          <cell r="G704" t="str">
            <v>N/A</v>
          </cell>
          <cell r="H704">
            <v>72</v>
          </cell>
          <cell r="I704" t="str">
            <v>MH50/1</v>
          </cell>
          <cell r="J704" t="str">
            <v>Metal Halide, (1) 50W lamp</v>
          </cell>
        </row>
        <row r="705">
          <cell r="B705" t="str">
            <v>MH70</v>
          </cell>
          <cell r="C705" t="str">
            <v>HID</v>
          </cell>
          <cell r="D705">
            <v>1</v>
          </cell>
          <cell r="E705">
            <v>70</v>
          </cell>
          <cell r="F705" t="str">
            <v>STD</v>
          </cell>
          <cell r="G705" t="str">
            <v>N/A</v>
          </cell>
          <cell r="H705">
            <v>89</v>
          </cell>
          <cell r="I705" t="str">
            <v>MH70/1</v>
          </cell>
          <cell r="J705" t="str">
            <v>Metal Halide, (1) 70W lamp</v>
          </cell>
        </row>
        <row r="706">
          <cell r="B706" t="str">
            <v>MH100</v>
          </cell>
          <cell r="C706" t="str">
            <v>HID</v>
          </cell>
          <cell r="D706">
            <v>1</v>
          </cell>
          <cell r="E706">
            <v>100</v>
          </cell>
          <cell r="F706" t="str">
            <v>STD</v>
          </cell>
          <cell r="G706" t="str">
            <v>N/A</v>
          </cell>
          <cell r="H706">
            <v>129</v>
          </cell>
          <cell r="I706" t="str">
            <v>MH100/1</v>
          </cell>
          <cell r="J706" t="str">
            <v>Metal Halide, (1) 100W lamp</v>
          </cell>
        </row>
        <row r="707">
          <cell r="B707" t="str">
            <v>MH150</v>
          </cell>
          <cell r="C707" t="str">
            <v>HID</v>
          </cell>
          <cell r="D707">
            <v>1</v>
          </cell>
          <cell r="E707">
            <v>150</v>
          </cell>
          <cell r="F707" t="str">
            <v>STD</v>
          </cell>
          <cell r="G707" t="str">
            <v>N/A</v>
          </cell>
          <cell r="H707">
            <v>185</v>
          </cell>
          <cell r="I707" t="str">
            <v>MH150/1</v>
          </cell>
          <cell r="J707" t="str">
            <v>Metal Halide, (1) 150W lamp</v>
          </cell>
        </row>
        <row r="708">
          <cell r="B708" t="str">
            <v>MH175</v>
          </cell>
          <cell r="C708" t="str">
            <v>HID</v>
          </cell>
          <cell r="D708">
            <v>1</v>
          </cell>
          <cell r="E708">
            <v>175</v>
          </cell>
          <cell r="F708" t="str">
            <v>STD</v>
          </cell>
          <cell r="G708" t="str">
            <v>N/A</v>
          </cell>
          <cell r="H708">
            <v>210</v>
          </cell>
          <cell r="I708" t="str">
            <v>MH175/1</v>
          </cell>
          <cell r="J708" t="str">
            <v>Metal Halide, (1) 175W lamp</v>
          </cell>
        </row>
        <row r="709">
          <cell r="B709" t="str">
            <v>2MH175</v>
          </cell>
          <cell r="C709" t="str">
            <v>HID</v>
          </cell>
          <cell r="D709">
            <v>2</v>
          </cell>
          <cell r="E709">
            <v>175</v>
          </cell>
          <cell r="F709" t="str">
            <v>STD</v>
          </cell>
          <cell r="G709" t="str">
            <v>N/A</v>
          </cell>
          <cell r="H709">
            <v>420</v>
          </cell>
          <cell r="I709" t="str">
            <v>MH175/2</v>
          </cell>
          <cell r="J709" t="str">
            <v>Metal Halide, (2) 175W lamp</v>
          </cell>
        </row>
        <row r="710">
          <cell r="B710" t="str">
            <v>MH250</v>
          </cell>
          <cell r="C710" t="str">
            <v>HID</v>
          </cell>
          <cell r="D710">
            <v>1</v>
          </cell>
          <cell r="E710">
            <v>250</v>
          </cell>
          <cell r="F710" t="str">
            <v>STD</v>
          </cell>
          <cell r="G710" t="str">
            <v>N/A</v>
          </cell>
          <cell r="H710">
            <v>295</v>
          </cell>
          <cell r="I710" t="str">
            <v>MH250/1</v>
          </cell>
          <cell r="J710" t="str">
            <v>Metal Halide, (1) 250W lamp</v>
          </cell>
        </row>
        <row r="711">
          <cell r="B711" t="str">
            <v>MH400</v>
          </cell>
          <cell r="C711" t="str">
            <v>HID</v>
          </cell>
          <cell r="D711">
            <v>1</v>
          </cell>
          <cell r="E711">
            <v>400</v>
          </cell>
          <cell r="F711" t="str">
            <v>STD</v>
          </cell>
          <cell r="G711" t="str">
            <v>N/A</v>
          </cell>
          <cell r="H711">
            <v>461</v>
          </cell>
          <cell r="I711" t="str">
            <v>MH400/1</v>
          </cell>
          <cell r="J711" t="str">
            <v>Metal Halide, (1) 400W lamp</v>
          </cell>
        </row>
        <row r="712">
          <cell r="B712" t="str">
            <v>MH1000</v>
          </cell>
          <cell r="C712" t="str">
            <v>HID</v>
          </cell>
          <cell r="D712">
            <v>1</v>
          </cell>
          <cell r="E712">
            <v>1000</v>
          </cell>
          <cell r="F712" t="str">
            <v>STD</v>
          </cell>
          <cell r="G712" t="str">
            <v>N/A</v>
          </cell>
          <cell r="H712">
            <v>1070</v>
          </cell>
          <cell r="I712" t="str">
            <v>MH1000/1</v>
          </cell>
          <cell r="J712" t="str">
            <v>Metal Halide, (1) 1000W lamp</v>
          </cell>
        </row>
        <row r="713">
          <cell r="B713" t="str">
            <v>MV40</v>
          </cell>
          <cell r="C713" t="str">
            <v>HID</v>
          </cell>
          <cell r="D713">
            <v>1</v>
          </cell>
          <cell r="E713">
            <v>40</v>
          </cell>
          <cell r="F713" t="str">
            <v>STD</v>
          </cell>
          <cell r="G713" t="str">
            <v>N/A</v>
          </cell>
          <cell r="H713">
            <v>51</v>
          </cell>
          <cell r="I713" t="str">
            <v>MV40/1</v>
          </cell>
          <cell r="J713" t="str">
            <v>Mercury Vapor, (1) 40W lamp</v>
          </cell>
        </row>
        <row r="714">
          <cell r="B714" t="str">
            <v>MV50</v>
          </cell>
          <cell r="C714" t="str">
            <v>HID</v>
          </cell>
          <cell r="D714">
            <v>1</v>
          </cell>
          <cell r="E714">
            <v>50</v>
          </cell>
          <cell r="F714" t="str">
            <v>STD</v>
          </cell>
          <cell r="G714" t="str">
            <v>N/A</v>
          </cell>
          <cell r="H714">
            <v>63</v>
          </cell>
          <cell r="I714" t="str">
            <v>MV50/1</v>
          </cell>
          <cell r="J714" t="str">
            <v>Mercury Vapor, (1) 50W lamp</v>
          </cell>
        </row>
        <row r="715">
          <cell r="B715" t="str">
            <v>MV75</v>
          </cell>
          <cell r="C715" t="str">
            <v>HID</v>
          </cell>
          <cell r="D715">
            <v>1</v>
          </cell>
          <cell r="E715">
            <v>75</v>
          </cell>
          <cell r="F715" t="str">
            <v>STD</v>
          </cell>
          <cell r="G715" t="str">
            <v>N/A</v>
          </cell>
          <cell r="H715">
            <v>88</v>
          </cell>
          <cell r="I715" t="str">
            <v>MV75/1</v>
          </cell>
          <cell r="J715" t="str">
            <v>Mercury Vapor, (1) 75W lamp</v>
          </cell>
        </row>
        <row r="716">
          <cell r="B716" t="str">
            <v>MV100</v>
          </cell>
          <cell r="C716" t="str">
            <v>HID</v>
          </cell>
          <cell r="D716">
            <v>1</v>
          </cell>
          <cell r="E716">
            <v>100</v>
          </cell>
          <cell r="F716" t="str">
            <v>STD</v>
          </cell>
          <cell r="G716" t="str">
            <v>N/A</v>
          </cell>
          <cell r="H716">
            <v>119</v>
          </cell>
          <cell r="I716" t="str">
            <v>MV100/1</v>
          </cell>
          <cell r="J716" t="str">
            <v>Mercury Vapor, (1) 100W lamp</v>
          </cell>
        </row>
        <row r="717">
          <cell r="B717" t="str">
            <v>MV175</v>
          </cell>
          <cell r="C717" t="str">
            <v>HID</v>
          </cell>
          <cell r="D717">
            <v>1</v>
          </cell>
          <cell r="E717">
            <v>175</v>
          </cell>
          <cell r="F717" t="str">
            <v>STD</v>
          </cell>
          <cell r="G717" t="str">
            <v>N/A</v>
          </cell>
          <cell r="H717">
            <v>197</v>
          </cell>
          <cell r="I717" t="str">
            <v>MV175/1</v>
          </cell>
          <cell r="J717" t="str">
            <v>Mercury Vapor, (1) 175W lamp</v>
          </cell>
        </row>
        <row r="718">
          <cell r="B718" t="str">
            <v>MV250</v>
          </cell>
          <cell r="C718" t="str">
            <v>HID</v>
          </cell>
          <cell r="D718">
            <v>1</v>
          </cell>
          <cell r="E718">
            <v>250</v>
          </cell>
          <cell r="F718" t="str">
            <v>STD</v>
          </cell>
          <cell r="G718" t="str">
            <v>N/A</v>
          </cell>
          <cell r="H718">
            <v>285</v>
          </cell>
          <cell r="I718" t="str">
            <v>MV250/1</v>
          </cell>
          <cell r="J718" t="str">
            <v>Mercury Vapor, (1) 250W lamp</v>
          </cell>
        </row>
        <row r="719">
          <cell r="B719" t="str">
            <v>MV400</v>
          </cell>
          <cell r="C719" t="str">
            <v>HID</v>
          </cell>
          <cell r="D719">
            <v>1</v>
          </cell>
          <cell r="E719">
            <v>400</v>
          </cell>
          <cell r="F719" t="str">
            <v>STD</v>
          </cell>
          <cell r="G719" t="str">
            <v>N/A</v>
          </cell>
          <cell r="H719">
            <v>450</v>
          </cell>
          <cell r="I719" t="str">
            <v>MV400/1</v>
          </cell>
          <cell r="J719" t="str">
            <v>Mercury Vapor, (1) 400W lamp</v>
          </cell>
        </row>
        <row r="720">
          <cell r="B720" t="str">
            <v>MV700</v>
          </cell>
          <cell r="C720" t="str">
            <v>HID</v>
          </cell>
          <cell r="D720">
            <v>1</v>
          </cell>
          <cell r="E720">
            <v>700</v>
          </cell>
          <cell r="F720" t="str">
            <v>STD</v>
          </cell>
          <cell r="G720" t="str">
            <v>N/A</v>
          </cell>
          <cell r="H720">
            <v>780</v>
          </cell>
          <cell r="I720" t="str">
            <v>MV700/1</v>
          </cell>
          <cell r="J720" t="str">
            <v>Mercury Vapor, (1) 700W lamp</v>
          </cell>
        </row>
        <row r="721">
          <cell r="B721" t="str">
            <v>MV1000</v>
          </cell>
          <cell r="C721" t="str">
            <v>HID</v>
          </cell>
          <cell r="D721">
            <v>1</v>
          </cell>
          <cell r="E721">
            <v>1000</v>
          </cell>
          <cell r="F721" t="str">
            <v>STD</v>
          </cell>
          <cell r="G721" t="str">
            <v>N/A</v>
          </cell>
          <cell r="H721">
            <v>1080</v>
          </cell>
          <cell r="I721" t="str">
            <v>MV1000/1</v>
          </cell>
          <cell r="J721" t="str">
            <v>Mercury Vapor, (1) 1000W lamp</v>
          </cell>
        </row>
        <row r="722">
          <cell r="B722" t="str">
            <v>LOCKED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 t="str">
            <v>LOCKED</v>
          </cell>
          <cell r="J722" t="str">
            <v>ROOM WAS LOCKED</v>
          </cell>
        </row>
        <row r="723">
          <cell r="B723" t="str">
            <v>SPEC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 t="str">
            <v>SPEC</v>
          </cell>
          <cell r="J723" t="str">
            <v>SPEC NEW FIX., KIT OR LAMP</v>
          </cell>
        </row>
        <row r="724">
          <cell r="B724" t="str">
            <v>N/A</v>
          </cell>
          <cell r="C724" t="str">
            <v>N/A</v>
          </cell>
          <cell r="E724" t="str">
            <v>N/A</v>
          </cell>
          <cell r="H724" t="str">
            <v>N/A</v>
          </cell>
          <cell r="I724" t="str">
            <v>N/A</v>
          </cell>
          <cell r="J724" t="str">
            <v>NOT AVALIABLE</v>
          </cell>
        </row>
        <row r="725">
          <cell r="B725" t="str">
            <v>RF</v>
          </cell>
          <cell r="C725" t="str">
            <v>RF</v>
          </cell>
          <cell r="E725" t="str">
            <v>RF</v>
          </cell>
          <cell r="H725" t="str">
            <v>RF</v>
          </cell>
          <cell r="I725" t="str">
            <v>RF</v>
          </cell>
          <cell r="J725" t="str">
            <v>REMOVE FIXTURE</v>
          </cell>
        </row>
        <row r="726">
          <cell r="B726" t="str">
            <v>RL</v>
          </cell>
          <cell r="H726" t="str">
            <v>RL</v>
          </cell>
          <cell r="I726" t="str">
            <v>RL</v>
          </cell>
          <cell r="J726" t="str">
            <v>RELAMP FIXTURE</v>
          </cell>
        </row>
        <row r="727">
          <cell r="B727" t="str">
            <v>RETRO</v>
          </cell>
          <cell r="I727" t="str">
            <v>RETRO</v>
          </cell>
          <cell r="J727" t="str">
            <v>FIXTURE HAS BEEN RETROFITTED</v>
          </cell>
        </row>
        <row r="728">
          <cell r="B728" t="str">
            <v>AIP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I728" t="str">
            <v>AIP</v>
          </cell>
          <cell r="J728" t="str">
            <v>ABANDON IN PLACE</v>
          </cell>
        </row>
        <row r="729">
          <cell r="B729" t="str">
            <v>NRPA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 t="str">
            <v>NRPA</v>
          </cell>
          <cell r="J729" t="str">
            <v>NO RETRO PERSCRIPTION AVALIBLE</v>
          </cell>
        </row>
      </sheetData>
      <sheetData sheetId="6"/>
      <sheetData sheetId="7" refreshError="1">
        <row r="4">
          <cell r="B4" t="str">
            <v>EXIT</v>
          </cell>
          <cell r="C4">
            <v>8760</v>
          </cell>
          <cell r="D4" t="str">
            <v>EXITS</v>
          </cell>
        </row>
        <row r="5">
          <cell r="B5" t="str">
            <v>A</v>
          </cell>
          <cell r="C5">
            <v>1825</v>
          </cell>
          <cell r="D5" t="str">
            <v>AUDITORIUM</v>
          </cell>
          <cell r="E5" t="str">
            <v>5 HRS/DAY 365</v>
          </cell>
        </row>
        <row r="6">
          <cell r="B6" t="str">
            <v>ARM</v>
          </cell>
          <cell r="C6">
            <v>4160</v>
          </cell>
          <cell r="D6" t="str">
            <v>ARMS ROOM</v>
          </cell>
          <cell r="E6" t="str">
            <v>16 hrs/day M-F</v>
          </cell>
        </row>
        <row r="7">
          <cell r="B7" t="str">
            <v>BR</v>
          </cell>
          <cell r="C7">
            <v>4160</v>
          </cell>
          <cell r="D7" t="str">
            <v>BREAK ROOM</v>
          </cell>
          <cell r="E7" t="str">
            <v>16 hrs/day M-F</v>
          </cell>
        </row>
        <row r="8">
          <cell r="B8" t="str">
            <v>CAF</v>
          </cell>
          <cell r="C8">
            <v>5840</v>
          </cell>
          <cell r="D8" t="str">
            <v>CAFETERIA</v>
          </cell>
          <cell r="E8" t="str">
            <v>16 HRS/DAY 365</v>
          </cell>
        </row>
        <row r="9">
          <cell r="B9" t="str">
            <v>CC</v>
          </cell>
          <cell r="C9">
            <v>5840</v>
          </cell>
          <cell r="D9" t="str">
            <v>CONFINEMENT CELL</v>
          </cell>
          <cell r="E9" t="str">
            <v>16 HRS/DAY 365</v>
          </cell>
        </row>
        <row r="10">
          <cell r="B10" t="str">
            <v>CL</v>
          </cell>
          <cell r="C10">
            <v>4160</v>
          </cell>
          <cell r="D10" t="str">
            <v>CLEAN ROOM</v>
          </cell>
          <cell r="E10" t="str">
            <v>16 hrs/day M-F</v>
          </cell>
        </row>
        <row r="11">
          <cell r="B11" t="str">
            <v>CLS</v>
          </cell>
          <cell r="C11">
            <v>1300</v>
          </cell>
          <cell r="D11" t="str">
            <v>CLASS ROOM</v>
          </cell>
          <cell r="E11" t="str">
            <v>5 hrs/day M-F</v>
          </cell>
        </row>
        <row r="12">
          <cell r="B12" t="str">
            <v>CMP</v>
          </cell>
          <cell r="C12">
            <v>4160</v>
          </cell>
          <cell r="D12" t="str">
            <v>COMPUTER ROOM</v>
          </cell>
          <cell r="E12" t="str">
            <v>16 hrs/day M-F</v>
          </cell>
        </row>
        <row r="13">
          <cell r="B13" t="str">
            <v>CO</v>
          </cell>
          <cell r="C13">
            <v>4604</v>
          </cell>
          <cell r="D13" t="str">
            <v>COMMON OFFICE</v>
          </cell>
        </row>
        <row r="14">
          <cell r="B14" t="str">
            <v>CON</v>
          </cell>
          <cell r="C14">
            <v>1300</v>
          </cell>
          <cell r="D14" t="str">
            <v>CONFERENCE ROOM</v>
          </cell>
          <cell r="E14" t="str">
            <v>5 hrs/day M-F</v>
          </cell>
        </row>
        <row r="15">
          <cell r="B15" t="str">
            <v>CPY</v>
          </cell>
          <cell r="C15">
            <v>4160</v>
          </cell>
          <cell r="D15" t="str">
            <v>COPIER ROOM</v>
          </cell>
          <cell r="E15" t="str">
            <v>16 hrs/day M-F</v>
          </cell>
        </row>
        <row r="16">
          <cell r="B16" t="str">
            <v>DRK</v>
          </cell>
          <cell r="C16">
            <v>1300</v>
          </cell>
          <cell r="D16" t="str">
            <v>DARK ROOM</v>
          </cell>
          <cell r="E16" t="str">
            <v>5 HRS/DAY M-F</v>
          </cell>
        </row>
        <row r="17">
          <cell r="B17" t="str">
            <v>DR</v>
          </cell>
          <cell r="C17">
            <v>2190</v>
          </cell>
          <cell r="D17" t="str">
            <v>DAY ROOM</v>
          </cell>
          <cell r="E17" t="str">
            <v>6 HRS/DAY 365</v>
          </cell>
        </row>
        <row r="18">
          <cell r="B18" t="str">
            <v>EL</v>
          </cell>
          <cell r="C18">
            <v>1000</v>
          </cell>
          <cell r="D18" t="str">
            <v>ELECTRICAL</v>
          </cell>
          <cell r="E18" t="str">
            <v>1000 hrs/year</v>
          </cell>
        </row>
        <row r="19">
          <cell r="B19" t="str">
            <v>ELV</v>
          </cell>
          <cell r="C19">
            <v>8760</v>
          </cell>
          <cell r="D19" t="str">
            <v>ELEVATOR</v>
          </cell>
          <cell r="E19" t="str">
            <v>24/7</v>
          </cell>
        </row>
        <row r="20">
          <cell r="B20" t="str">
            <v>EX</v>
          </cell>
          <cell r="C20">
            <v>5110</v>
          </cell>
          <cell r="D20" t="str">
            <v>EXTERIOR</v>
          </cell>
          <cell r="E20" t="str">
            <v>14 hrs/day 365 days year</v>
          </cell>
        </row>
        <row r="21">
          <cell r="B21" t="str">
            <v>F</v>
          </cell>
          <cell r="C21">
            <v>4160</v>
          </cell>
          <cell r="D21" t="str">
            <v>FILE ROOM</v>
          </cell>
          <cell r="E21" t="str">
            <v>16 hrs/day M-F</v>
          </cell>
        </row>
        <row r="22">
          <cell r="B22" t="str">
            <v>GYM</v>
          </cell>
          <cell r="C22">
            <v>4160</v>
          </cell>
          <cell r="D22" t="str">
            <v>GYMNASIUM</v>
          </cell>
          <cell r="E22" t="str">
            <v>16 hrs/day M-F</v>
          </cell>
        </row>
        <row r="23">
          <cell r="B23" t="str">
            <v>H</v>
          </cell>
          <cell r="C23">
            <v>8760</v>
          </cell>
          <cell r="D23" t="str">
            <v>HALL</v>
          </cell>
          <cell r="E23" t="str">
            <v>24/7</v>
          </cell>
        </row>
        <row r="24">
          <cell r="B24" t="str">
            <v>J</v>
          </cell>
          <cell r="C24">
            <v>1000</v>
          </cell>
          <cell r="D24" t="str">
            <v>JANITORIAL</v>
          </cell>
          <cell r="E24" t="str">
            <v>1000 hrs/year</v>
          </cell>
        </row>
        <row r="25">
          <cell r="B25" t="str">
            <v>K</v>
          </cell>
          <cell r="C25">
            <v>7300</v>
          </cell>
          <cell r="D25" t="str">
            <v>KITCHEN</v>
          </cell>
          <cell r="E25" t="str">
            <v>20 HR/DAY 365</v>
          </cell>
        </row>
        <row r="26">
          <cell r="B26" t="str">
            <v>L</v>
          </cell>
          <cell r="C26">
            <v>4160</v>
          </cell>
          <cell r="D26" t="str">
            <v>LOBBY</v>
          </cell>
          <cell r="E26" t="str">
            <v>16 hrs/day M-F</v>
          </cell>
        </row>
        <row r="27">
          <cell r="B27" t="str">
            <v>LAB</v>
          </cell>
          <cell r="C27">
            <v>4160</v>
          </cell>
          <cell r="D27" t="str">
            <v>LABORATORY</v>
          </cell>
          <cell r="E27" t="str">
            <v>16 hrs/day M-F</v>
          </cell>
        </row>
        <row r="28">
          <cell r="B28" t="str">
            <v>LIB</v>
          </cell>
          <cell r="C28">
            <v>4160</v>
          </cell>
          <cell r="D28" t="str">
            <v>LIBRARY</v>
          </cell>
          <cell r="E28" t="str">
            <v>16 hrs/day M-F</v>
          </cell>
        </row>
        <row r="29">
          <cell r="B29" t="str">
            <v>LKR</v>
          </cell>
          <cell r="C29">
            <v>4160</v>
          </cell>
          <cell r="D29" t="str">
            <v>LOCKER</v>
          </cell>
          <cell r="E29" t="str">
            <v>16 hrs/day M-F</v>
          </cell>
        </row>
        <row r="30">
          <cell r="B30" t="str">
            <v>M</v>
          </cell>
          <cell r="C30">
            <v>1726.5</v>
          </cell>
          <cell r="D30" t="str">
            <v>MECHANICAL</v>
          </cell>
          <cell r="E30" t="str">
            <v>1000 hrs/year</v>
          </cell>
        </row>
        <row r="31">
          <cell r="B31" t="str">
            <v>PO</v>
          </cell>
          <cell r="C31">
            <v>3453</v>
          </cell>
          <cell r="D31" t="str">
            <v>PRIVATE OFFICE</v>
          </cell>
        </row>
        <row r="32">
          <cell r="B32" t="str">
            <v>PRK</v>
          </cell>
          <cell r="C32">
            <v>8760</v>
          </cell>
          <cell r="D32" t="str">
            <v>PARKING</v>
          </cell>
          <cell r="E32" t="str">
            <v>24/7/365</v>
          </cell>
        </row>
        <row r="33">
          <cell r="B33" t="str">
            <v>Q</v>
          </cell>
          <cell r="C33">
            <v>2190</v>
          </cell>
          <cell r="D33" t="str">
            <v>QUARTERS</v>
          </cell>
          <cell r="E33" t="str">
            <v>6 HRS/DAY 365</v>
          </cell>
        </row>
        <row r="34">
          <cell r="B34" t="str">
            <v>RR</v>
          </cell>
          <cell r="C34">
            <v>1726.5</v>
          </cell>
          <cell r="D34" t="str">
            <v>RESTROOM</v>
          </cell>
        </row>
        <row r="35">
          <cell r="B35" t="str">
            <v>S</v>
          </cell>
          <cell r="C35">
            <v>8760</v>
          </cell>
          <cell r="D35" t="str">
            <v>STAIRS</v>
          </cell>
          <cell r="E35" t="str">
            <v>24/7</v>
          </cell>
        </row>
        <row r="36">
          <cell r="B36" t="str">
            <v>SH</v>
          </cell>
          <cell r="C36">
            <v>4160</v>
          </cell>
          <cell r="D36" t="str">
            <v>SHOP</v>
          </cell>
          <cell r="E36" t="str">
            <v>16 hrs/day M-F</v>
          </cell>
        </row>
        <row r="37">
          <cell r="B37" t="str">
            <v>SHW</v>
          </cell>
          <cell r="C37">
            <v>4160</v>
          </cell>
          <cell r="D37" t="str">
            <v>SHOWER</v>
          </cell>
          <cell r="E37" t="str">
            <v>16 hrs/day M-F</v>
          </cell>
        </row>
        <row r="38">
          <cell r="B38" t="str">
            <v>STG</v>
          </cell>
          <cell r="C38">
            <v>1726</v>
          </cell>
          <cell r="D38" t="str">
            <v>STORAGE</v>
          </cell>
          <cell r="E38" t="str">
            <v>1000 hrs/year</v>
          </cell>
        </row>
        <row r="39">
          <cell r="B39" t="str">
            <v>STO</v>
          </cell>
          <cell r="C39">
            <v>4160</v>
          </cell>
          <cell r="D39" t="str">
            <v>STORE</v>
          </cell>
          <cell r="E39" t="str">
            <v>16 hrs/day M-F</v>
          </cell>
        </row>
        <row r="40">
          <cell r="B40" t="str">
            <v>T</v>
          </cell>
          <cell r="C40">
            <v>1000</v>
          </cell>
          <cell r="D40" t="str">
            <v>TELEPHONE</v>
          </cell>
          <cell r="E40" t="str">
            <v>1000 hrs/year</v>
          </cell>
        </row>
        <row r="41">
          <cell r="B41" t="str">
            <v>V</v>
          </cell>
          <cell r="C41">
            <v>4160</v>
          </cell>
          <cell r="D41" t="str">
            <v>VAULT</v>
          </cell>
          <cell r="E41" t="str">
            <v>16 hrs/day M-F</v>
          </cell>
        </row>
        <row r="42">
          <cell r="B42" t="str">
            <v>VS</v>
          </cell>
          <cell r="C42">
            <v>4160</v>
          </cell>
          <cell r="D42" t="str">
            <v>VESTIBULE</v>
          </cell>
          <cell r="E42" t="str">
            <v>16 hrs/day M-F</v>
          </cell>
        </row>
        <row r="43">
          <cell r="B43" t="str">
            <v>W</v>
          </cell>
          <cell r="C43">
            <v>4160</v>
          </cell>
          <cell r="D43" t="str">
            <v>WAREHOUSE</v>
          </cell>
          <cell r="E43" t="str">
            <v>16 hrs/day M-F</v>
          </cell>
        </row>
        <row r="44">
          <cell r="B44" t="str">
            <v>U</v>
          </cell>
          <cell r="C44">
            <v>1726.5</v>
          </cell>
          <cell r="D44" t="str">
            <v>UTILITY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무비"/>
      <sheetName val="인원배정"/>
      <sheetName val="인원산출"/>
      <sheetName val="운영"/>
      <sheetName val="장비"/>
      <sheetName val="근무"/>
      <sheetName val="견적"/>
      <sheetName val="견적서"/>
      <sheetName val="견적내역"/>
      <sheetName val="산출기준"/>
      <sheetName val="인건"/>
      <sheetName val="소모품"/>
      <sheetName val="PROJECT BRIEF(EX.NEW)"/>
      <sheetName val="I. Assumptions"/>
      <sheetName val="Ext. Stone-P"/>
      <sheetName val="9-1차이내역"/>
      <sheetName val="인원계획-미화"/>
      <sheetName val="Elemental Breakdown-Original"/>
      <sheetName val="Assumptions"/>
      <sheetName val="PJ_Import"/>
      <sheetName val="Prop_Summary"/>
      <sheetName val="Situation"/>
      <sheetName val="완성차 미수금"/>
      <sheetName val="Balance"/>
      <sheetName val="DETBIL"/>
      <sheetName val="한국중공업보안"/>
      <sheetName val="2.Summary-cash"/>
      <sheetName val="General"/>
      <sheetName val="Sheet5"/>
      <sheetName val="Area"/>
      <sheetName val="15.Op. Activities"/>
      <sheetName val="13.Op. Activities"/>
      <sheetName val="Cash Flow"/>
      <sheetName val="Source"/>
      <sheetName val="Basic_Information"/>
      <sheetName val="조명율표"/>
      <sheetName val="내역"/>
      <sheetName val="Sheet2"/>
      <sheetName val="Total-STALLION"/>
      <sheetName val="PROJECT_BRIEF(EX_NEW)"/>
      <sheetName val="Elemental_Breakdown-Original"/>
      <sheetName val="I__Assumptions"/>
      <sheetName val="완성차_미수금"/>
      <sheetName val="Ext__Stone-P"/>
      <sheetName val="15_Op__Activities"/>
      <sheetName val="13_Op__Activities"/>
      <sheetName val="Master Sheet"/>
      <sheetName val="C_Sum(2)"/>
      <sheetName val="P1 Br Overall KPI"/>
      <sheetName val="yakumo"/>
      <sheetName val="Prices"/>
      <sheetName val="Variable"/>
      <sheetName val="2.주요계수총괄"/>
      <sheetName val="Sales"/>
      <sheetName val="APOD"/>
      <sheetName val="BP Summary"/>
      <sheetName val="간선계산"/>
      <sheetName val="RBFC-BS"/>
      <sheetName val="Initial Input Variable"/>
      <sheetName val="anaysis_sheet"/>
      <sheetName val="Fin_Assumption"/>
      <sheetName val="S&amp;R"/>
      <sheetName val="제세금외"/>
      <sheetName val="ControlBox"/>
      <sheetName val="매각가치"/>
      <sheetName val="건축면적"/>
      <sheetName val="Unit"/>
      <sheetName val="BS"/>
      <sheetName val="적용률"/>
      <sheetName val="2000.05"/>
      <sheetName val="Data"/>
      <sheetName val="Shell"/>
      <sheetName val="건설"/>
      <sheetName val="2004SS"/>
      <sheetName val="2004CJ"/>
      <sheetName val="Data(인원)"/>
      <sheetName val="재무가정"/>
      <sheetName val="1Month+Sheet2!"/>
      <sheetName val="98지급계획"/>
      <sheetName val="리츠"/>
      <sheetName val="차수"/>
      <sheetName val="2002.1~2003.10월(1)"/>
      <sheetName val="설직재-1"/>
      <sheetName val="수입"/>
      <sheetName val="マスタ"/>
      <sheetName val="2. Summary-cash"/>
      <sheetName val="PROJECT_BRIEF(EX_NEW)1"/>
      <sheetName val="Elemental_Breakdown-Original1"/>
      <sheetName val="I__Assumptions1"/>
      <sheetName val="완성차_미수금1"/>
      <sheetName val="Ext__Stone-P1"/>
      <sheetName val="15_Op__Activities1"/>
      <sheetName val="13_Op__Activities1"/>
      <sheetName val="2_Summary-cash"/>
      <sheetName val="Master_Sheet"/>
      <sheetName val="P1_Br_Overall_KPI"/>
      <sheetName val="Cash_Flow"/>
      <sheetName val="BP_Summary"/>
      <sheetName val="2_주요계수총괄"/>
      <sheetName val="Initial_Input_Variable"/>
      <sheetName val="Facility Information"/>
      <sheetName val="Training"/>
      <sheetName val="Risk"/>
      <sheetName val="People"/>
      <sheetName val="Instructions"/>
      <sheetName val="Quality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"/>
      <sheetName val="Journal"/>
      <sheetName val="VA요약(가정 및 배당)"/>
      <sheetName val="총무팀"/>
      <sheetName val="마포-임현"/>
      <sheetName val="2__Summary-cash"/>
      <sheetName val="2000_05"/>
      <sheetName val="Simulation"/>
      <sheetName val="energy 7.15"/>
      <sheetName val="내역서"/>
      <sheetName val="ROE(FI)"/>
      <sheetName val="총투자비산정"/>
      <sheetName val="기본가정"/>
      <sheetName val="총투자비"/>
      <sheetName val="요약&amp;결과"/>
      <sheetName val="총투자비(총괄)"/>
      <sheetName val="남양시작동자105노65기1.3화1.2"/>
      <sheetName val="TOT"/>
      <sheetName val="내역서(갑지)"/>
      <sheetName val="Sheet1"/>
      <sheetName val="YOEMAGUM"/>
      <sheetName val="시화점실행"/>
      <sheetName val="3본사"/>
      <sheetName val="97계획(96.11"/>
      <sheetName val="실행철강하도"/>
      <sheetName val="入力用(家賃)"/>
      <sheetName val="入力用(駐車)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A (Calcs)"/>
      <sheetName val="B (Controls)"/>
      <sheetName val="Set-Up"/>
      <sheetName val="Multi-Iteration"/>
      <sheetName val="PROJECT_BRIEF(EX_NEW)2"/>
      <sheetName val="I__Assumptions2"/>
      <sheetName val="Elemental_Breakdown-Original2"/>
      <sheetName val="완성차_미수금2"/>
      <sheetName val="Ext__Stone-P2"/>
      <sheetName val="15_Op__Activities2"/>
      <sheetName val="13_Op__Activities2"/>
      <sheetName val="2_Summary-cash1"/>
      <sheetName val="Cash_Flow1"/>
      <sheetName val="Master_Sheet1"/>
      <sheetName val="P1_Br_Overall_KPI1"/>
      <sheetName val="2_주요계수총괄1"/>
      <sheetName val="BP_Summary1"/>
      <sheetName val="Initial_Input_Variable1"/>
      <sheetName val="2000_051"/>
      <sheetName val="2__Summary-cash1"/>
      <sheetName val="2002_1~2003_10월(1)"/>
      <sheetName val="Facility_Information"/>
      <sheetName val="VA요약(가정_및_배당)"/>
      <sheetName val="energy_7_15"/>
      <sheetName val="남양시작동자105노65기1_3화1_2"/>
      <sheetName val="213"/>
      <sheetName val="Rückstände-rent arrears"/>
      <sheetName val="OHU"/>
      <sheetName val="수지차(년)"/>
      <sheetName val="국내"/>
      <sheetName val="Summary"/>
      <sheetName val="Intro2"/>
      <sheetName val="Id"/>
      <sheetName val="Budget 2005(DW)"/>
      <sheetName val="이익잉여금처분계산서"/>
      <sheetName val="재무상태변동표"/>
      <sheetName val="제조원가명세서"/>
      <sheetName val="현금흐름표"/>
      <sheetName val="익월작업계힉"/>
      <sheetName val="이자율"/>
      <sheetName val="현금"/>
      <sheetName val="지급어음(일별)"/>
      <sheetName val="식음료"/>
      <sheetName val="OPREV(대한)"/>
      <sheetName val="현장"/>
      <sheetName val="출자한도"/>
      <sheetName val="Template"/>
      <sheetName val="단기차입금(200006)"/>
      <sheetName val="#REF"/>
      <sheetName val="연습"/>
      <sheetName val="목록"/>
      <sheetName val="중기"/>
      <sheetName val="CostApp."/>
      <sheetName val="Lookup"/>
      <sheetName val="매출"/>
      <sheetName val="1.0"/>
      <sheetName val="Current"/>
      <sheetName val="BID"/>
      <sheetName val="CostData"/>
      <sheetName val="IncomeData"/>
      <sheetName val="PropertyData"/>
      <sheetName val="CAP EXP"/>
      <sheetName val="MOTOR"/>
      <sheetName val="RM목표&amp;실적"/>
      <sheetName val="SRC-B3U2"/>
      <sheetName val="차액보증"/>
      <sheetName val="Secured Master"/>
      <sheetName val="XLUTIL"/>
      <sheetName val="GenLedger BalSht"/>
      <sheetName val="지급보증금74"/>
      <sheetName val="부대대비"/>
      <sheetName val="냉연집계"/>
      <sheetName val="민감도"/>
      <sheetName val="품종별월계"/>
      <sheetName val="한국중공업보안.XLS"/>
      <sheetName val="%ED%95%9C%EA%B5%AD%EC%A4%91%EA%"/>
      <sheetName val="Foreclosure"/>
      <sheetName val="Section 1.3"/>
      <sheetName val="INMD1198"/>
      <sheetName val="Control"/>
      <sheetName val="Cover"/>
      <sheetName val="5.2-1Tenancy Schedule "/>
      <sheetName val="CodeTable"/>
      <sheetName val="설 계"/>
      <sheetName val="설계"/>
      <sheetName val="품셈TABLE"/>
      <sheetName val="접속도로1"/>
      <sheetName val="Assumption"/>
      <sheetName val="임대료산정(자동계산)"/>
      <sheetName val="산업은행 경영지표"/>
      <sheetName val="교각1"/>
      <sheetName val="Data&amp;Result"/>
      <sheetName val="노임단가"/>
      <sheetName val="단가조사"/>
      <sheetName val="원효펌프교체020812"/>
      <sheetName val="지수"/>
      <sheetName val="2002매출"/>
      <sheetName val="963인원"/>
      <sheetName val="10월 (2)"/>
      <sheetName val="종합-임현"/>
      <sheetName val="2분기 체크리스트.xlsx"/>
      <sheetName val="VA요약(가정_및_배당)1"/>
      <sheetName val="건물대사"/>
      <sheetName val="Budget 2004(DW)"/>
      <sheetName val="공용시설내역"/>
      <sheetName val="신우"/>
      <sheetName val="주차"/>
      <sheetName val="'94자산"/>
      <sheetName val="인원"/>
      <sheetName val="자재단가비교표"/>
      <sheetName val="노임이"/>
      <sheetName val="구분"/>
      <sheetName val="일위대가"/>
      <sheetName val="손익계산"/>
      <sheetName val="여과지동"/>
      <sheetName val="기초자료"/>
      <sheetName val="Summery"/>
      <sheetName val="OO사옥 청소"/>
      <sheetName val="OO사옥 경비"/>
      <sheetName val="OO사옥 주차"/>
      <sheetName val="1ST"/>
      <sheetName val="Reversion Calcs"/>
      <sheetName val="Setup"/>
      <sheetName val="Sensitivity Analysis"/>
      <sheetName val="정부노임단가"/>
      <sheetName val="학교기부"/>
      <sheetName val="직접인원"/>
      <sheetName val="참조2"/>
      <sheetName val="갑지(추정)"/>
      <sheetName val="GAEYO"/>
      <sheetName val="1 Cash Flow Analysis"/>
      <sheetName val="FX Rates"/>
      <sheetName val="賃料等一覧"/>
      <sheetName val="공정"/>
      <sheetName val="J直材4"/>
      <sheetName val="N賃率-職"/>
      <sheetName val="ｸﾚｰﾑﾘｽﾄ"/>
      <sheetName val="k"/>
      <sheetName val="Prop"/>
      <sheetName val="개업비"/>
      <sheetName val="준공내역(을)"/>
      <sheetName val="영업.일1"/>
      <sheetName val="회사정보"/>
      <sheetName val="1.표지"/>
      <sheetName val="현금흐름"/>
      <sheetName val="종합"/>
      <sheetName val="1_0"/>
      <sheetName val="CostApp_"/>
      <sheetName val="CAP_EXP"/>
      <sheetName val="Secured_Master"/>
      <sheetName val="Sensitivity"/>
      <sheetName val="옥외외등집계표"/>
      <sheetName val="전신환매도율"/>
      <sheetName val="공통"/>
      <sheetName val="효용적수"/>
      <sheetName val="설치공사비"/>
      <sheetName val="Collateral"/>
      <sheetName val="입력변수"/>
      <sheetName val="P &amp;L"/>
      <sheetName val="DurationCalc"/>
      <sheetName val="Reinv"/>
      <sheetName val="Hunt Mud-Trucking $4.99 Units"/>
      <sheetName val="9612서울"/>
      <sheetName val="임테블"/>
      <sheetName val="수정사항"/>
      <sheetName val="간접재료비산출표-27-30"/>
      <sheetName val="평자재단가"/>
      <sheetName val="본관내역서"/>
      <sheetName val="물량"/>
      <sheetName val="재료"/>
      <sheetName val="설치자재"/>
      <sheetName val="0.0ControlSheet"/>
      <sheetName val="Ownership Percentages"/>
      <sheetName val="Calc V1.2"/>
      <sheetName val="Calc V1.2 (2)"/>
      <sheetName val="급여등록"/>
      <sheetName val="급여명세서"/>
      <sheetName val="세입세출표"/>
      <sheetName val="Import_FX"/>
      <sheetName val="FX"/>
      <sheetName val="YTD"/>
      <sheetName val="_94자산"/>
      <sheetName val="Rent Roll"/>
      <sheetName val="신상자료"/>
      <sheetName val="경율산정.XLS"/>
      <sheetName val="Cash receipt"/>
      <sheetName val="시설총괄"/>
      <sheetName val="수정분개"/>
      <sheetName val="day"/>
      <sheetName val="PL"/>
      <sheetName val="급여대장(관리)"/>
      <sheetName val="2.대외공문"/>
      <sheetName val="표지"/>
      <sheetName val="Forecloser"/>
      <sheetName val="Price Level"/>
      <sheetName val="Location"/>
      <sheetName val="Comment"/>
      <sheetName val="Physical"/>
      <sheetName val="Total"/>
      <sheetName val="Stacking"/>
      <sheetName val="Deal Assumptions"/>
      <sheetName val="인테리어견적(내역서)"/>
      <sheetName val="Depreciation Policy&amp;CC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Data Input"/>
      <sheetName val="General Facility Input"/>
      <sheetName val="Summary"/>
      <sheetName val="FIM-4.1"/>
      <sheetName val="FIM-5.1"/>
      <sheetName val="FIM-5.2"/>
      <sheetName val="FIM-5.3"/>
      <sheetName val="FIM-5.4"/>
      <sheetName val="FIM-6.1"/>
      <sheetName val="FIM-7.1"/>
      <sheetName val="FIM-8.1"/>
      <sheetName val="FIM-9.1"/>
      <sheetName val="FIM-9.2"/>
      <sheetName val="FIM-9.3"/>
      <sheetName val="FIM-9.4"/>
      <sheetName val="FIM-9.5"/>
      <sheetName val="FIM 12.1"/>
      <sheetName val="FIM 13.1"/>
      <sheetName val="FIM 13.2"/>
      <sheetName val="Wattage Table"/>
      <sheetName val="Weather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무비"/>
      <sheetName val="인원배정"/>
      <sheetName val="인원산출"/>
      <sheetName val="운영"/>
      <sheetName val="장비"/>
      <sheetName val="견적"/>
      <sheetName val="견적서"/>
      <sheetName val="견적내역"/>
      <sheetName val="산출기준"/>
      <sheetName val="인건"/>
      <sheetName val="근무"/>
      <sheetName val="갑지"/>
      <sheetName val="기본가정 및 요약"/>
      <sheetName val="2005년 예산"/>
      <sheetName val="연간수입추정(요약)"/>
      <sheetName val="수입 추정(임대료)"/>
      <sheetName val="수입 추정(관리비)"/>
      <sheetName val="수입 추정(보증금)"/>
      <sheetName val="월별 Rentroll"/>
      <sheetName val="2004년 실제 수입"/>
      <sheetName val="자본적 지출"/>
      <sheetName val="차액보증"/>
      <sheetName val="실행대비"/>
      <sheetName val="Sheet5"/>
      <sheetName val="10월"/>
      <sheetName val="인원계획-미화"/>
      <sheetName val="직접비"/>
      <sheetName val="Ext. Stone-P"/>
      <sheetName val="I. Assumptions"/>
      <sheetName val="Situation"/>
      <sheetName val="Cash Flow"/>
      <sheetName val="Source"/>
      <sheetName val="15.Op. Activities"/>
      <sheetName val="SLIDES"/>
      <sheetName val="#REF"/>
      <sheetName val="0101시산표"/>
      <sheetName val="oct"/>
      <sheetName val="sep"/>
      <sheetName val="미지급금"/>
      <sheetName val="선급금"/>
      <sheetName val="선수금"/>
      <sheetName val="aug"/>
      <sheetName val="단기차입금"/>
      <sheetName val="외화보통예금"/>
      <sheetName val="외회외상매입금"/>
      <sheetName val="외화외상매출금"/>
      <sheetName val="장기차입금"/>
      <sheetName val="Intro2"/>
      <sheetName val="Id"/>
      <sheetName val="Lookup"/>
      <sheetName val="기준시가"/>
      <sheetName val="Balance"/>
      <sheetName val="P &amp;L"/>
      <sheetName val="기본가정_및_요약"/>
      <sheetName val="2005년_예산"/>
      <sheetName val="수입_추정(임대료)"/>
      <sheetName val="수입_추정(관리비)"/>
      <sheetName val="수입_추정(보증금)"/>
      <sheetName val="월별_Rentroll"/>
      <sheetName val="2004년_실제_수입"/>
      <sheetName val="자본적_지출"/>
      <sheetName val="I__Assumptions"/>
      <sheetName val="Cash_Flow"/>
      <sheetName val="15_Op__Activities"/>
      <sheetName val="지급어음(일별)"/>
      <sheetName val="Sheet1 (2)"/>
      <sheetName val="삼성전기"/>
      <sheetName val="한국중공업시설"/>
      <sheetName val="0.0ControlSheet"/>
      <sheetName val="PROJECT BRIEF(EX.NEW)"/>
      <sheetName val="2. Summary-cash"/>
      <sheetName val="OPREV(대한)"/>
      <sheetName val="マスタ"/>
      <sheetName val="품목"/>
      <sheetName val="Sales Proceeds"/>
      <sheetName val="Pricing"/>
      <sheetName val="Debt Service Schedule"/>
      <sheetName val="Assumption"/>
      <sheetName val="anaysis_sheet"/>
      <sheetName val="내역서"/>
      <sheetName val="Sheet2"/>
      <sheetName val="Fin_Assumption"/>
      <sheetName val="건축내역"/>
      <sheetName val="Sheet1"/>
      <sheetName val="Initial Input Variable"/>
      <sheetName val="2.주요계수총괄"/>
      <sheetName val="익월작업계힉"/>
      <sheetName val="BSLA"/>
      <sheetName val="Area"/>
      <sheetName val="Reversion Calcs"/>
      <sheetName val="Setup"/>
      <sheetName val="Sensitivity Analysis"/>
      <sheetName val="yakumo"/>
      <sheetName val="2000.05"/>
      <sheetName val="지출일정(4)"/>
      <sheetName val="재무가정"/>
      <sheetName val="Quality"/>
      <sheetName val="People"/>
      <sheetName val="Risk"/>
      <sheetName val="Training"/>
      <sheetName val="General"/>
      <sheetName val="Instructions"/>
      <sheetName val="I. Assumption"/>
      <sheetName val="Ⅲ.CF_5yr_Qtr"/>
      <sheetName val="내역"/>
      <sheetName val="차수"/>
      <sheetName val="일위대가(가설)"/>
      <sheetName val="철탑공사"/>
      <sheetName val="별제권_정리담보권1"/>
      <sheetName val="1 Cash Flow Analysis"/>
      <sheetName val="Summary"/>
      <sheetName val="要旨"/>
      <sheetName val="기본가정_및_요약1"/>
      <sheetName val="2005년_예산1"/>
      <sheetName val="수입_추정(임대료)1"/>
      <sheetName val="수입_추정(관리비)1"/>
      <sheetName val="수입_추정(보증금)1"/>
      <sheetName val="월별_Rentroll1"/>
      <sheetName val="2004년_실제_수입1"/>
      <sheetName val="자본적_지출1"/>
      <sheetName val="I__Assumptions1"/>
      <sheetName val="15_Op__Activities1"/>
      <sheetName val="Cash_Flow1"/>
      <sheetName val="Sheet1_(2)"/>
      <sheetName val="Ext__Stone-P"/>
      <sheetName val="0_0ControlSheet"/>
      <sheetName val="PROJECT_BRIEF(EX_NEW)"/>
      <sheetName val="P_&amp;L"/>
      <sheetName val="2__Summary-cash"/>
      <sheetName val="Debt_Service_Schedule"/>
      <sheetName val="Sales_Proceeds"/>
      <sheetName val="명단"/>
      <sheetName val="DETBIL"/>
      <sheetName val="Initial_Input_Variable"/>
      <sheetName val="2_주요계수총괄"/>
      <sheetName val="Reversion_Calcs"/>
      <sheetName val="Sensitivity_Analysis"/>
      <sheetName val="I__Assumption"/>
      <sheetName val="Ⅲ_CF_5yr_Qtr"/>
      <sheetName val="2000_05"/>
      <sheetName val="Data&amp;Result"/>
      <sheetName val="Elemental Breakdown-Original"/>
      <sheetName val="energy 8.18"/>
      <sheetName val="Facility Information"/>
      <sheetName val="ROE(FI)"/>
      <sheetName val="총투자비산정"/>
      <sheetName val="기본가정"/>
      <sheetName val="총투자비"/>
      <sheetName val="요약&amp;결과"/>
      <sheetName val="점수계산1-2"/>
      <sheetName val="완성차 미수금"/>
      <sheetName val="영업.일1"/>
      <sheetName val="붙임2-1  지급조서명세서(2001년분)"/>
      <sheetName val="목록"/>
      <sheetName val="중기"/>
      <sheetName val="회사정보"/>
      <sheetName val="賃料等一覧"/>
      <sheetName val="상가매매0115"/>
      <sheetName val="상가임대0115"/>
      <sheetName val="Template"/>
      <sheetName val="1ST"/>
      <sheetName val="10월 급여"/>
      <sheetName val="업무용유지비실적"/>
      <sheetName val="붙임2-1__지급조서명세서(2001년분)"/>
      <sheetName val="주요가정"/>
      <sheetName val="민감도"/>
      <sheetName val="Frame"/>
      <sheetName val="평당가_매매_유형별"/>
      <sheetName val="빌딩코드"/>
      <sheetName val="건재양식"/>
      <sheetName val="설-원가"/>
      <sheetName val="설치자재"/>
      <sheetName val="단중"/>
      <sheetName val="일위대가"/>
      <sheetName val="01AC"/>
      <sheetName val="총무팀"/>
      <sheetName val="마포-임현"/>
      <sheetName val="조건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공사별5"/>
      <sheetName val="Valuation"/>
      <sheetName val="1월"/>
      <sheetName val="받을어음"/>
      <sheetName val="S&amp;R"/>
      <sheetName val="BID"/>
      <sheetName val="실행철강하도"/>
      <sheetName val="בית השקעות"/>
      <sheetName val="2004CJ"/>
      <sheetName val="I. Assump"/>
      <sheetName val="CostData"/>
      <sheetName val="IncomeData"/>
      <sheetName val="PropertyData"/>
      <sheetName val="data"/>
      <sheetName val="지분법(지분수정전)"/>
      <sheetName val="Assumptions"/>
      <sheetName val="Building 1"/>
      <sheetName val="Acquisition Costs- Base Case"/>
      <sheetName val="CASHFLOW"/>
      <sheetName val="리츠"/>
      <sheetName val="1Month+Sheet2!"/>
      <sheetName val="이자율"/>
      <sheetName val="Parameter"/>
      <sheetName val="수지차(년)"/>
      <sheetName val="98지급계획"/>
      <sheetName val="3본사"/>
      <sheetName val="품셈TABLE"/>
      <sheetName val="BSD (2)"/>
      <sheetName val="ADJ - RATE"/>
      <sheetName val="시설장비"/>
      <sheetName val="노임이"/>
      <sheetName val="인트라넷시스템근거"/>
      <sheetName val="원본"/>
      <sheetName val="기본가정_및_요약2"/>
      <sheetName val="2005년_예산2"/>
      <sheetName val="수입_추정(임대료)2"/>
      <sheetName val="수입_추정(관리비)2"/>
      <sheetName val="수입_추정(보증금)2"/>
      <sheetName val="월별_Rentroll2"/>
      <sheetName val="2004년_실제_수입2"/>
      <sheetName val="자본적_지출2"/>
      <sheetName val="I__Assumptions2"/>
      <sheetName val="15_Op__Activities2"/>
      <sheetName val="Cash_Flow2"/>
      <sheetName val="0_0ControlSheet1"/>
      <sheetName val="Sheet1_(2)1"/>
      <sheetName val="PROJECT_BRIEF(EX_NEW)1"/>
      <sheetName val="Ext__Stone-P1"/>
      <sheetName val="P_&amp;L1"/>
      <sheetName val="2__Summary-cash1"/>
      <sheetName val="Sales_Proceeds1"/>
      <sheetName val="Debt_Service_Schedule1"/>
      <sheetName val="Initial_Input_Variable1"/>
      <sheetName val="2_주요계수총괄1"/>
      <sheetName val="Reversion_Calcs1"/>
      <sheetName val="Sensitivity_Analysis1"/>
      <sheetName val="2000_051"/>
      <sheetName val="I__Assumption1"/>
      <sheetName val="Ⅲ_CF_5yr_Qtr1"/>
      <sheetName val="1_Cash_Flow_Analysis"/>
      <sheetName val="Elemental_Breakdown-Original"/>
      <sheetName val="energy_8_18"/>
      <sheetName val="Facility_Information"/>
      <sheetName val="Utility Usage 한솔엠닷컴"/>
      <sheetName val="Config"/>
      <sheetName val="데이타"/>
      <sheetName val="식재인부"/>
      <sheetName val="(Monthly)"/>
      <sheetName val="손익"/>
      <sheetName val="Rent Roll"/>
      <sheetName val="Master List and Strats"/>
      <sheetName val="INPUT"/>
      <sheetName val="주차"/>
      <sheetName val="기타코드"/>
      <sheetName val="&lt;양식23_CF&gt;"/>
      <sheetName val="산출내역서집계표"/>
      <sheetName val="Budget 2005(DW)"/>
      <sheetName val="結果（２年後１億円振り替え）"/>
      <sheetName val="Summary-P"/>
      <sheetName val="BASE P.L OWNER"/>
      <sheetName val="INVEST CALC"/>
      <sheetName val="2004SS"/>
      <sheetName val="CHECK LIST"/>
      <sheetName val="YTD"/>
      <sheetName val="Dental City 가정"/>
      <sheetName val="상환계획(선순위)(Q)"/>
      <sheetName val="단기차입금(200006)"/>
      <sheetName val="본관내역서"/>
      <sheetName val="MEM수율입고"/>
      <sheetName val="해외세목"/>
      <sheetName val="상세내역"/>
      <sheetName val="경율산정.XLS"/>
      <sheetName val="산업은행 경영지표"/>
      <sheetName val="이우(hd)"/>
      <sheetName val="Building_1"/>
      <sheetName val="Acquisition_Costs-_Base_Case"/>
      <sheetName val="Tenants"/>
      <sheetName val="주요기준"/>
      <sheetName val="경율산정_XLS"/>
      <sheetName val="Budget_2005(DW)"/>
      <sheetName val="산업은행_경영지표"/>
      <sheetName val="국내"/>
      <sheetName val="Data(인원)"/>
      <sheetName val="0.1keyAssumption"/>
      <sheetName val="등록자료"/>
      <sheetName val="설직재-1"/>
      <sheetName val="인건비"/>
      <sheetName val="CodeTable"/>
      <sheetName val="경상비내역"/>
      <sheetName val="실행내역"/>
      <sheetName val="1.표지"/>
      <sheetName val="설 계"/>
      <sheetName val="tsuga"/>
      <sheetName val="단가"/>
      <sheetName val="@RISK Correlations"/>
      <sheetName val="급여대장(관리)"/>
      <sheetName val="예산(한화)"/>
      <sheetName val="COVERSHEET"/>
      <sheetName val="MGT OFFICE"/>
      <sheetName val="g. Rent Roll"/>
      <sheetName val="붙임2-1__지급조서명세서(2001년분)1"/>
      <sheetName val="10월_급여"/>
      <sheetName val="BSD_(2)"/>
      <sheetName val="ADJ_-_RATE"/>
      <sheetName val="Dental_City_가정"/>
      <sheetName val="10월 (2)"/>
      <sheetName val="종합-임현"/>
      <sheetName val="2공구산출내역"/>
      <sheetName val="사업예산내역"/>
      <sheetName val="사업예산품의서"/>
      <sheetName val="Main"/>
      <sheetName val="CABLE SIZE-1"/>
      <sheetName val="총사업비"/>
      <sheetName val="Sens&amp;Anal"/>
      <sheetName val="Baby일위대가"/>
      <sheetName val="2.대외공문"/>
      <sheetName val="효용적수"/>
      <sheetName val="2.Summary-cash"/>
      <sheetName val="인테리어견적(내역서)"/>
      <sheetName val="하자 Check"/>
      <sheetName val="산출내역서"/>
      <sheetName val="공사기성"/>
      <sheetName val="Cover Sheet"/>
      <sheetName val="Property Information Summary"/>
      <sheetName val="Sys Config"/>
      <sheetName val="총괄표"/>
      <sheetName val="Cash Flow "/>
      <sheetName val="지장물"/>
      <sheetName val="점별(추정)"/>
      <sheetName val="자재(원원+원대)"/>
      <sheetName val="N賃率-職"/>
      <sheetName val="入力用(家賃)"/>
      <sheetName val="入力用(駐車)"/>
      <sheetName val="일위_파일"/>
      <sheetName val="Budget 2004(DW)"/>
      <sheetName val="분양금할인"/>
      <sheetName val="산수(hd-0)"/>
      <sheetName val="산수(hd-1)"/>
      <sheetName val="Calendar"/>
      <sheetName val="day"/>
      <sheetName val="EXRATE"/>
      <sheetName val="Ex - FRFsp"/>
      <sheetName val="Forecloser"/>
      <sheetName val="Identity"/>
      <sheetName val="Price Level"/>
      <sheetName val="Location"/>
      <sheetName val="Comment"/>
      <sheetName val="Physical"/>
      <sheetName val="A-Property"/>
      <sheetName val="A-UW1"/>
      <sheetName val="A-General"/>
      <sheetName val="Total"/>
      <sheetName val="적용환율"/>
      <sheetName val="Aｸﾗｽ空室率DB"/>
      <sheetName val="대차대조표"/>
      <sheetName val="B (Controls)"/>
      <sheetName val="Set-Up"/>
      <sheetName val="A (Calcs)"/>
      <sheetName val="Multi-Iteration"/>
      <sheetName val="DB구축"/>
      <sheetName val="실행예산"/>
      <sheetName val="일반관리비"/>
      <sheetName val="I__Assump"/>
      <sheetName val="Rent_Roll"/>
      <sheetName val="급여표"/>
      <sheetName val="D01"/>
      <sheetName val="호텔부담분 산정식"/>
      <sheetName val="요율"/>
      <sheetName val="2001년12월"/>
      <sheetName val="base"/>
      <sheetName val="9-1차이내역"/>
      <sheetName val="Project Brief"/>
      <sheetName val=" 견적서"/>
      <sheetName val="공사현황"/>
      <sheetName val="リスト"/>
      <sheetName val="설치공사비"/>
      <sheetName val="בית_השקעות"/>
      <sheetName val="Master_List_and_Strats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붙임2-1__지급조서명세서(2001년분)2"/>
      <sheetName val="10월_급여1"/>
      <sheetName val="BSD_(2)1"/>
      <sheetName val="ADJ_-_RATE1"/>
      <sheetName val="Dental_City_가정1"/>
      <sheetName val="10월_(2)"/>
      <sheetName val="0_1keyAssumption"/>
      <sheetName val="Carepaq"/>
      <sheetName val="OPT"/>
      <sheetName val="1_當期시산표"/>
      <sheetName val="BS(기초자료)"/>
      <sheetName val="PL(기초자료)"/>
      <sheetName val="TBT(PR+수정분개)"/>
      <sheetName val="DATE"/>
      <sheetName val="현장"/>
      <sheetName val="설계"/>
      <sheetName val="임대료산정(자동계산)"/>
      <sheetName val="Ⅰ-3.1"/>
      <sheetName val="Rent Roll_py"/>
      <sheetName val="업무분장 "/>
      <sheetName val="FS"/>
      <sheetName val="Basic_Information"/>
      <sheetName val="Cases"/>
      <sheetName val="Control Page"/>
      <sheetName val="DCF Input"/>
      <sheetName val="Earnings"/>
      <sheetName val="퇴직금추계ot"/>
      <sheetName val="집계표"/>
      <sheetName val="식대견적"/>
      <sheetName val="사직서"/>
      <sheetName val="간접재료비산출표-27-30"/>
      <sheetName val="주관사업"/>
      <sheetName val="기준자료"/>
      <sheetName val="입찰안"/>
      <sheetName val="기타자료"/>
      <sheetName val="TEL"/>
      <sheetName val="I一般比"/>
      <sheetName val="ﾘｽﾄ"/>
      <sheetName val="準備ｼｰﾄ"/>
      <sheetName val="현장관리비"/>
      <sheetName val="단가표"/>
      <sheetName val="C"/>
      <sheetName val="Control"/>
      <sheetName val="Xaxis"/>
      <sheetName val="B"/>
      <sheetName val="A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 201501_MMR_Olive Tower.xlsx"/>
      <sheetName val="comparables"/>
      <sheetName val="Deduction"/>
      <sheetName val="other"/>
      <sheetName val="conclusion"/>
      <sheetName val="결정단가"/>
      <sheetName val="XXXXXXXX"/>
      <sheetName val="위치조서"/>
      <sheetName val="2000전체분"/>
      <sheetName val="2000년1차"/>
      <sheetName val="g__Rent_Roll"/>
      <sheetName val="GAAP Pru"/>
      <sheetName val="Ex_-_FRFsp"/>
      <sheetName val="Price_Level"/>
      <sheetName val="2_Summary-cash"/>
      <sheetName val="Data Sheet"/>
      <sheetName val="경율산정_XLS1"/>
      <sheetName val="Budget_2005(DW)1"/>
      <sheetName val="산업은행_경영지표1"/>
      <sheetName val="1_표지"/>
      <sheetName val="설_계"/>
      <sheetName val="Cover"/>
      <sheetName val="CAPEX(3yrs)"/>
      <sheetName val="2016년07월"/>
      <sheetName val="ASP"/>
      <sheetName val="위스키3"/>
      <sheetName val="주류전체2"/>
      <sheetName val="유동자산"/>
      <sheetName val="12.수도광열비"/>
      <sheetName val="Operational Activities"/>
      <sheetName val="RECIEPT&amp;PAYMENT"/>
      <sheetName val="WREK자산임대현황-1(2월06일) "/>
      <sheetName val="본부별매출"/>
      <sheetName val="97년추정손익계산서"/>
      <sheetName val="도급FORM"/>
      <sheetName val="전선 및 전선관"/>
      <sheetName val="RM목표&amp;실적"/>
      <sheetName val="물량"/>
      <sheetName val="2015년11월"/>
      <sheetName val="예총"/>
      <sheetName val="부문손익"/>
      <sheetName val="부서실적"/>
      <sheetName val="Budget"/>
      <sheetName val="디앤엠3월+연말"/>
      <sheetName val="pivot"/>
      <sheetName val="Menu"/>
      <sheetName val="NM-LEVMODEL"/>
      <sheetName val="LevModel"/>
      <sheetName val="NM-Financial"/>
      <sheetName val="Financial"/>
      <sheetName val="Rent Roll Summary"/>
      <sheetName val="Tax"/>
      <sheetName val=""/>
      <sheetName val="Statistuc"/>
      <sheetName val="Payment Schedule"/>
      <sheetName val="BS_임대료"/>
      <sheetName val="BS_보증금"/>
      <sheetName val="매출세금계산서합계"/>
      <sheetName val="매출계산서합계"/>
      <sheetName val="현금영수증"/>
      <sheetName val="비용"/>
      <sheetName val="IS"/>
      <sheetName val="TB"/>
      <sheetName val="미수금"/>
      <sheetName val="간주부가세"/>
      <sheetName val="SD"/>
      <sheetName val="BS(기초沅ࡢ䠁"/>
      <sheetName val="식음료"/>
      <sheetName val="Code"/>
      <sheetName val="#5"/>
      <sheetName val="#3"/>
      <sheetName val="ｸﾚｰﾑﾘｽﾄ"/>
      <sheetName val="내역서(갑지)"/>
      <sheetName val="명세참조"/>
      <sheetName val="Utility Usage YTN TOWER"/>
      <sheetName val="광-단가"/>
      <sheetName val="대-단가"/>
      <sheetName val="준공내역(을)"/>
      <sheetName val="건물대사"/>
      <sheetName val=" 2013년 우체국사 관리지원 업무위탁 기본계약(안) 금"/>
      <sheetName val="원본(그룹제외)"/>
      <sheetName val="CMD"/>
      <sheetName val="CMD H"/>
      <sheetName val="Coating"/>
      <sheetName val="Coating H"/>
      <sheetName val="Gases"/>
      <sheetName val="Gases H"/>
      <sheetName val="Pharm"/>
      <sheetName val="Pharm H"/>
      <sheetName val="Vacuum"/>
      <sheetName val="Vacuum H"/>
      <sheetName val="VTC"/>
      <sheetName val="VTC H"/>
      <sheetName val="Workings"/>
      <sheetName val="Supplement"/>
      <sheetName val="BS(기초샅&amp;"/>
      <sheetName val="BS(기초³땇_x0019_"/>
      <sheetName val="BS(기초悳ß_x001a_"/>
      <sheetName val="Macro Codes"/>
      <sheetName val="App7.0"/>
      <sheetName val="価格変動率"/>
      <sheetName val="관계회사거래내역및 채권채무잔액 99"/>
      <sheetName val="프랜트면허"/>
      <sheetName val="노임단가"/>
      <sheetName val="총괄"/>
      <sheetName val="SIMULATION"/>
      <sheetName val="SRC-B3U2"/>
      <sheetName val="대차,손익"/>
      <sheetName val="연결임시"/>
      <sheetName val="도급자재"/>
      <sheetName val="월별손익"/>
      <sheetName val="完了通知"/>
      <sheetName val="공제"/>
      <sheetName val="Leasing"/>
      <sheetName val="Disclosure"/>
      <sheetName val="Int-Invst"/>
      <sheetName val="수익률검증"/>
      <sheetName val="util"/>
      <sheetName val="자재단가"/>
      <sheetName val="단체(2)"/>
      <sheetName val="Daily Banking"/>
      <sheetName val="청구및회입"/>
      <sheetName val="수정시산표"/>
      <sheetName val="운용지시서"/>
      <sheetName val="BV BalSht"/>
      <sheetName val="BV CashFlow"/>
      <sheetName val="BV P&amp;L"/>
      <sheetName val="GenLedger BalSht"/>
      <sheetName val="GenLedger P&amp;L"/>
      <sheetName val="시설총괄"/>
      <sheetName val="07-Bud"/>
      <sheetName val="5-6.전기(회입분)"/>
      <sheetName val="투찰(하수)"/>
      <sheetName val="이익잉여금처분계산서"/>
      <sheetName val="재무상태변동표"/>
      <sheetName val="제조원가명세서"/>
      <sheetName val="현금흐름표"/>
      <sheetName val="공통"/>
      <sheetName val="기계경비(시간당)"/>
      <sheetName val="램머"/>
      <sheetName val="値付くん"/>
      <sheetName val="Cash receipt"/>
      <sheetName val="管理見積(ｶﾅｻﾞﾜ)"/>
      <sheetName val="wall"/>
      <sheetName val="Front"/>
      <sheetName val="현금흐름"/>
      <sheetName val="인사자료총집계"/>
      <sheetName val="손익계산서"/>
      <sheetName val="XL4Poppy"/>
      <sheetName val="选择报表"/>
      <sheetName val="납부서"/>
      <sheetName val="기본입력사항"/>
      <sheetName val="TEMP2"/>
      <sheetName val="TEMP"/>
      <sheetName val="JA"/>
      <sheetName val="금융"/>
      <sheetName val="은행"/>
      <sheetName val="리스"/>
      <sheetName val="보험"/>
      <sheetName val="입력항목"/>
      <sheetName val="감가상각"/>
      <sheetName val="12月二级试算表"/>
      <sheetName val="BREP Share Working"/>
      <sheetName val="US Codes"/>
      <sheetName val="1.物件概要"/>
      <sheetName val="ARP"/>
      <sheetName val="실적"/>
      <sheetName val="++++"/>
      <sheetName val="동양"/>
      <sheetName val="37含み経"/>
      <sheetName val="Import_FX"/>
      <sheetName val="FX"/>
      <sheetName val="사업자현황"/>
      <sheetName val="터파기및재료"/>
      <sheetName val="최종"/>
      <sheetName val="분석통계"/>
      <sheetName val="Sensitivity_Analysi沅ࡢ"/>
      <sheetName val="BOJUNGGM"/>
      <sheetName val="누적성과"/>
      <sheetName val="공정"/>
      <sheetName val="Dash Board"/>
      <sheetName val="정리"/>
      <sheetName val="Development"/>
      <sheetName val="Income"/>
      <sheetName val="Assumptions "/>
      <sheetName val="BP Summary"/>
      <sheetName val="Summery"/>
      <sheetName val="영업_일1"/>
      <sheetName val="C.Code"/>
      <sheetName val="참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 page"/>
      <sheetName val="summary"/>
      <sheetName val="Assumption"/>
      <sheetName val="Leaseup"/>
      <sheetName val="RentAssump"/>
      <sheetName val="Expenses"/>
      <sheetName val="KRW Econ"/>
      <sheetName val="DCF"/>
      <sheetName val="Parking"/>
      <sheetName val="ETR"/>
      <sheetName val="노무비"/>
      <sheetName val="완성차 미수금"/>
      <sheetName val="내역"/>
      <sheetName val="01"/>
      <sheetName val="Initial Input Variable"/>
      <sheetName val="I. Assumptions"/>
      <sheetName val="Citi Model 0924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 Input Graphs Tbls"/>
      <sheetName val="benchmarks"/>
      <sheetName val="utils"/>
      <sheetName val="ECM Sum"/>
      <sheetName val="FIM#1"/>
      <sheetName val="Bldg 43 lights"/>
      <sheetName val="FIM#1A"/>
      <sheetName val="FIM#2"/>
      <sheetName val="FIM#3"/>
      <sheetName val="FIM#4"/>
      <sheetName val="FIM#5"/>
      <sheetName val="FIM#6"/>
      <sheetName val="FIM#7 MV Campus"/>
      <sheetName val="FIM#8 SM"/>
      <sheetName val="FIM#8A"/>
      <sheetName val="CP Load"/>
      <sheetName val="Night loads"/>
      <sheetName val="12_02 trends (2)"/>
      <sheetName val="12_02 trends"/>
      <sheetName val="RLC"/>
      <sheetName val="NC"/>
      <sheetName val="CMC"/>
      <sheetName val="BAC"/>
      <sheetName val="model charts"/>
      <sheetName val="Sheet3"/>
      <sheetName val="M&amp;V 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매출매입 (2002)"/>
      <sheetName val="매출매입(2003)"/>
      <sheetName val="Assumption"/>
    </sheetNames>
    <sheetDataSet>
      <sheetData sheetId="0" refreshError="1"/>
      <sheetData sheetId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eneral Facility Input"/>
      <sheetName val="FIM-4.1"/>
      <sheetName val="Wattage Table"/>
      <sheetName val="FIM-5.1"/>
      <sheetName val="FIM-5.2"/>
      <sheetName val="FIM-5.3"/>
      <sheetName val="FIM-5.4_Method 1"/>
      <sheetName val="FIM-5.4_Method 2"/>
      <sheetName val="FIM-6.1"/>
      <sheetName val="FIM-7.1"/>
      <sheetName val="FIM-8.1"/>
      <sheetName val="FIM-9.1"/>
      <sheetName val="FIM-9.2"/>
      <sheetName val="FIM-9.3"/>
      <sheetName val="FIM-9.4"/>
      <sheetName val="FIM-9.5"/>
      <sheetName val="FIM 12.1"/>
      <sheetName val="FIM 13.1"/>
      <sheetName val="FIM 13.2"/>
      <sheetName val="Weather Data"/>
    </sheetNames>
    <sheetDataSet>
      <sheetData sheetId="0"/>
      <sheetData sheetId="1">
        <row r="15">
          <cell r="B15">
            <v>0.09</v>
          </cell>
        </row>
        <row r="27">
          <cell r="B27">
            <v>40.857999999999997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ia Ikebukuro(final)"/>
      <sheetName val="Wave(final)"/>
      <sheetName val="NM(final)"/>
      <sheetName val="Kanda(final)"/>
      <sheetName val="Hamamatsucho SS(final)"/>
      <sheetName val="Hamamatsucho Daiwa(final)"/>
      <sheetName val="Hakusan(final)"/>
      <sheetName val="EL Kanda(final)"/>
      <sheetName val="Daiwa Nakameguro(final)"/>
      <sheetName val="Cosmos Hongo(final)"/>
      <sheetName val="Sendai Honmachi"/>
      <sheetName val="Nihonbashi Asahi Seimeikan"/>
      <sheetName val="Yokohama Nishiguchi"/>
      <sheetName val="Korakuen Shinjyuku"/>
      <sheetName val="Shibuya West"/>
      <sheetName val="Edobashi (2)"/>
      <sheetName val="Edobashi"/>
      <sheetName val="Yushima"/>
      <sheetName val="Hakata"/>
      <sheetName val="Hatchobori"/>
      <sheetName val="Sangenｊaya"/>
      <sheetName val="E Shibuya"/>
      <sheetName val="Wave"/>
      <sheetName val="Nakameguro"/>
      <sheetName val="Tsukasamachi"/>
      <sheetName val="Ｔｏｒａｎｏｍｏｎ"/>
      <sheetName val="Rokubancho"/>
      <sheetName val="Higashi Shinjyuku"/>
      <sheetName val="Morioka"/>
      <sheetName val="Shizuoka"/>
      <sheetName val="Asahikawa"/>
      <sheetName val="Hiroshima"/>
      <sheetName val="Matsuyama"/>
      <sheetName val="Kyoto"/>
      <sheetName val="Nagoya Marunouchi"/>
      <sheetName val="Okayama"/>
      <sheetName val="Ｆｕｋｕｓｈｉｍａ"/>
      <sheetName val="kita3jo (2)"/>
      <sheetName val="kita3jo"/>
      <sheetName val="57Sankyo"/>
      <sheetName val="NM"/>
      <sheetName val="NM (2)"/>
      <sheetName val="NM (Final)"/>
      <sheetName val="Kanda"/>
      <sheetName val="Hamamatsucho Daiwa"/>
      <sheetName val="Hamamatsucho SS"/>
      <sheetName val="EL Kanda"/>
      <sheetName val="Hakusan"/>
      <sheetName val="Sheet2"/>
      <sheetName val="Wave (final)"/>
      <sheetName val="Kanda (final)"/>
      <sheetName val="Hamamatsucho SS (final)"/>
      <sheetName val="Hamamatsucho Daiwa (final)"/>
      <sheetName val="Hakusan (final)"/>
      <sheetName val="EL Kanda (final)"/>
      <sheetName val="Daiwa Nakameguro (final)"/>
      <sheetName val="Cosmos Hongo (final)"/>
      <sheetName val="Aria Ikebukuro (final)"/>
      <sheetName val="Hakata(Revised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ourtAuction"/>
      <sheetName val="Cost"/>
      <sheetName val="sale"/>
      <sheetName val="Income-1"/>
      <sheetName val="Income-2"/>
      <sheetName val="Development"/>
      <sheetName val="PropertyData"/>
      <sheetName val="CourtAuctionData"/>
      <sheetName val="CostData"/>
      <sheetName val="SalesData"/>
      <sheetName val="IncomeData"/>
      <sheetName val="DevelopData"/>
      <sheetName val="Conclusion"/>
      <sheetName val="CheckList"/>
      <sheetName val="Assumption"/>
      <sheetName val="SALE&amp;COST"/>
      <sheetName val="1-1"/>
      <sheetName val="1 Cash Flow Analysis"/>
      <sheetName val="Set-Up"/>
      <sheetName val="B (Controls)"/>
      <sheetName val="AKL"/>
      <sheetName val="Customer"/>
      <sheetName val="노무비"/>
      <sheetName val="Com%"/>
      <sheetName val="comparables"/>
      <sheetName val="Deduction"/>
      <sheetName val="other"/>
      <sheetName val="결정단가"/>
      <sheetName val="TB"/>
      <sheetName val="1_Cash_Flow_Analysis"/>
      <sheetName val="B_(Controls)"/>
      <sheetName val="Cash Flow"/>
      <sheetName val="Source"/>
      <sheetName val="COMPAQ-LIST"/>
      <sheetName val="Code"/>
      <sheetName val="List"/>
      <sheetName val="확인서"/>
      <sheetName val="Assumptions"/>
      <sheetName val="Control"/>
      <sheetName val="DB_1"/>
      <sheetName val="Macro Codes"/>
      <sheetName val="Input"/>
      <sheetName val="Templete_CA_Valuation Form"/>
      <sheetName val="Rent Roll"/>
      <sheetName val="Config"/>
      <sheetName val="レポート用"/>
      <sheetName val="Voucher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내역서"/>
      <sheetName val="Initial Input Variable"/>
      <sheetName val="基本データ"/>
      <sheetName val="I. Assumptions"/>
      <sheetName val="감사회사"/>
      <sheetName val="1_Cash_Flow_Analysis1"/>
      <sheetName val="B_(Controls)1"/>
      <sheetName val="Cash_Flow"/>
      <sheetName val="Templete_CA_Valuation_Form"/>
      <sheetName val="부산4"/>
      <sheetName val="회사개요(2)"/>
      <sheetName val="인원계획-미화"/>
      <sheetName val="대차대조표"/>
      <sheetName val="CoA map"/>
      <sheetName val="경락률"/>
      <sheetName val="법원비용"/>
      <sheetName val="LoanList"/>
      <sheetName val="잔존년수"/>
      <sheetName val="항고구분"/>
      <sheetName val="경매회차하락률"/>
      <sheetName val="ベース"/>
      <sheetName val="물가자료"/>
      <sheetName val="1월"/>
      <sheetName val="Carepaq"/>
      <sheetName val="OPT"/>
      <sheetName val="슬래브(유곡)"/>
      <sheetName val="진주방향"/>
      <sheetName val="Parking RR"/>
      <sheetName val="マスタ"/>
      <sheetName val="program"/>
      <sheetName val="KMT물량"/>
      <sheetName val=" Chart"/>
      <sheetName val="지급어음(일별)"/>
      <sheetName val="Area"/>
      <sheetName val="Sheet2"/>
      <sheetName val="CHECKSHEET"/>
      <sheetName val="VXXXXXX"/>
      <sheetName val="ABUT수량-A1"/>
      <sheetName val="변수"/>
      <sheetName val="2월가격"/>
      <sheetName val="지장물"/>
      <sheetName val="편입조서"/>
      <sheetName val="Intro Page"/>
      <sheetName val="Price Data"/>
      <sheetName val="Case"/>
      <sheetName val="Inputs"/>
      <sheetName val="BS"/>
      <sheetName val="DCOH"/>
      <sheetName val="PL"/>
      <sheetName val="8월"/>
      <sheetName val="9월"/>
      <sheetName val="10월"/>
      <sheetName val="내역서(갑지)"/>
      <sheetName val="Expense Schedule (4)"/>
      <sheetName val="Names"/>
      <sheetName val="Cap Table"/>
      <sheetName val="일반관리비"/>
    </sheetNames>
    <sheetDataSet>
      <sheetData sheetId="0" refreshError="1"/>
      <sheetData sheetId="1">
        <row r="1">
          <cell r="D1" t="str">
            <v>Land Comp.1</v>
          </cell>
        </row>
      </sheetData>
      <sheetData sheetId="2">
        <row r="1">
          <cell r="D1" t="str">
            <v>Land Comp.1</v>
          </cell>
        </row>
      </sheetData>
      <sheetData sheetId="3">
        <row r="1">
          <cell r="D1">
            <v>10</v>
          </cell>
        </row>
      </sheetData>
      <sheetData sheetId="4">
        <row r="1">
          <cell r="D1" t="str">
            <v>Identity</v>
          </cell>
        </row>
      </sheetData>
      <sheetData sheetId="5">
        <row r="1">
          <cell r="D1" t="str">
            <v>Land Comp.1</v>
          </cell>
        </row>
      </sheetData>
      <sheetData sheetId="6">
        <row r="1">
          <cell r="D1">
            <v>10</v>
          </cell>
        </row>
      </sheetData>
      <sheetData sheetId="7" refreshError="1"/>
      <sheetData sheetId="8">
        <row r="1">
          <cell r="D1" t="str">
            <v>Land Comp.1</v>
          </cell>
        </row>
      </sheetData>
      <sheetData sheetId="9" refreshError="1"/>
      <sheetData sheetId="10">
        <row r="1">
          <cell r="D1">
            <v>10</v>
          </cell>
        </row>
      </sheetData>
      <sheetData sheetId="11" refreshError="1"/>
      <sheetData sheetId="12"/>
      <sheetData sheetId="13">
        <row r="2">
          <cell r="A2" t="str">
            <v>Index</v>
          </cell>
        </row>
      </sheetData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Data"/>
      <sheetName val="IncomeData"/>
      <sheetName val="Summary"/>
      <sheetName val="PropertyDat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xture Styles"/>
      <sheetName val="Design Tables"/>
      <sheetName val="Energy by Groups"/>
      <sheetName val="Usage Groups"/>
      <sheetName val="Energy Balance"/>
      <sheetName val="Utility Savings"/>
      <sheetName val="Project Breakdow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ilding"/>
    </sheetNames>
    <sheetDataSet>
      <sheetData sheetId="0">
        <row r="6">
          <cell r="L6" t="str">
            <v>Yes</v>
          </cell>
        </row>
        <row r="7">
          <cell r="L7" t="str">
            <v>No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운영수익률 산정표 (20141007)"/>
      <sheetName val="투자비"/>
      <sheetName val="3개년평균절감량(COP85%,보간법)"/>
      <sheetName val="20141010 그래프"/>
      <sheetName val="NPV"/>
      <sheetName val="IRR산정"/>
    </sheetNames>
    <definedNames>
      <definedName name="Dongjin" refersTo="#REF!" sheetId="3"/>
      <definedName name="ExpandOutputs" refersTo="#REF!" sheetId="3"/>
      <definedName name="ExpandVPeriods" refersTo="#REF!" sheetId="3"/>
      <definedName name="ExportFile" refersTo="#REF!" sheetId="3"/>
      <definedName name="ImportFile" refersTo="#REF!" sheetId="3"/>
      <definedName name="ProImportExport.ImportFile" refersTo="#REF!" sheetId="3"/>
      <definedName name="ProImportExport.SaveNewFile" refersTo="#REF!" sheetId="3"/>
      <definedName name="SaveNewFile" refersTo="#REF!" sheetId="3"/>
      <definedName name="stacking" refersTo="#REF!" sheetId="3"/>
    </definedNames>
    <sheetDataSet>
      <sheetData sheetId="0"/>
      <sheetData sheetId="1"/>
      <sheetData sheetId="2"/>
      <sheetData sheetId="3">
        <row r="3">
          <cell r="D3" t="str">
            <v>1년차</v>
          </cell>
        </row>
      </sheetData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ea"/>
      <sheetName val="Sales Approach"/>
      <sheetName val="Rent Adjustment"/>
      <sheetName val="Rent Adjustment (1F)"/>
      <sheetName val="B1 Retail Market"/>
      <sheetName val="cashflow"/>
      <sheetName val="Cost Approach"/>
      <sheetName val="title"/>
      <sheetName val="Lein"/>
      <sheetName val="mamt analysis"/>
      <sheetName val="received data"/>
      <sheetName val="report"/>
      <sheetName val="Macro Codes"/>
      <sheetName val="소비자가"/>
      <sheetName val="노임단가"/>
      <sheetName val="경비_원본"/>
      <sheetName val="Assumption"/>
      <sheetName val="노무비"/>
      <sheetName val="valuation"/>
      <sheetName val="CostData"/>
      <sheetName val="IncomeData"/>
      <sheetName val="Summary"/>
      <sheetName val="PropertyData"/>
      <sheetName val="공무부"/>
      <sheetName val="Development"/>
      <sheetName val="Income"/>
      <sheetName val="Total"/>
      <sheetName val="S&amp;R"/>
      <sheetName val="95WBS"/>
      <sheetName val="Assumptions"/>
      <sheetName val="공사현황"/>
      <sheetName val="일위대가"/>
      <sheetName val="Milky"/>
      <sheetName val="인원계획-미화"/>
      <sheetName val="노원열병합  건축공사기성내역서"/>
      <sheetName val="Sales_Approach"/>
      <sheetName val="Rent_Adjustment"/>
      <sheetName val="Rent_Adjustment_(1F)"/>
      <sheetName val="B1_Retail_Market"/>
      <sheetName val="Cost_Approach"/>
      <sheetName val="mamt_analysis"/>
      <sheetName val="received_data"/>
      <sheetName val="Sales_Approach1"/>
      <sheetName val="Rent_Adjustment1"/>
      <sheetName val="Rent_Adjustment_(1F)1"/>
      <sheetName val="B1_Retail_Market1"/>
      <sheetName val="Cost_Approach1"/>
      <sheetName val="mamt_analysis1"/>
      <sheetName val="received_data1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사비교(종합)"/>
      <sheetName val="10.3 직급별단가 (확정)1안"/>
      <sheetName val="10.3 직급별단가 (확정) (2안)"/>
      <sheetName val="10.3 직급별단가 (확정) (3안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 page"/>
      <sheetName val="summary"/>
      <sheetName val="Assumption"/>
      <sheetName val="KRW Econ"/>
      <sheetName val="US$ Econ"/>
      <sheetName val="JV Accounting_REIT"/>
      <sheetName val="RentAssump"/>
      <sheetName val="Expenses"/>
      <sheetName val="rent roll"/>
      <sheetName val="DCF"/>
      <sheetName val="Parking"/>
      <sheetName val="재무가정"/>
      <sheetName val="Foreclosure"/>
      <sheetName val="Template"/>
      <sheetName val="노무비"/>
      <sheetName val="Gangbo"/>
      <sheetName val="Customer Databas"/>
      <sheetName val="Bella Model 1007"/>
      <sheetName val="Area"/>
      <sheetName val="공사개요"/>
      <sheetName val="Assumptions"/>
      <sheetName val="TEL"/>
      <sheetName val="간이연락"/>
      <sheetName val="설계명세서"/>
      <sheetName val="CR_page"/>
      <sheetName val="KRW_Econ"/>
      <sheetName val="US$_Econ"/>
      <sheetName val="JV_Accounting_REIT"/>
      <sheetName val="rent_roll"/>
      <sheetName val="CR_page1"/>
      <sheetName val="KRW_Econ1"/>
      <sheetName val="US$_Econ1"/>
      <sheetName val="JV_Accounting_REIT1"/>
      <sheetName val="rent_rol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Sample"/>
      <sheetName val="Summary"/>
      <sheetName val="2004K1"/>
      <sheetName val="2004TO"/>
      <sheetName val="2004SS"/>
      <sheetName val="2004DJ"/>
      <sheetName val="2004CJ"/>
      <sheetName val="Rentroll_TO"/>
      <sheetName val="04detail_TO"/>
      <sheetName val="Rentroll_SS"/>
      <sheetName val="04detail_SS"/>
      <sheetName val="Rentroll_DJ"/>
      <sheetName val="04detail_DJ"/>
      <sheetName val="Rentroll_CJ"/>
      <sheetName val="04detail_CJ"/>
      <sheetName val="2003K1"/>
      <sheetName val="2003TO"/>
      <sheetName val="2003SS"/>
      <sheetName val="2003DJ"/>
      <sheetName val="2003CJ"/>
      <sheetName val="Assumption"/>
      <sheetName val="Budget 2005(DW)"/>
      <sheetName val="Gangbo"/>
      <sheetName val="설계명세서"/>
      <sheetName val="재무가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"/>
      <sheetName val="위탁관리 운영예산"/>
      <sheetName val="빌딩관리비(인건비)"/>
      <sheetName val="인력운영계획"/>
      <sheetName val=" 공기구 리스트"/>
      <sheetName val="2004SS"/>
      <sheetName val="2004CJ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DATA"/>
      <sheetName val="DATA1"/>
      <sheetName val="MOTOR"/>
      <sheetName val="견적갑지"/>
      <sheetName val="입찰참가보고 (2)"/>
      <sheetName val="집계표"/>
      <sheetName val="내역"/>
      <sheetName val="부대공II"/>
      <sheetName val="가설사무실"/>
      <sheetName val="조직도"/>
      <sheetName val="카메라"/>
      <sheetName val="표지"/>
      <sheetName val="원가계산"/>
      <sheetName val="원가계산기준"/>
      <sheetName val="단가산출서"/>
      <sheetName val="수량산출-재료"/>
      <sheetName val="수량산출-노무"/>
      <sheetName val="산출1-전력"/>
      <sheetName val="산출1-분전반"/>
      <sheetName val="산출2-기기동력"/>
      <sheetName val="산출3-동력"/>
      <sheetName val="산출4-접지"/>
      <sheetName val="산출5-피뢰침"/>
      <sheetName val="산출6-전등"/>
      <sheetName val="산출-전등(TRAY)"/>
      <sheetName val="산출7-전열"/>
      <sheetName val="산출8-조명제어"/>
      <sheetName val="산출9-TRAY"/>
      <sheetName val="단가조사-1"/>
      <sheetName val="단가조사-2"/>
      <sheetName val="일위집계"/>
      <sheetName val="일위대가"/>
      <sheetName val="노임단가"/>
      <sheetName val="000000"/>
      <sheetName val="조명율표"/>
      <sheetName val="CABLE"/>
      <sheetName val="전동기수정"/>
      <sheetName val="전동기적용"/>
      <sheetName val="전동기"/>
      <sheetName val="PACKAGE"/>
      <sheetName val="전선"/>
      <sheetName val="전선관"/>
      <sheetName val="허용전류"/>
      <sheetName val="선로정수"/>
      <sheetName val="전선관(1)"/>
      <sheetName val="부하산정"/>
      <sheetName val="케이블선정"/>
      <sheetName val="Sheet9"/>
      <sheetName val="Sheet10"/>
      <sheetName val="Sheet12"/>
      <sheetName val="Sheet11"/>
      <sheetName val="Sheet13"/>
      <sheetName val="Sheet14"/>
      <sheetName val="Sheet15"/>
      <sheetName val="Sheet16"/>
      <sheetName val="설계참고목차"/>
      <sheetName val="수량조서"/>
      <sheetName val="1.철주신설"/>
      <sheetName val="2.철주신설"/>
      <sheetName val="3.철주신설"/>
      <sheetName val="4.비임신설"/>
      <sheetName val="5.기기가대"/>
      <sheetName val="6.철주기초"/>
      <sheetName val="7.기기기초"/>
      <sheetName val="8.기기기초"/>
      <sheetName val="9.기기기초"/>
      <sheetName val="10.단권변압기"/>
      <sheetName val="11.가스절연"/>
      <sheetName val="12.전자식제어반"/>
      <sheetName val="13.고장점표정반"/>
      <sheetName val="14.GP"/>
      <sheetName val="15.전철용RTU"/>
      <sheetName val="16.R-C BANK"/>
      <sheetName val="17.모선배선"/>
      <sheetName val="18.제어및전력케이블"/>
      <sheetName val="19.핏트"/>
      <sheetName val="20.배수로"/>
      <sheetName val="21.스틸그레이팅"/>
      <sheetName val="22.접지장치"/>
      <sheetName val="23.옥외전선관"/>
      <sheetName val="24.옥외외등"/>
      <sheetName val="25.무인화설비"/>
      <sheetName val="26.콘크리트포장"/>
      <sheetName val="27.자갈부설"/>
      <sheetName val="28.휀스"/>
      <sheetName val="29.소내용TR"/>
      <sheetName val="30.고배용VCB"/>
      <sheetName val="31.고배용RTU"/>
      <sheetName val="32.기기기초"/>
      <sheetName val="33.지중케이블"/>
      <sheetName val="34.전력용관로"/>
      <sheetName val="35.장주신설"/>
      <sheetName val="36.맨홀"/>
      <sheetName val="37.운반비"/>
      <sheetName val="운반비(철재류)"/>
      <sheetName val="운반비(전선관)"/>
      <sheetName val="운반비(전선류)"/>
      <sheetName val="호표"/>
      <sheetName val="시중노임표"/>
      <sheetName val="견적단가"/>
      <sheetName val="재료단가"/>
      <sheetName val="단가비교표"/>
      <sheetName val="Chart1"/>
      <sheetName val="내역서"/>
      <sheetName val="단위내역목록"/>
      <sheetName val="단위내역서"/>
      <sheetName val="총괄표"/>
      <sheetName val="원가(1)"/>
      <sheetName val="원가(2)"/>
      <sheetName val="공량산출서"/>
      <sheetName val="Id"/>
      <sheetName val="Intro2"/>
      <sheetName val="토목원가계산서"/>
      <sheetName val="토목원가"/>
      <sheetName val="집계장"/>
      <sheetName val="설계내역"/>
      <sheetName val="제외공종"/>
      <sheetName val="공정현황보고(3.20) (2)"/>
      <sheetName val="추진공정(법인)3.20"/>
      <sheetName val="공정현황보고(3.27) (2)"/>
      <sheetName val="추진공정(법인)3.27"/>
      <sheetName val="공정현황보고(4.2)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목차"/>
      <sheetName val="도급내역서"/>
      <sheetName val="1.공사집행계획서"/>
      <sheetName val="2.예산내역검토서"/>
      <sheetName val="3.실행원가내역서"/>
      <sheetName val="4.실행예산단가산출서(단가)"/>
      <sheetName val="4.실행예산단가산출서(금액)"/>
      <sheetName val="5.현장관리비"/>
      <sheetName val="6.공사예정공정표"/>
      <sheetName val="7.인원동원현황"/>
      <sheetName val="8.장비투입현황"/>
      <sheetName val="9.문제점 및 대책"/>
      <sheetName val="10.설계변경 및 추가공사"/>
      <sheetName val="공사수행범위"/>
      <sheetName val="자재투입계획"/>
      <sheetName val="사급자재구입량"/>
      <sheetName val="산출근거"/>
      <sheetName val="사급자재재료표"/>
      <sheetName val="Sheet1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Module1"/>
      <sheetName val="원가계산서"/>
      <sheetName val="설계내역서"/>
      <sheetName val="제어반공량"/>
      <sheetName val="가격조사"/>
      <sheetName val="제어반견적"/>
      <sheetName val="주요물량"/>
      <sheetName val="적쒩2002"/>
      <sheetName val="단위내엍목록"/>
      <sheetName val="DS-LOAD"/>
      <sheetName val="WORK"/>
      <sheetName val="공문"/>
      <sheetName val="갑지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안영판암원가계산서"/>
      <sheetName val="안영-판암간집계표"/>
      <sheetName val="안영복개집계표"/>
      <sheetName val="안영복개터널옥외변전"/>
      <sheetName val="안영복개터널가로등"/>
      <sheetName val="안영복개터널케이블(할증제외)"/>
      <sheetName val="안영복개터널케이블(할증)"/>
      <sheetName val="안영복개터널조명(할증제외)"/>
      <sheetName val="안영복개터널조명(할증)"/>
      <sheetName val="안영복개터널방재(할증제외)"/>
      <sheetName val="안영복개터널방재(할증)"/>
      <sheetName val="안영복개터널소화기(할증제외)"/>
      <sheetName val="안영복개터널소화기(할증)"/>
      <sheetName val="구완집계표"/>
      <sheetName val="구완터널옥외변전"/>
      <sheetName val="구완터널가로등"/>
      <sheetName val="구완터널케이블(할증제외)"/>
      <sheetName val="구완터널케이블(할증)"/>
      <sheetName val="구완터널조명(할증제외)"/>
      <sheetName val="구완터널조명(할증)"/>
      <sheetName val="구완터널방재(할증제외)"/>
      <sheetName val="구완터널방재(할증)"/>
      <sheetName val="구완터널소화기(할증제외)"/>
      <sheetName val="구완터널소화기(할증)"/>
      <sheetName val="안영영업소집계표"/>
      <sheetName val="안영옥외전기"/>
      <sheetName val="안영옥내전기"/>
      <sheetName val="안영옥내약전설비공사"/>
      <sheetName val="안영소방"/>
      <sheetName val="안영TG설비공사"/>
      <sheetName val="안영지명표지판총괄"/>
      <sheetName val="안영지명표지판"/>
      <sheetName val="안영지명표지판2"/>
      <sheetName val="안영IC집계표"/>
      <sheetName val="안영IC"/>
      <sheetName val="안영IC신호등집계표"/>
      <sheetName val="안영IC신호등"/>
      <sheetName val="남대전JC집계표"/>
      <sheetName val="남대전JC"/>
      <sheetName val="교량집계표(안영-판암감)"/>
      <sheetName val="교량점검등(안영-판암간)"/>
      <sheetName val="지급자재집계표"/>
      <sheetName val="안영복개터널지급자재"/>
      <sheetName val="구완터널지급자재"/>
      <sheetName val="안영영업소지급자재"/>
      <sheetName val="안영IC가로등지급자재"/>
      <sheetName val="남대전JC가로등지급자재"/>
      <sheetName val="공구손료 산출내역"/>
      <sheetName val="일반공사"/>
      <sheetName val="대비"/>
      <sheetName val="ITEM"/>
      <sheetName val="정부노임단가"/>
      <sheetName val="2F 회의실견적(5_14 일대)"/>
      <sheetName val="CONCRETE"/>
      <sheetName val="P礔CKAGE"/>
      <sheetName val="터널조도"/>
      <sheetName val="경비"/>
      <sheetName val="운반비(전선륐)"/>
      <sheetName val="D-3503"/>
      <sheetName val="지급자재"/>
      <sheetName val="공통비"/>
      <sheetName val="남양시작동자105노65기1.3화1.2"/>
      <sheetName val="차액보증"/>
      <sheetName val="A-4"/>
      <sheetName val="결과조달"/>
      <sheetName val="날개벽"/>
      <sheetName val="건축내역"/>
      <sheetName val="일위대가서"/>
      <sheetName val="MCC,분전반"/>
      <sheetName val="PANEL"/>
      <sheetName val="신규단가-00.11.30"/>
      <sheetName val="원가계산서-계약"/>
      <sheetName val="계약내역서"/>
      <sheetName val="단가조서"/>
      <sheetName val="견적단가(조명제어)"/>
      <sheetName val="견적단가(등기구)"/>
      <sheetName val="견적단가(수배전반)"/>
      <sheetName val="코드"/>
      <sheetName val="전기일위대가"/>
      <sheetName val="Y-WORK"/>
      <sheetName val="자재단가"/>
      <sheetName val="투찰"/>
      <sheetName val="BLOCK(1)"/>
      <sheetName val="SG"/>
      <sheetName val="출근부"/>
      <sheetName val="Sheet1 (2)"/>
      <sheetName val="CTEMCOST"/>
      <sheetName val="데이타"/>
      <sheetName val="부대내역"/>
      <sheetName val="타공종이기"/>
      <sheetName val="c_balju"/>
      <sheetName val="토공"/>
      <sheetName val="001"/>
      <sheetName val="ilch"/>
      <sheetName val="금액내역서"/>
      <sheetName val="CODE"/>
      <sheetName val="TEL"/>
      <sheetName val="전차선로 물량표"/>
      <sheetName val="노원열병합  건축공사기성내역서"/>
      <sheetName val="공통가설"/>
      <sheetName val="소비자가"/>
      <sheetName val="내역분기"/>
      <sheetName val="공사비집계"/>
      <sheetName val="sw1"/>
      <sheetName val="NOMUBI"/>
      <sheetName val="I.설계조건"/>
      <sheetName val="31.고_x0000_RTU"/>
      <sheetName val="VXXXXX"/>
      <sheetName val="전도금청구서"/>
      <sheetName val="전도금청구서 (2)"/>
      <sheetName val="자금분계"/>
      <sheetName val="미지급"/>
      <sheetName val="직영노"/>
      <sheetName val="금전출납 "/>
      <sheetName val="현금출납부"/>
      <sheetName val="식대 "/>
      <sheetName val="장비사용료"/>
      <sheetName val="장비대"/>
      <sheetName val="유류대"/>
      <sheetName val="자재대"/>
      <sheetName val="기성고조서(폐기물) (2)"/>
      <sheetName val="기성고조서(순성토)"/>
      <sheetName val="기성고조서(배수)"/>
      <sheetName val="배수외주내역서"/>
      <sheetName val="Sheet3 (5)"/>
      <sheetName val="Sheet3 (6)"/>
      <sheetName val="현금"/>
      <sheetName val="인건비"/>
      <sheetName val="BQ"/>
      <sheetName val="설계예산내역서"/>
      <sheetName val="98지급계획"/>
      <sheetName val="집1"/>
      <sheetName val="8.PILE  (돌출)"/>
      <sheetName val="연결임시"/>
      <sheetName val="단위중량"/>
      <sheetName val="L형옹벽(key)"/>
      <sheetName val="토공(완충)"/>
      <sheetName val="BID"/>
      <sheetName val="11.자재단가"/>
      <sheetName val="기초공"/>
      <sheetName val="기둥(원형)"/>
      <sheetName val="중기사용료"/>
      <sheetName val="구조물철거타공정이월"/>
      <sheetName val="수량산출"/>
      <sheetName val="판"/>
      <sheetName val="6호기"/>
      <sheetName val="자재집계"/>
      <sheetName val="관람석제출"/>
      <sheetName val="한강운반비"/>
      <sheetName val="#REF"/>
      <sheetName val="기계내역"/>
      <sheetName val="내역서(총)"/>
      <sheetName val="횡배위치"/>
      <sheetName val="BJJIN"/>
      <sheetName val="단가"/>
      <sheetName val="시설물일위"/>
      <sheetName val="환률"/>
      <sheetName val="토공계산서(부체도로)"/>
      <sheetName val="K1자재(3차등)"/>
      <sheetName val="겉장"/>
      <sheetName val="기성검사원"/>
      <sheetName val="원가"/>
      <sheetName val="건축"/>
      <sheetName val="토목"/>
      <sheetName val="화재 탐지 설비"/>
      <sheetName val="중기일위대가"/>
      <sheetName val="견적시담(송포2공구)"/>
      <sheetName val="노무비"/>
      <sheetName val="단가조사서"/>
      <sheetName val="총괄내역서"/>
      <sheetName val="수목단가"/>
      <sheetName val="시설수량표"/>
      <sheetName val="식재수량표"/>
      <sheetName val="일위목록"/>
      <sheetName val="Sheet4"/>
      <sheetName val="DATE"/>
      <sheetName val="백호우계수"/>
      <sheetName val="공사개요"/>
      <sheetName val="일위대가목록"/>
      <sheetName val="간선계산"/>
      <sheetName val="32.銅기기초"/>
      <sheetName val="계산근거"/>
      <sheetName val="현장지지물물량"/>
      <sheetName val="맨홀수량집계"/>
      <sheetName val="ABUT수량-A1"/>
      <sheetName val="STORAGE"/>
      <sheetName val="수량집계"/>
      <sheetName val="총괄집계표"/>
      <sheetName val="설계조건"/>
      <sheetName val="안정계산"/>
      <sheetName val="단면검토"/>
      <sheetName val="품목"/>
      <sheetName val="토 적 표"/>
      <sheetName val="TOTAL"/>
      <sheetName val="fitting"/>
      <sheetName val="총계"/>
      <sheetName val="내역서 "/>
      <sheetName val="준검 내역서"/>
      <sheetName val="품질 및 특성 보정계수"/>
      <sheetName val="TABLE"/>
      <sheetName val="공통부대비"/>
      <sheetName val="정렬"/>
      <sheetName val="danga"/>
      <sheetName val="March"/>
      <sheetName val="최초침전지집계표"/>
      <sheetName val="Explanation for Page 17"/>
      <sheetName val="산거각호표"/>
      <sheetName val="B"/>
      <sheetName val="몰탈재료산출"/>
      <sheetName val="조경"/>
      <sheetName val="토목주소"/>
      <sheetName val="프랜트면허"/>
      <sheetName val="NEWDRAW"/>
      <sheetName val="을"/>
      <sheetName val="난방열교"/>
      <sheetName val="급탕열교"/>
      <sheetName val="31.고"/>
      <sheetName val="보합"/>
      <sheetName val="3BL공동구 수량"/>
      <sheetName val="여흥"/>
      <sheetName val="Customer Databas"/>
      <sheetName val="골조시행"/>
      <sheetName val="단면가정"/>
      <sheetName val="조도계산서 (도서)"/>
      <sheetName val="신공"/>
      <sheetName val="Site Expenses"/>
      <sheetName val="FACTOR"/>
      <sheetName val="손익분석"/>
      <sheetName val="총집계표"/>
      <sheetName val="DATA(BAC)"/>
      <sheetName val="일위대가목차"/>
      <sheetName val="7.1유효폭"/>
      <sheetName val="말뚝물량"/>
      <sheetName val="실행내역"/>
      <sheetName val="TYPE-B 평균H"/>
      <sheetName val="Dae_Jiju"/>
      <sheetName val="Sikje_ingun"/>
      <sheetName val="TREE_D"/>
      <sheetName val="교각계산"/>
      <sheetName val="입찰"/>
      <sheetName val="현경"/>
      <sheetName val="교각1"/>
      <sheetName val="2000년1차"/>
      <sheetName val="2000전체분"/>
      <sheetName val="점수계산1-2"/>
      <sheetName val="소업1교"/>
      <sheetName val="JUCK"/>
      <sheetName val="토공총괄집계"/>
      <sheetName val="설변물량"/>
      <sheetName val="노임"/>
      <sheetName val="가공비"/>
      <sheetName val="EUPDAT2"/>
      <sheetName val="현장"/>
      <sheetName val="Sheet2"/>
      <sheetName val="(2)"/>
      <sheetName val="기계실"/>
      <sheetName val="총투자비산정"/>
      <sheetName val="ROE(FI)"/>
      <sheetName val="Sens&amp;Anal"/>
      <sheetName val="UNIT"/>
      <sheetName val="토목내역"/>
      <sheetName val="수량산출서"/>
      <sheetName val="회사99"/>
      <sheetName val="내역1"/>
      <sheetName val="견적서"/>
      <sheetName val="dtxl"/>
      <sheetName val="35_x000e_장주신설"/>
      <sheetName val="대비표"/>
      <sheetName val="터파기및재료"/>
      <sheetName val="실행예산"/>
      <sheetName val="단면 (2)"/>
      <sheetName val="woo(mac)"/>
      <sheetName val="hvac(제어동)"/>
      <sheetName val="검색"/>
      <sheetName val="금액집계"/>
      <sheetName val="경비2내역"/>
      <sheetName val="입력DATA"/>
      <sheetName val="1.수인터널"/>
      <sheetName val="eq_data"/>
      <sheetName val="FRP배관단가(만수)"/>
      <sheetName val="만수배관단가"/>
      <sheetName val="년"/>
      <sheetName val="9GNG운반"/>
      <sheetName val="단가대비표"/>
      <sheetName val="연수동"/>
      <sheetName val="2.예산냴역검토서"/>
      <sheetName val="장문교(대전)"/>
      <sheetName val="건축(충일분)"/>
      <sheetName val="단면(RW1)"/>
      <sheetName val="설계예산서"/>
      <sheetName val="구왤집계표"/>
      <sheetName val="Ⅴ-2.공종별내역"/>
      <sheetName val="관리비"/>
      <sheetName val="공종별 집계"/>
      <sheetName val="단위세대"/>
      <sheetName val="바닥판"/>
      <sheetName val="단중표"/>
      <sheetName val="한전고리-을"/>
      <sheetName val="예산서"/>
      <sheetName val="장비집계"/>
      <sheetName val="C &amp; G RHS"/>
      <sheetName val="예산변경사항"/>
      <sheetName val="일위대가 (목록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철거수량"/>
      <sheetName val="전신환매도율"/>
      <sheetName val="단가산출2"/>
      <sheetName val="표지 (2)"/>
      <sheetName val="대비2"/>
      <sheetName val="자재단가표"/>
      <sheetName val="동원인원산출"/>
      <sheetName val="플랜트 설치"/>
      <sheetName val="직노"/>
      <sheetName val="일위대가표"/>
      <sheetName val="공틀공사"/>
      <sheetName val="COST"/>
      <sheetName val="8.자재단가"/>
      <sheetName val="전기일위목록"/>
      <sheetName val="2.대외공문"/>
      <sheetName val="내역총괄표"/>
      <sheetName val="변화치수"/>
      <sheetName val="사용성검토"/>
      <sheetName val="Sheet5"/>
      <sheetName val="산업개발안내서"/>
      <sheetName val="귀래 설계 공내역서"/>
      <sheetName val="실행철강하도"/>
      <sheetName val="설계산출표지"/>
      <sheetName val="공사원가계산서"/>
      <sheetName val="설계산출기초"/>
      <sheetName val="도급예산내역서총괄표"/>
      <sheetName val="을부담운반비"/>
      <sheetName val="운반비산출"/>
      <sheetName val="unit 4"/>
      <sheetName val="기계경비"/>
      <sheetName val="제경비"/>
      <sheetName val="TYPE1"/>
      <sheetName val="Macro1"/>
      <sheetName val="조건표"/>
      <sheetName val="#230,#235"/>
      <sheetName val="실시설계"/>
      <sheetName val="현장관리비집계표"/>
      <sheetName val="하수급견적대비"/>
      <sheetName val="자료"/>
      <sheetName val="전체총괄표"/>
      <sheetName val="요소별"/>
      <sheetName val="전기요금"/>
      <sheetName val="도급대비"/>
      <sheetName val="조건"/>
      <sheetName val="한전위탁공사비2"/>
      <sheetName val="45,46"/>
      <sheetName val="06-BATCH "/>
      <sheetName val="개요"/>
      <sheetName val="SE-611"/>
      <sheetName val="산근"/>
      <sheetName val="아파트건축"/>
      <sheetName val="비대칭계수"/>
      <sheetName val="전동기 SPEC"/>
      <sheetName val="계화배수"/>
      <sheetName val="Despacho (c.civil)"/>
      <sheetName val="원형맨홀수량"/>
      <sheetName val="1을"/>
      <sheetName val="별표"/>
      <sheetName val="입적표"/>
      <sheetName val="초"/>
      <sheetName val="U-TYPE(1)"/>
      <sheetName val="관거공사비"/>
      <sheetName val="sum1 (2)"/>
      <sheetName val="major"/>
      <sheetName val="물량표"/>
      <sheetName val="오산갈곳"/>
      <sheetName val="부대공집계표"/>
      <sheetName val="5. COST SCHEDULE PER EXPENSE"/>
      <sheetName val="을지"/>
      <sheetName val=" 견적서"/>
      <sheetName val="Indirect Cost"/>
      <sheetName val="심사계산"/>
      <sheetName val="심사물량"/>
      <sheetName val="공사설명서"/>
      <sheetName val="5공철탑검토표"/>
      <sheetName val="4공철탑검토"/>
      <sheetName val="CS2"/>
      <sheetName val="설계명세서(선로)"/>
      <sheetName val="총누계"/>
      <sheetName val="IMP(MAIN)"/>
      <sheetName val="IMP (REACTOR)"/>
      <sheetName val="본부소개"/>
      <sheetName val="코드표"/>
      <sheetName val="일위대가(계측기설치)"/>
      <sheetName val="전기"/>
      <sheetName val="설계서"/>
      <sheetName val="입찰안"/>
      <sheetName val="dg"/>
      <sheetName val="물량산출근거"/>
      <sheetName val="단가조정"/>
      <sheetName val="공종분류"/>
      <sheetName val="FILE1"/>
      <sheetName val="단위수량"/>
      <sheetName val="P.M 별"/>
      <sheetName val="실행내역서"/>
      <sheetName val="명세서"/>
      <sheetName val="J直材4"/>
      <sheetName val="DS-최종"/>
      <sheetName val="단가조사표"/>
      <sheetName val="CIVIL"/>
      <sheetName val="SLAB"/>
      <sheetName val="Model"/>
      <sheetName val="Ⅱ1-0타"/>
      <sheetName val="일"/>
      <sheetName val="설계명세서"/>
      <sheetName val="표지1"/>
      <sheetName val="건물현황"/>
      <sheetName val="재무가정"/>
      <sheetName val="장비당단가 (1)"/>
      <sheetName val="CALCULATION"/>
      <sheetName val="DESIGN_CRETERIA"/>
      <sheetName val="봉방동근생"/>
      <sheetName val="KP1590_E"/>
      <sheetName val="기계경비(시간당)"/>
      <sheetName val="세목별"/>
      <sheetName val="코드猂"/>
      <sheetName val="코드蚘"/>
      <sheetName val="표지頀ᎆ뤀ᨇ"/>
      <sheetName val="내역頀ᎆ뤀"/>
      <sheetName val="내역︀ᇕ԰"/>
      <sheetName val="통합"/>
      <sheetName val="GIS재"/>
      <sheetName val="MTR재(한기)"/>
      <sheetName val="GIS.Ry재"/>
      <sheetName val="Proposal"/>
      <sheetName val="설산1.나"/>
      <sheetName val="본사S"/>
      <sheetName val="보차도경계석"/>
      <sheetName val="원가계산서(남측)"/>
      <sheetName val="Qheet3"/>
      <sheetName val="예산M12A"/>
      <sheetName val="견적조건"/>
      <sheetName val="단면치수"/>
      <sheetName val="안정검토"/>
      <sheetName val="비교표"/>
      <sheetName val="BOQ-Summary_Form A2"/>
      <sheetName val="DIAPHRAGM"/>
      <sheetName val="예산내역서"/>
      <sheetName val="구리토평1전기"/>
      <sheetName val="Page 1A - Proposal Strategy "/>
      <sheetName val="부대대비"/>
      <sheetName val="냉연집계"/>
      <sheetName val="ATS단가"/>
      <sheetName val="Breakdown"/>
      <sheetName val="건축원가계산서"/>
      <sheetName val="보도경계블럭"/>
      <sheetName val="설변내역1"/>
      <sheetName val="가설공사내역"/>
      <sheetName val="말뚝지지력산정"/>
      <sheetName val="재료집계"/>
      <sheetName val="백암비스타내역"/>
      <sheetName val="현대물량"/>
      <sheetName val="EQUIPMENT -2"/>
      <sheetName val="3.건축(현장안)"/>
      <sheetName val="월선수금"/>
      <sheetName val="교통대책내역"/>
      <sheetName val="남ꌀ전JC"/>
      <sheetName val="Budget 2005(DW)"/>
      <sheetName val="ins"/>
      <sheetName val="가설건물"/>
      <sheetName val="IP좌표"/>
      <sheetName val="토사(PE)"/>
      <sheetName val="골재집계"/>
      <sheetName val="Base_Data"/>
      <sheetName val="LOPCALC"/>
      <sheetName val="사진"/>
      <sheetName val="200"/>
      <sheetName val="FLANGE"/>
      <sheetName val="VALVE"/>
      <sheetName val="작성"/>
      <sheetName val="96수출"/>
      <sheetName val="물가"/>
      <sheetName val="수량산출근거"/>
      <sheetName val="양식"/>
      <sheetName val="dt0301"/>
      <sheetName val="dtt0301"/>
      <sheetName val="20관리비율"/>
      <sheetName val="내역전기"/>
      <sheetName val="Coeffiecient"/>
      <sheetName val="b_balju_cho"/>
      <sheetName val="투자효율분석"/>
      <sheetName val="배"/>
      <sheetName val="쵽괄표"/>
      <sheetName val="쵽물량표"/>
      <sheetName val="정산민량표"/>
      <sheetName val="4.실행예산단가삼출서(단갌)"/>
      <sheetName val="4.실행예산단가삼출서(금액)"/>
      <sheetName val="5.현잣관리비"/>
      <sheetName val="부재력정리"/>
      <sheetName val="BQ-Offsite"/>
      <sheetName val="PipWT"/>
      <sheetName val="Parts 1 Feb 2004"/>
      <sheetName val="EP0618"/>
      <sheetName val="전동기 SP԰_x0000_"/>
      <sheetName val="Main"/>
      <sheetName val="단가비교표_공통1"/>
      <sheetName val="진주방향"/>
      <sheetName val="설계내역(2001)"/>
      <sheetName val="가시설(TYPE-A)"/>
      <sheetName val="1-1평균터파기고(1)"/>
      <sheetName val="1NYS(당)"/>
      <sheetName val="국공유지및사유지"/>
      <sheetName val="요율"/>
      <sheetName val="118.세금과공과"/>
      <sheetName val="일위단가"/>
      <sheetName val="부대공"/>
      <sheetName val="방호벽"/>
      <sheetName val="교통표지"/>
      <sheetName val="낙석방지책"/>
      <sheetName val="조도"/>
      <sheetName val="list price"/>
      <sheetName val="31.고_x005f_x0000_RTU"/>
      <sheetName val="35_x005f_x000e_장주신설"/>
      <sheetName val="을 2"/>
      <sheetName val="을 1"/>
      <sheetName val="방배동내역(리라)"/>
      <sheetName val="부대공사총괄"/>
      <sheetName val="현장경비"/>
      <sheetName val="건축공사집계표"/>
      <sheetName val="방배동내역 (총괄)"/>
      <sheetName val="T진도"/>
      <sheetName val="종합"/>
      <sheetName val="D040416"/>
      <sheetName val="당초수량"/>
      <sheetName val="부하LOAD"/>
      <sheetName val="날개벽(시점좌측)"/>
      <sheetName val="RAHMEN"/>
      <sheetName val="토공(우물통,기타) "/>
      <sheetName val="방음벽 기초 일반수량"/>
      <sheetName val="적현로"/>
      <sheetName val="1-1"/>
      <sheetName val="CAPVC"/>
      <sheetName val="가격조사서"/>
      <sheetName val="부대공Ⅱ"/>
      <sheetName val="건축공사"/>
      <sheetName val="원본"/>
      <sheetName val="계렀቟԰"/>
      <sheetName val="VXXX"/>
      <sheetName val="BSD (2)"/>
      <sheetName val="토공,기초"/>
      <sheetName val="부재리스트"/>
      <sheetName val="CABLE_SIZE_CALCULATION_SHEET"/>
      <sheetName val="IMPEADENCE_MAP_"/>
      <sheetName val="IMPEADENCE_"/>
      <sheetName val="입찰참가보고_(2)"/>
      <sheetName val="공정현황보고(3_20)_(2)"/>
      <sheetName val="추진공정(법인)3_20"/>
      <sheetName val="공정현황보고(3_27)_(2)"/>
      <sheetName val="추진공정(법인)3_27"/>
      <sheetName val="공정현황보고(4_2)"/>
      <sheetName val="1_공사집행계획서"/>
      <sheetName val="2_예산내역검토서"/>
      <sheetName val="3_실행원가내역서"/>
      <sheetName val="4_실행예산단가산출서(단가)"/>
      <sheetName val="4_실행예산단가산출서(금액)"/>
      <sheetName val="5_현장관리비"/>
      <sheetName val="6_공사예정공정표"/>
      <sheetName val="7_인원동원현황"/>
      <sheetName val="8_장비투입현황"/>
      <sheetName val="9_문제점_및_대책"/>
      <sheetName val="10_설계변경_및_추가공사"/>
      <sheetName val="1_철주신설"/>
      <sheetName val="2_철주신설"/>
      <sheetName val="3_철주신설"/>
      <sheetName val="4_비임신설"/>
      <sheetName val="5_기기가대"/>
      <sheetName val="6_철주기초"/>
      <sheetName val="7_기기기초"/>
      <sheetName val="8_기기기초"/>
      <sheetName val="9_기기기초"/>
      <sheetName val="10_단권변압기"/>
      <sheetName val="11_가스절연"/>
      <sheetName val="12_전자식제어반"/>
      <sheetName val="13_고장점표정반"/>
      <sheetName val="14_GP"/>
      <sheetName val="15_전철용RTU"/>
      <sheetName val="항목별내역헾"/>
      <sheetName val="변경내역"/>
      <sheetName val="COPING"/>
      <sheetName val="부하계산서"/>
      <sheetName val="토공A"/>
      <sheetName val="투찰내역"/>
      <sheetName val="가시설수량"/>
      <sheetName val="배수관공"/>
      <sheetName val="내역표지"/>
      <sheetName val="NEYOK"/>
      <sheetName val="배수공토공"/>
      <sheetName val="FAB별"/>
      <sheetName val="원가집계"/>
      <sheetName val="RING WALL"/>
      <sheetName val="2004SS"/>
      <sheetName val="2004CJ"/>
      <sheetName val="INPUT"/>
      <sheetName val="토&amp;흙"/>
      <sheetName val="저"/>
      <sheetName val="남양내역"/>
      <sheetName val="방송노임"/>
      <sheetName val="FLA"/>
      <sheetName val="합계"/>
      <sheetName val="대림경상68억"/>
      <sheetName val="갑지(추정)"/>
      <sheetName val="슬래브(유곡)"/>
      <sheetName val="토류판설치(t=60)"/>
      <sheetName val="SORCE1"/>
      <sheetName val="가시설단위수량"/>
      <sheetName val="기초견적가"/>
      <sheetName val="MW-S"/>
      <sheetName val="NYS"/>
      <sheetName val="일용노임단가"/>
      <sheetName val="전압강하계산"/>
      <sheetName val="단가조사"/>
      <sheetName val="단가표 "/>
      <sheetName val="순공사비총괄"/>
      <sheetName val="계화徸〒"/>
      <sheetName val="KP1590__x0005_"/>
      <sheetName val="계화丵〒"/>
      <sheetName val="구조물공"/>
      <sheetName val="일반맨홀수량집계"/>
      <sheetName val="MCC제원"/>
      <sheetName val="구의33고"/>
      <sheetName val="16_R-C_BANK"/>
      <sheetName val="17_모선배선"/>
      <sheetName val="18_제어및전력케이블"/>
      <sheetName val="19_핏트"/>
      <sheetName val="20_배수로"/>
      <sheetName val="배수공"/>
      <sheetName val="암거"/>
      <sheetName val="포장공"/>
      <sheetName val="입력1"/>
      <sheetName val="98수금사업"/>
      <sheetName val="6동"/>
      <sheetName val="연습"/>
      <sheetName val="세부내역서(전기)"/>
      <sheetName val="기타 정보통신공사"/>
      <sheetName val="단가(1)"/>
      <sheetName val="정산입력"/>
      <sheetName val="3.현장배치"/>
      <sheetName val="품셈(기초)"/>
      <sheetName val="L형옹벽"/>
      <sheetName val="C &amp; Ô_x0000_Ԁ_x0000_耀"/>
      <sheetName val="C &amp; Ô_x0000_Ԁ_x0000__x0000_"/>
      <sheetName val="일위대가(가설)"/>
      <sheetName val="원가계산서(남측_x0000_"/>
      <sheetName val="단가조건(02년)"/>
      <sheetName val="견적정보"/>
      <sheetName val="재집"/>
      <sheetName val="직재"/>
      <sheetName val="산출"/>
      <sheetName val="F4-F7"/>
      <sheetName val="토공사"/>
      <sheetName val="시행예산"/>
      <sheetName val="1.설계조건"/>
      <sheetName val="견적을지"/>
      <sheetName val="도장수량"/>
      <sheetName val="내역서(기성청구)"/>
      <sheetName val="전기단가조사서"/>
      <sheetName val="하조서"/>
      <sheetName val="착공내역"/>
      <sheetName val="사급자재"/>
      <sheetName val="차수"/>
      <sheetName val="TB-내역서"/>
      <sheetName val="PILE길이산출(DRA)"/>
      <sheetName val="Condition"/>
      <sheetName val="부대"/>
      <sheetName val="물량산〒_x0005_"/>
      <sheetName val="현장관리비내역서"/>
      <sheetName val="공통"/>
      <sheetName val="3.하중산정4.지지력"/>
      <sheetName val="참고"/>
      <sheetName val="6PILE  (돌출)"/>
      <sheetName val="현장유지관리비"/>
      <sheetName val="편입토지조서"/>
      <sheetName val="일반맨홀수량집계(A-7 LINE)"/>
      <sheetName val="부紀ዱ԰"/>
      <sheetName val="3련 BOX"/>
      <sheetName val="날개벽(좌,우=45도,75도)"/>
      <sheetName val="공통(20-91)"/>
      <sheetName val="자재"/>
      <sheetName val="L_RPTA05_목록"/>
      <sheetName val="자료(통합)"/>
      <sheetName val="대상공사(조달청)"/>
      <sheetName val="실행내역서 "/>
      <sheetName val="Mp-team 1"/>
      <sheetName val="Wt of Mod."/>
      <sheetName val="Testing"/>
      <sheetName val="DRAIN DRUM PIT D-301"/>
      <sheetName val="내역총헾】"/>
      <sheetName val="CAL"/>
      <sheetName val="기타공"/>
      <sheetName val="배수집계"/>
      <sheetName val="1.우편집중내역서"/>
      <sheetName val="대우단가(풍산)"/>
      <sheetName val="공통가설공사"/>
      <sheetName val="예산M5A"/>
      <sheetName val="포장복구집계"/>
      <sheetName val="B767"/>
      <sheetName val="2002년요약"/>
      <sheetName val="공사기본내용입력"/>
      <sheetName val="산๿"/>
      <sheetName val="부翇ᨎ԰"/>
      <sheetName val="부缀ᨎ԰"/>
      <sheetName val="효성CB 1P기초"/>
      <sheetName val="21_스틸그레이팅"/>
      <sheetName val="22_접지장치"/>
      <sheetName val="23_옥외전선관"/>
      <sheetName val="24_옥외외등"/>
      <sheetName val="25_무인화설비"/>
      <sheetName val="26_콘크리트포장"/>
      <sheetName val="27_자갈부설"/>
      <sheetName val="28_휀스"/>
      <sheetName val="29_소내용TR"/>
      <sheetName val="예가표"/>
      <sheetName val="전기공사"/>
      <sheetName val="99총공사내역서"/>
      <sheetName val="POL6차-PIPING"/>
      <sheetName val="타워기초"/>
      <sheetName val="건축내역서"/>
      <sheetName val="총누_x0005_"/>
      <sheetName val="재료"/>
      <sheetName val="4.말뚝설계"/>
      <sheetName val="Galaxy 소비자가격표"/>
      <sheetName val="건설성적"/>
      <sheetName val="산출내역서집계표"/>
      <sheetName val="견적"/>
      <sheetName val="SUB일위대가"/>
      <sheetName val="-15.0"/>
      <sheetName val="BOM-Form A.1.III"/>
      <sheetName val="토공 토적표"/>
      <sheetName val="6공구전체"/>
      <sheetName val="공사내역"/>
      <sheetName val="견ԯ_x0000_缀"/>
      <sheetName val="기초일위"/>
      <sheetName val="시설일위"/>
      <sheetName val="식재일위"/>
      <sheetName val="오산갈墨"/>
      <sheetName val="BOQ건축"/>
      <sheetName val="배수공1"/>
      <sheetName val="DNW"/>
      <sheetName val="︀ᇕ"/>
      <sheetName val="말뚝지ᴀᨈ԰_x0000_"/>
      <sheetName val="인사자료총집계"/>
      <sheetName val="표지판현황"/>
      <sheetName val="공사비총괄표"/>
      <sheetName val="단가조๿"/>
      <sheetName val="가감수량"/>
      <sheetName val="맨홀수량산출"/>
      <sheetName val="단가표"/>
      <sheetName val="내역(원안-대안)"/>
      <sheetName val="design criteria"/>
      <sheetName val="working load at the btm ft."/>
      <sheetName val="plan&amp;section of foundation"/>
      <sheetName val="설비내역서"/>
      <sheetName val="전기내역서"/>
      <sheetName val="토사԰_x0000_缀_x0000_"/>
      <sheetName val="비대缀ᨎ԰"/>
      <sheetName val="개԰"/>
      <sheetName val="산尜"/>
      <sheetName val="자판실행"/>
      <sheetName val="맨홀수량"/>
      <sheetName val="기본자료"/>
      <sheetName val="세부내역"/>
      <sheetName val="현장별계약현황('98.10.31)"/>
      <sheetName val="s"/>
      <sheetName val="MW-BM"/>
      <sheetName val="Data&amp;Result"/>
      <sheetName val="대전21토목내역서"/>
      <sheetName val="type-F"/>
      <sheetName val="CAT_5"/>
      <sheetName val="오산︀폕"/>
      <sheetName val="stability check"/>
      <sheetName val="design load"/>
      <sheetName val="내역서(우)"/>
      <sheetName val="도급및 실행내역"/>
      <sheetName val="기성내역서표지"/>
      <sheetName val="기준자료"/>
      <sheetName val="DESIGN CRETERIA"/>
      <sheetName val="재료缀ᨎ"/>
      <sheetName val="품질 및 缀ᨎ԰_x0000_缀_x0000__x0000_"/>
      <sheetName val="명헾】"/>
      <sheetName val="BQ(실행)"/>
      <sheetName val="30_고배용VCB"/>
      <sheetName val="31_고배용RTU"/>
      <sheetName val="32_기기기초"/>
      <sheetName val="33_지중케이블"/>
      <sheetName val="34_전력용관로"/>
      <sheetName val="35_장주신설"/>
      <sheetName val="36_맨홀"/>
      <sheetName val="37_운반비"/>
      <sheetName val="복구량산정_및_전용회선_사용"/>
      <sheetName val="항목별내԰_x0000_"/>
      <sheetName val="내역(전체)"/>
      <sheetName val="견֮_x0000_缀"/>
      <sheetName val="일반전기"/>
      <sheetName val="#4DUCT SUPPORT 체크LIST"/>
      <sheetName val="날개벽(TYPE3)"/>
      <sheetName val="품의서"/>
      <sheetName val="예산M︀ᇕ԰"/>
      <sheetName val="ASEM내역"/>
      <sheetName val="전기簀፰쐀፰"/>
      <sheetName val="데리네이타현황"/>
      <sheetName val="1.취수장"/>
      <sheetName val="경비_원본"/>
      <sheetName val="입출재고현황 (2)"/>
      <sheetName val="1호맨홀가감수량"/>
      <sheetName val="1호맨홀수량산출"/>
      <sheetName val="TCA"/>
      <sheetName val="입력"/>
      <sheetName val="1.설계기준"/>
      <sheetName val="단︀ᇕ԰"/>
      <sheetName val="부쌔ᄅ0"/>
      <sheetName val="단က_x0000_　"/>
      <sheetName val="CRUDE RE-bar"/>
      <sheetName val="말뚝지ᘀ᨜԰_x0000_"/>
      <sheetName val="Ⅴ-2.공ᛇ᨜԰_x0000_"/>
      <sheetName val="오산갈醜"/>
      <sheetName val="말뚝지怀፵∀ᩃ"/>
      <sheetName val="부대_x0005__x0000_"/>
      <sheetName val="견적_x0005__x0000_"/>
      <sheetName val="Ԁ"/>
      <sheetName val="조명시설"/>
      <sheetName val="말뚝지怀፵ን"/>
      <sheetName val="공구손료_산출내역"/>
      <sheetName val="2F_회의실견적(5_14_일대)"/>
      <sheetName val="남양시작동자105노65기1_3화1_2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신규단가-00_11_30"/>
      <sheetName val="전차선로_물량표"/>
      <sheetName val="노원열병합__건축공사기성내역서"/>
      <sheetName val="I_설계조건"/>
      <sheetName val="31_고RTU"/>
      <sheetName val="단㔀቎԰"/>
      <sheetName val="APT내역"/>
      <sheetName val="신천교(음성)"/>
      <sheetName val="D01"/>
      <sheetName val="보԰_x0000_缀"/>
      <sheetName val="보ᰀ፜搀"/>
      <sheetName val="보집계표"/>
      <sheetName val="시공측량-을"/>
      <sheetName val="말뚝지지0_x0000_怀"/>
      <sheetName val="물량산출근䡲"/>
      <sheetName val="설계산출기䀀"/>
      <sheetName val="적용 기준(환율)-1"/>
      <sheetName val="적용 기준(환율)"/>
      <sheetName val="자재단가 "/>
      <sheetName val="단가산출3"/>
      <sheetName val="단가산출_목록"/>
      <sheetName val="DS_3Q"/>
      <sheetName val="studio"/>
      <sheetName val="COVER"/>
      <sheetName val="공정코드"/>
      <sheetName val="자료입력"/>
      <sheetName val="장비당단가 _x0005__x0000__x0000_"/>
      <sheetName val="BOX"/>
      <sheetName val="Baby일위대가"/>
      <sheetName val="직공비"/>
      <sheetName val="공사비명세서"/>
      <sheetName val="코헾⿾"/>
      <sheetName val="00내역서"/>
      <sheetName val="123"/>
      <sheetName val="dg-VTu"/>
      <sheetName val="부대시설"/>
      <sheetName val="단가 및 재료비"/>
      <sheetName val="CC16-내역서"/>
      <sheetName val="PRO_DCI"/>
      <sheetName val="INST_DCI"/>
      <sheetName val="HVAC_DCI"/>
      <sheetName val="PIPE_DCI"/>
      <sheetName val="공사비 내역 (가)"/>
      <sheetName val="Sitec120"/>
      <sheetName val="장비"/>
      <sheetName val="Languages"/>
      <sheetName val="AP1"/>
      <sheetName val="품셈TABLE"/>
      <sheetName val="실행철헾】_x0005_"/>
      <sheetName val="계획세_x0005_"/>
      <sheetName val="계획세喀"/>
      <sheetName val="B토목"/>
      <sheetName val="별첨1"/>
      <sheetName val="아파트1"/>
      <sheetName val="1호맨홀토공"/>
      <sheetName val="갑지1"/>
      <sheetName val="99.6"/>
      <sheetName val="J直材_x0005_"/>
      <sheetName val=" ԰_x0000_缀"/>
      <sheetName val="SUMMARY"/>
      <sheetName val="PAINT"/>
      <sheetName val="콘크리트타설집계표"/>
      <sheetName val="물︀"/>
      <sheetName val="1.설계설명서"/>
      <sheetName val="안က_x0000_瀀"/>
      <sheetName val="안/_x0000_ "/>
      <sheetName val="_x0000__x0000_"/>
      <sheetName val="건축마감(E)"/>
      <sheetName val="신축수량"/>
      <sheetName val="조명투자및환수계획"/>
      <sheetName val="제조중간결과"/>
      <sheetName val="N賃率-職"/>
      <sheetName val="공사원가_x0005__x0000_"/>
      <sheetName val="총공사비"/>
      <sheetName val="재1"/>
      <sheetName val="4)유동표"/>
      <sheetName val="GL연결용"/>
      <sheetName val="간접비내역-1"/>
      <sheetName val="Sheet17"/>
      <sheetName val="2001예정공정표 "/>
      <sheetName val="비교缀"/>
      <sheetName val="화산경계"/>
      <sheetName val="문산방향-교대(A2)"/>
      <sheetName val="비교_x0005_"/>
      <sheetName val="지계"/>
      <sheetName val="입찰견적보고서"/>
      <sheetName val="단讬ᨪ԰"/>
      <sheetName val="물량 산출 통신 맨홀"/>
      <sheetName val="M1"/>
      <sheetName val="EACT10"/>
      <sheetName val="General Data"/>
      <sheetName val="맨홀공 수량집계표"/>
      <sheetName val="BOM"/>
      <sheetName val="Data Vol"/>
      <sheetName val="계화_x0005__x0000_"/>
      <sheetName val="계화髜_x0013_"/>
      <sheetName val="Code-&gt;No"/>
      <sheetName val="sc0314 Index"/>
      <sheetName val="EQUIP-H"/>
      <sheetName val=""/>
      <sheetName val="/_x0000_"/>
      <sheetName val="䀀⹛"/>
      <sheetName val="국내조달(통합-1)"/>
      <sheetName val="　ፙ"/>
      <sheetName val="Construction"/>
      <sheetName val="IO LIST"/>
      <sheetName val="Ⰰὖ"/>
      <sheetName val="전선 및 전선관"/>
      <sheetName val="문학간접"/>
      <sheetName val="2공구산출내역"/>
      <sheetName val="각종장비전압강하계산"/>
      <sheetName val="기자재비"/>
      <sheetName val="자재총집계"/>
      <sheetName val="토공정보"/>
      <sheetName val="PIPE"/>
      <sheetName val="기본"/>
      <sheetName val="사급자재총괄"/>
      <sheetName val="예산"/>
      <sheetName val="일위산출"/>
      <sheetName val="CAL."/>
      <sheetName val="SILICATE"/>
      <sheetName val="제잡비계산"/>
      <sheetName val="00하노임"/>
      <sheetName val="개별직종노임단가(2003.9)"/>
      <sheetName val="쵽_x0005__x0000_"/>
      <sheetName val="유도ֹ"/>
      <sheetName val="유도㔀"/>
      <sheetName val="TYPE-A"/>
      <sheetName val="견頀⢀_xdc00_"/>
      <sheetName val="UR2-Calculation"/>
      <sheetName val="개ᰀ"/>
      <sheetName val="구왤렀቟԰"/>
      <sheetName val="부하(성남)"/>
      <sheetName val="내역(자100%,노100%)기아화성UD동"/>
      <sheetName val="오산갈漰"/>
      <sheetName val="오산갈_x0005_"/>
      <sheetName val="기계내역서"/>
      <sheetName val="Motor Data"/>
      <sheetName val="일위대가(1)"/>
      <sheetName val="단가¬⽘"/>
      <sheetName val="내역_ver1.0"/>
      <sheetName val="설산_x0000__x0000_嬜"/>
      <sheetName val="설산嗸0丵"/>
      <sheetName val="설산岘_x001b_幌"/>
      <sheetName val="단가֬_x0000_"/>
      <sheetName val="연돌일위집계"/>
      <sheetName val="工완성공사율"/>
      <sheetName val="적용환율"/>
      <sheetName val="전도금청구서_(2)"/>
      <sheetName val="금전출납_"/>
      <sheetName val="식대_"/>
      <sheetName val="기성고조서(폐기물)_(2)"/>
      <sheetName val="Sheet3_(5)"/>
      <sheetName val="Sheet3_(6)"/>
      <sheetName val="Sheet1_(2)"/>
      <sheetName val="8_PILE__(돌출)"/>
      <sheetName val="11_자재단가"/>
      <sheetName val="내역서_"/>
      <sheetName val="준검_내역서"/>
      <sheetName val="화재_탐지_설비"/>
      <sheetName val="3BL공동구_수량"/>
      <sheetName val="Site_Expenses"/>
      <sheetName val="조도계산서_(도서)"/>
      <sheetName val="7_1유효폭"/>
      <sheetName val="32_銅기기초"/>
      <sheetName val="안전사尀"/>
      <sheetName val="안전사֬"/>
      <sheetName val="안전사ԯ"/>
      <sheetName val="안전사Ԁ"/>
      <sheetName val="전체"/>
      <sheetName val="연령현황"/>
      <sheetName val="실행철강矨_x001e_"/>
      <sheetName val="단위헾】"/>
      <sheetName val="S1"/>
      <sheetName val="sheets"/>
      <sheetName val="전등"/>
      <sheetName val="부대공헾】_x0005_"/>
      <sheetName val="계획세헾"/>
      <sheetName val="성토도수로현황"/>
      <sheetName val="단가址&quot;垌"/>
      <sheetName val="보렀቟԰"/>
      <sheetName val="자재집계표"/>
      <sheetName val="40총괄"/>
      <sheetName val="40집계"/>
      <sheetName val="수문일1"/>
      <sheetName val="전신환매︀ᇕ"/>
      <sheetName val="간접비"/>
      <sheetName val="1F"/>
      <sheetName val="공주-교대(A1)"/>
      <sheetName val="제조98"/>
      <sheetName val="7내역"/>
      <sheetName val="식재"/>
      <sheetName val="시설물"/>
      <sheetName val="식재출력용"/>
      <sheetName val="유지관리"/>
      <sheetName val="총 원가계산"/>
      <sheetName val="5지구단위"/>
      <sheetName val="대로근거"/>
      <sheetName val="계화㠀⡿"/>
      <sheetName val="ꠀ፺"/>
      <sheetName val="d_x0010_"/>
      <sheetName val="IMPEADENC_x0000__x0000_"/>
      <sheetName val="자탐수량산출서"/>
      <sheetName val="裁"/>
      <sheetName val="쏁"/>
      <sheetName val="怀"/>
      <sheetName val="쀀ፐ"/>
      <sheetName val="缀ᨎ"/>
      <sheetName val="TRE TABLE"/>
      <sheetName val="BASIC (2)"/>
      <sheetName val="#2_일위대가목록"/>
      <sheetName val="倀Ṙ"/>
      <sheetName val=" ㇆"/>
      <sheetName val="_x0000_㇇"/>
      <sheetName val="က_x0000_"/>
      <sheetName val="정보매체A동"/>
      <sheetName val="공사비예산서(토목분)"/>
      <sheetName val="SRC CLOUMN 설계"/>
      <sheetName val="96보완계획7.12"/>
      <sheetName val="산_x0005_"/>
      <sheetName val="남원(내)"/>
      <sheetName val="L형옹๿"/>
      <sheetName val="L형옹_x0005_"/>
      <sheetName val="봉방동근_x0005_"/>
      <sheetName val="L형옹尜"/>
      <sheetName val="일위대가㢸"/>
      <sheetName val="계摠"/>
      <sheetName val="Ⅴ-2.砀鹅瘂/"/>
      <sheetName val="Ⅴ-2.ᰀ፜搀፜"/>
      <sheetName val="J︀ᇕ԰"/>
      <sheetName val="수량산출서-2"/>
      <sheetName val="일석"/>
      <sheetName val="견적대비표"/>
      <sheetName val="노무비계"/>
      <sheetName val="MAT"/>
      <sheetName val="설계명세서丵〒_x0005__x0000_"/>
      <sheetName val="ꀀፐ"/>
      <sheetName val="치수표"/>
      <sheetName val="118.세금Ԉ_x0000_缀"/>
      <sheetName val="조달요청서"/>
      <sheetName val="노임변동률"/>
      <sheetName val="입헾】"/>
      <sheetName val="기계"/>
      <sheetName val="3) 클레임 반영시"/>
      <sheetName val="전체내역서"/>
      <sheetName val="입적헾"/>
      <sheetName val="토사(᐀ባ切"/>
      <sheetName val="토사(ꃈፐ"/>
      <sheetName val="JUCKEYK"/>
      <sheetName val="총괄내역԰"/>
      <sheetName val="J直԰_x0000_"/>
      <sheetName val="1_철주신_x0005_"/>
      <sheetName val="현장관리비๿〚_x0005_"/>
      <sheetName val="현장관리비_x0005__x0000_"/>
      <sheetName val="현장관리비헾】_x0005_"/>
      <sheetName val="1_철주신尜"/>
      <sheetName val="1_철주신徸"/>
      <sheetName val="개렀"/>
      <sheetName val="총괄내역렀"/>
      <sheetName val="총괄-1"/>
      <sheetName val="Mobilization"/>
      <sheetName val="Input Table"/>
      <sheetName val="unit_4"/>
      <sheetName val="TYPE-B_평균H"/>
      <sheetName val="35장주신설"/>
      <sheetName val="31_고"/>
      <sheetName val="일위대가_(목록)"/>
      <sheetName val="단면_(2)"/>
      <sheetName val="공종별_집계"/>
      <sheetName val="Explanation_for_Page_17"/>
      <sheetName val="06-BATCH_"/>
      <sheetName val="Customer_Databas"/>
      <sheetName val="토_적_표"/>
      <sheetName val="귀래_설계_공내역서"/>
      <sheetName val="2_예산냴역검토서"/>
      <sheetName val="Indirect_Cost"/>
      <sheetName val="플랜트_설치"/>
      <sheetName val="1_수인터널"/>
      <sheetName val="8_자재단가"/>
      <sheetName val="Ⅴ-2_공종별내역"/>
      <sheetName val="품질_및_특성_보정계수"/>
      <sheetName val="P_M_별"/>
      <sheetName val="IMP_(REACTOR)"/>
      <sheetName val="장비당단가_(1)"/>
      <sheetName val="2_대외공문"/>
      <sheetName val="_견적서"/>
      <sheetName val="Inquiry"/>
      <sheetName val="다이꾸"/>
      <sheetName val="A-11 Steel Str (2)"/>
      <sheetName val="IPL_SCHEDULE"/>
      <sheetName val="Material"/>
      <sheetName val="JOINT1"/>
      <sheetName val="공사입력"/>
      <sheetName val="설계산㔀቎԰"/>
      <sheetName val="11"/>
      <sheetName val="단0_x0000_"/>
      <sheetName val="단0_x0000_砀"/>
      <sheetName val="단堀᎟鰀"/>
      <sheetName val="설계산砊ⵍ堀"/>
      <sheetName val="설계산砷ⵍ쀀"/>
      <sheetName val="설계산硁ⵍꠀ"/>
      <sheetName val="설계산砊ⵍࠀ"/>
      <sheetName val="c.s"/>
      <sheetName val="투︀ᇕ԰"/>
      <sheetName val="Ⅴ-2.԰_x0000_缀_x0000__x0000_"/>
      <sheetName val="집수정단"/>
      <sheetName val="암거공"/>
      <sheetName val="전기︀ᇕ"/>
      <sheetName val="구왤집계徸"/>
      <sheetName val="명԰_x0000_"/>
      <sheetName val="설계가"/>
      <sheetName val="짬뽕최종2-2"/>
      <sheetName val="제품목록"/>
      <sheetName val="계丵"/>
      <sheetName val="8.자재_x0000__x0000_"/>
      <sheetName val="각형맨홀"/>
      <sheetName val="Parameter"/>
      <sheetName val="수량산출근窨"/>
      <sheetName val="6-3차"/>
      <sheetName val="MRS세부"/>
      <sheetName val="채권(하반기)"/>
      <sheetName val="CONTENTS"/>
      <sheetName val="쵽괄墌"/>
      <sheetName val="도급예산내역᐀ባ搀腳"/>
      <sheetName val="101동"/>
      <sheetName val="업무처리전"/>
      <sheetName val="맨홀토공수량"/>
      <sheetName val="96작생능"/>
      <sheetName val="부표총괄"/>
      <sheetName val="DPRKMHDT"/>
      <sheetName val="관경별우수관집계"/>
      <sheetName val="대차대조표"/>
      <sheetName val="손익계산서"/>
      <sheetName val="일위대가표-3"/>
      <sheetName val="0"/>
      <sheetName val="설계예시"/>
      <sheetName val="일반부하"/>
      <sheetName val="C &amp; G RH_x0000_"/>
      <sheetName val="가설_x0005__x0000_"/>
      <sheetName val="96수︀"/>
      <sheetName val="Mode¸"/>
      <sheetName val="Modex"/>
      <sheetName val="RAHME"/>
      <sheetName val="예산Mꠀ⹿"/>
      <sheetName val="예산Mᕙ렀"/>
      <sheetName val="예산Mԯ_x0000_缀"/>
      <sheetName val="예산MㅾⰀ"/>
      <sheetName val="예산M룇졟ԯ"/>
      <sheetName val="예산M㠀㑔렀"/>
      <sheetName val="예산M᠀㙖렀"/>
      <sheetName val="깨기"/>
      <sheetName val="사진대지"/>
      <sheetName val="공종"/>
      <sheetName val="총괄내역㔀"/>
      <sheetName val="1_철주신丵"/>
      <sheetName val="개㔀"/>
      <sheetName val="전기㔀቎԰_x0000_"/>
      <sheetName val="송중자재"/>
      <sheetName val="GI_x0010__x0000_"/>
      <sheetName val="1"/>
      <sheetName val="Facility Information"/>
      <sheetName val="General"/>
      <sheetName val="Instructions"/>
      <sheetName val="People"/>
      <sheetName val="Quality"/>
      <sheetName val="Risk"/>
      <sheetName val="Training"/>
      <sheetName val="Calcs"/>
      <sheetName val="Tot-sum"/>
      <sheetName val="HORI. VESSEL"/>
      <sheetName val="2.설계제원"/>
      <sheetName val="Manpower"/>
      <sheetName val="구왤집︀ᇕ"/>
      <sheetName val="1,2공구원가계산서"/>
      <sheetName val="1공구산출내역서"/>
      <sheetName val="단면炜_x0013_"/>
      <sheetName val="부Ç_x0000_Ԁ"/>
      <sheetName val="Ⅴ-2.缀ᨎ԰_x0000_缀"/>
      <sheetName val="일반맨԰_x0000_缀_x0000__x0000_"/>
      <sheetName val="비목군단가비교표"/>
      <sheetName val="분석"/>
      <sheetName val="유도0"/>
      <sheetName val="유도렀"/>
      <sheetName val="유도_x0000_"/>
      <sheetName val="오산갈׃"/>
      <sheetName val="Ⅴ-2.공종별0_x0000_"/>
      <sheetName val="안전쌎ᄅ0"/>
      <sheetName val="오산갈_x0010_"/>
      <sheetName val="FB25JN"/>
      <sheetName val="설계缀ᨪ԰_x0000_"/>
      <sheetName val="입〒"/>
      <sheetName val="9호관로"/>
      <sheetName val="사통"/>
      <sheetName val="신우"/>
      <sheetName val="과천MAIN"/>
      <sheetName val="경영상태"/>
      <sheetName val="예산M렀቟԰"/>
      <sheetName val="U-TYPE(15"/>
      <sheetName val="예산Mꠀᕗ䈀"/>
      <sheetName val="예산Mࠀ⩗䈀"/>
      <sheetName val="예산M䈀뉪ԯ"/>
      <sheetName val="예산M栀⡓䈀"/>
      <sheetName val="U-TYPE(1ø"/>
      <sheetName val="실행_x0005__x0000_"/>
      <sheetName val="건축원恽べ_x0000__x0000_"/>
      <sheetName val="건축원_x0000__x0000_Ἐ_x0000_"/>
      <sheetName val="건축원_x0000__x0000_혠_x0000_"/>
      <sheetName val="건축원_x0000__x0000_᫰_x0000_"/>
      <sheetName val="건축원懇⿔_x0000__x0000_"/>
      <sheetName val="총누怸"/>
      <sheetName val="총누_x0010_"/>
      <sheetName val="청제공기계일위대가"/>
      <sheetName val="내역서(total)"/>
      <sheetName val="118.세금丵⼞_x0005_"/>
      <sheetName val="수량산唈&amp;橂"/>
      <sheetName val="96수헾"/>
      <sheetName val="설계명세서က_x0000_ꠀ"/>
      <sheetName val="수목데이타"/>
      <sheetName val="배수贘_x0013_릠"/>
      <sheetName val="배수午_x0013_ᡐ"/>
      <sheetName val="옹벽"/>
      <sheetName val="AS복구"/>
      <sheetName val="중기터파기"/>
      <sheetName val="변수값"/>
      <sheetName val="중기상차"/>
      <sheetName val="증감내역서"/>
      <sheetName val="개쌈"/>
      <sheetName val="산徸"/>
      <sheetName val="FILE¸"/>
      <sheetName val="FILE_x0000_"/>
      <sheetName val="c._x0010_"/>
      <sheetName val="c.¨"/>
      <sheetName val="산_x0010_"/>
      <sheetName val="건԰_x0000_缀"/>
      <sheetName val="건ᰀ፜搀"/>
      <sheetName val="B부대공"/>
      <sheetName val="고려단가"/>
      <sheetName val="주경기-오배수"/>
      <sheetName val="공조생기"/>
      <sheetName val="철거수_x0000_"/>
      <sheetName val="수량산๿〚_x0005_"/>
      <sheetName val="비교硐"/>
      <sheetName val="계Ԁ "/>
      <sheetName val="구왤집계甌"/>
      <sheetName val="계0_x0000_砀"/>
      <sheetName val="96_x0005__x0000_"/>
      <sheetName val="9က_x0000_堀"/>
      <sheetName val="9က_x0000_倀"/>
      <sheetName val="9က_x0000_退"/>
      <sheetName val="118.세금과_x0000__x0000_"/>
      <sheetName val="9-1차이내역"/>
      <sheetName val="해평견적"/>
      <sheetName val="기본(98)"/>
      <sheetName val="J直材㥨"/>
      <sheetName val="J直材_x0010_"/>
      <sheetName val="견"/>
      <sheetName val="예산변︽ᇕ԰"/>
      <sheetName val="단가디비"/>
      <sheetName val="경비실"/>
      <sheetName val="RH-BEAM"/>
      <sheetName val="wall"/>
      <sheetName val="코鰀፰"/>
      <sheetName val="direct"/>
      <sheetName val="wage"/>
      <sheetName val="안᐀ባ혀"/>
      <sheetName val="부ﻇᇕ԰"/>
      <sheetName val="구왤_x0000__x0000_⯐"/>
      <sheetName val="입_x0005__x0000_"/>
      <sheetName val="우각부보강"/>
      <sheetName val="C1ㅇ"/>
      <sheetName val="crude.SLAB RE-bar"/>
      <sheetName val="품질 및 특성 쌞ᄅ0_x0000_"/>
      <sheetName val="별䠍"/>
      <sheetName val="월별자금계획"/>
      <sheetName val="총공사내역서"/>
      <sheetName val="총누_x0000_"/>
      <sheetName val="archi(본사)"/>
      <sheetName val="Macro2"/>
      <sheetName val="P.԰_x0000_缀"/>
      <sheetName val="광주광역시신청사"/>
      <sheetName val="문정동3차조합"/>
      <sheetName val="연세대국제대학원"/>
      <sheetName val="기안"/>
      <sheetName val="인건비 "/>
      <sheetName val="현장코드"/>
      <sheetName val="해외코드"/>
      <sheetName val="을부담운반헾"/>
      <sheetName val="연부97-1"/>
      <sheetName val="안ᰀ፜搀"/>
      <sheetName val="예산ᰀ፜搀"/>
      <sheetName val="안蠱⥐蠀"/>
      <sheetName val="안頴⥞ꠀ"/>
      <sheetName val="DATA (EPS)"/>
      <sheetName val="DATA (TRAY)"/>
      <sheetName val="부대시설-부하계산서"/>
      <sheetName val="물가대비표"/>
      <sheetName val="하도금액분계"/>
      <sheetName val="Ⅴ-2.︀ᇕ԰_x0000_缀"/>
      <sheetName val="guard(mac)"/>
      <sheetName val="2.입력"/>
      <sheetName val="䈀ᅪ"/>
      <sheetName val="직勨"/>
      <sheetName val="봉방_x0000__x0000_沰"/>
      <sheetName val="봉방䡲る_x0000_"/>
      <sheetName val="공사비내역서"/>
      <sheetName val="예산礊"/>
      <sheetName val="견적쌐똅"/>
      <sheetName val="ᰀЀࠀ܀ЀԀЀ؀̀"/>
      <sheetName val="진행 DATA (2)"/>
      <sheetName val="부안일위"/>
      <sheetName val="입사시직위"/>
      <sheetName val="전체실적"/>
      <sheetName val="물缀ᨎ"/>
      <sheetName val="계缀ᨎ԰"/>
      <sheetName val="도급예산내역서총괄_x0005_"/>
      <sheetName val="도급예산내역서총괄罸"/>
      <sheetName val="평당"/>
      <sheetName val="물량산출_x0005__x0000_"/>
      <sheetName val="건㔀቎԰"/>
      <sheetName val="DS-최_x0005_"/>
      <sheetName val="DS-최畠"/>
      <sheetName val="부대tu"/>
      <sheetName val="표지(도서)"/>
      <sheetName val="변압기용량"/>
      <sheetName val="발전기"/>
      <sheetName val="발전기부하"/>
      <sheetName val="축전지"/>
      <sheetName val="전압조건(도서)"/>
      <sheetName val="전압(도서)"/>
      <sheetName val="부하조건(도서)"/>
      <sheetName val="조도계산서 _도서_"/>
      <sheetName val="하수실행"/>
      <sheetName val="현황산출서"/>
      <sheetName val="산#3-1"/>
      <sheetName val="단가산출집계"/>
      <sheetName val="별표 "/>
      <sheetName val="외자배분"/>
      <sheetName val="자재테이블"/>
      <sheetName val="조인트"/>
      <sheetName val="ASP"/>
      <sheetName val="운영및유지보수"/>
      <sheetName val="총사업비명세"/>
      <sheetName val="DSRA"/>
      <sheetName val="재원조달계획"/>
      <sheetName val="유지관리비외"/>
      <sheetName val="부채상환계획"/>
      <sheetName val="찍기"/>
      <sheetName val="확약서"/>
      <sheetName val="설계명세서(怀፵"/>
      <sheetName val="부대공ԯ_x0000_缀"/>
      <sheetName val="설계명세서(԰_x0000_缀"/>
      <sheetName val="총누᠀"/>
      <sheetName val="부대᐀፣"/>
      <sheetName val="기계경縸"/>
      <sheetName val="유도"/>
      <sheetName val="오산갈_x0000_"/>
      <sheetName val="오산갈헾"/>
      <sheetName val="Ⅴ-2.က_x0000_⠀밴쌏"/>
      <sheetName val="설계산출기Ç"/>
      <sheetName val="오산갈壸"/>
      <sheetName val="오산갈嬨"/>
      <sheetName val="오산갈蔈"/>
      <sheetName val="䀀"/>
      <sheetName val="ꠀ蘒"/>
      <sheetName val="안전Ç_x0000_ꠀ"/>
      <sheetName val="안전Ç_x0000_"/>
      <sheetName val="유도栀"/>
      <sheetName val="BID9697"/>
      <sheetName val="배수공Ô澾"/>
      <sheetName val="설비운영"/>
      <sheetName val="Macro(전선)"/>
      <sheetName val="입丵⼳"/>
      <sheetName val="입啨/"/>
      <sheetName val="운반비정산"/>
      <sheetName val="정산"/>
      <sheetName val="E01-02(EV-1-LBS)"/>
      <sheetName val="E총15"/>
      <sheetName val="설계서을"/>
      <sheetName val="DATA-UPS"/>
      <sheetName val="물량내역"/>
      <sheetName val="member design"/>
      <sheetName val="soil bearing check"/>
      <sheetName val="안_x0000__x0000__x0005_"/>
      <sheetName val="지표"/>
      <sheetName val="설산1⥸"/>
      <sheetName val="설산1⠀ᡶ"/>
      <sheetName val="설산1찀᎔"/>
      <sheetName val="설산1倀⮓"/>
      <sheetName val="설산1저ᱵ"/>
      <sheetName val="설산1Ⰰ⊎"/>
      <sheetName val="설산1蠀⍶"/>
      <sheetName val="설산1ࠀṴ"/>
      <sheetName val="설산1ᵈ"/>
      <sheetName val="부재泬#洴"/>
      <sheetName val="설산1⍬"/>
      <sheetName val="부재_x0005__x0000_"/>
      <sheetName val="설산1_xdc00_ㅭ"/>
      <sheetName val="설산1谀❳"/>
      <sheetName val="설산1氀ᥰ"/>
      <sheetName val="설계명세서韈.헾⿓"/>
      <sheetName val="부재韈.헾"/>
      <sheetName val="설산1䠀ⅷ"/>
      <sheetName val="유_x0010__x0000_"/>
      <sheetName val="단위਀魉"/>
      <sheetName val="원가서"/>
      <sheetName val="입적橂"/>
      <sheetName val="조직"/>
      <sheetName val="MEMBER"/>
      <sheetName val="기본DATA"/>
      <sheetName val="목창호"/>
      <sheetName val="금액"/>
      <sheetName val="경영혁신본부"/>
      <sheetName val="BOJUNGGM"/>
      <sheetName val="Input Names"/>
      <sheetName val="주요항목별"/>
      <sheetName val="뚝토공"/>
      <sheetName val="산헾"/>
      <sheetName val="별鰀"/>
      <sheetName val="오산갈橂"/>
      <sheetName val="직_x0005_"/>
      <sheetName val="HRSG SMALL07220"/>
      <sheetName val="품셈"/>
      <sheetName val="구왤집䈀ᑪ"/>
      <sheetName val="118.세금劈,橂"/>
      <sheetName val="특수선일위대가"/>
      <sheetName val="예산爋ⱈ0"/>
      <sheetName val="안전壠6"/>
      <sheetName val="목차 "/>
      <sheetName val="입缀蜎"/>
      <sheetName val="입 ⭷"/>
      <sheetName val="입倀᩵"/>
      <sheetName val="수지표"/>
      <sheetName val="셀명"/>
      <sheetName val="1.수인터翇"/>
      <sheetName val="구왤집Ⰰ⭸"/>
      <sheetName val="계԰_x0000_缀"/>
      <sheetName val="공종분尜"/>
      <sheetName val="차량한계11M (2)"/>
      <sheetName val="기초부재력검토"/>
      <sheetName val="전기일ԯ_x0000_缀"/>
      <sheetName val="공종분徸"/>
      <sheetName val="95WBS"/>
      <sheetName val="국공유지및԰_x0000_缀"/>
      <sheetName val="대치판정"/>
      <sheetName val="Proposa_x0005_"/>
      <sheetName val="비교尜"/>
      <sheetName val="원가계산 (2)"/>
      <sheetName val="방음벽 기초 尜_x0013_層_x0013_"/>
      <sheetName val="계화배尜"/>
      <sheetName val="154TW"/>
      <sheetName val="공사원가계산㔀"/>
      <sheetName val="㗇቎"/>
      <sheetName val="방음벽 기초 丵〒_x0005__x0000_"/>
      <sheetName val="노무"/>
      <sheetName val="안㔀቎԰"/>
      <sheetName val="ᰀ፜"/>
      <sheetName val="KSTAR-M"/>
      <sheetName val="조도계산"/>
      <sheetName val="118.세금과丵〒"/>
      <sheetName val="경상비내역서"/>
      <sheetName val="명단"/>
      <sheetName val="계장ANAL"/>
      <sheetName val="말뚝지㰀᎕萀᎕"/>
      <sheetName val="철거丵〒"/>
      <sheetName val="설산1ꠀᑶ"/>
      <sheetName val="설산1ꠀᡳ"/>
      <sheetName val="설산1⠀ᙵ"/>
      <sheetName val="설산1⠀❴"/>
      <sheetName val="설산1ԯ_x0000_"/>
      <sheetName val="설산1저⺗"/>
      <sheetName val="설산1렀⑙"/>
      <sheetName val="계墨"/>
      <sheetName val="계橂"/>
      <sheetName val="계唸"/>
      <sheetName val="계_x0005_"/>
      <sheetName val="계勠"/>
      <sheetName val="도급대԰"/>
      <sheetName val="4.2유효폭의 계산"/>
      <sheetName val="가로등기초"/>
      <sheetName val="쌌ᄅ"/>
      <sheetName val="계획세_x0010_"/>
      <sheetName val="계획세׃"/>
      <sheetName val="설산1䈀潪"/>
      <sheetName val="설산1_x0000_艭"/>
      <sheetName val="지장물C"/>
      <sheetName val="배수관헾"/>
      <sheetName val="장비분석"/>
      <sheetName val="ITB COST"/>
      <sheetName val="케이블"/>
      <sheetName val="노임단가(0.3)"/>
      <sheetName val="콘크리트 블록 유형별 수량"/>
      <sheetName val="도"/>
      <sheetName val="내력서"/>
      <sheetName val="spec1"/>
      <sheetName val="단가표 (2)"/>
      <sheetName val="단가대비"/>
      <sheetName val="壓降計算基本資料"/>
      <sheetName val="견적접수"/>
      <sheetName val="견적내역서"/>
      <sheetName val="비대칭ׇ_x0000_"/>
      <sheetName val="#3E1_GCR"/>
      <sheetName val="공사원가계산헾"/>
      <sheetName val="공사원가계산丵"/>
      <sheetName val="중로근거"/>
      <sheetName val="ITEMLIST990101"/>
      <sheetName val="일반맨홀鲕ԯ_x0000_"/>
      <sheetName val=""/>
      <sheetName val="산丵"/>
      <sheetName val="산揄"/>
      <sheetName val="비대ⴀ癆顶"/>
      <sheetName val="단위傡"/>
      <sheetName val="단위_x0000__x0000_"/>
      <sheetName val="단위䈳牪"/>
      <sheetName val="단위䈳奪"/>
      <sheetName val="지질조사"/>
      <sheetName val="역T형"/>
      <sheetName val="부재치수입력"/>
      <sheetName val="봉방동근︀"/>
      <sheetName val="견적업체"/>
      <sheetName val="단위竀7"/>
      <sheetName val="비대_x0001__x0000_䀀"/>
      <sheetName val="비대ﴀ汅恵"/>
      <sheetName val="적용률"/>
      <sheetName val="장비당단가֬_x0000_缀_x0000_"/>
      <sheetName val="DS적용내역서"/>
      <sheetName val="DATE2001"/>
      <sheetName val="평가데이터"/>
      <sheetName val="일위집계표"/>
      <sheetName val="항목별蠀᝙㔀"/>
      <sheetName val="항목별㔀艎ԯ"/>
      <sheetName val="항목별ㅊ䈀"/>
      <sheetName val="항목별䈀Ꝫԯ"/>
      <sheetName val="설산㔀቎԰"/>
      <sheetName val="Ⅴ-2.︀ԯ_x0000_缀"/>
      <sheetName val="부대僰_x0013_"/>
      <sheetName val="토사(僰_x0013_闰"/>
      <sheetName val="7단가"/>
      <sheetName val="총누헾"/>
      <sheetName val="총누荈"/>
      <sheetName val="현장관리비참조"/>
      <sheetName val="M-EQPT-Z"/>
      <sheetName val="명_x0005__x0000_"/>
      <sheetName val="환율"/>
      <sheetName val="예산변ﻔᇕ԰"/>
      <sheetName val=" 閍"/>
      <sheetName val="토적표"/>
      <sheetName val="계양가시설"/>
      <sheetName val="노무자도장2"/>
      <sheetName val="EE-PROP"/>
      <sheetName val="횡배수관"/>
      <sheetName val="전체_x0005__x0000_"/>
      <sheetName val="전체헾⼝_x0005_"/>
      <sheetName val="조경일람"/>
      <sheetName val="부대廠_x0013_"/>
      <sheetName val="FRT_O"/>
      <sheetName val="부대浜_x0015_"/>
      <sheetName val="골재헾】"/>
      <sheetName val=" 견徸〒"/>
      <sheetName val=" 견헾】"/>
      <sheetName val=" 견丵〒"/>
      <sheetName val="운반헾】_x0005_"/>
      <sheetName val="8월현금흐름표"/>
      <sheetName val="Ⅴ-2.공尜_x0013_層_x0013_"/>
      <sheetName val="Ⅴ-2.공徸〒_x0005__x0000_"/>
      <sheetName val="미지급이자(분쟁대상)"/>
      <sheetName val="JUYO"/>
      <sheetName val="오산԰"/>
      <sheetName val="오산缀"/>
      <sheetName val="오산缀_xdf0e_"/>
      <sheetName val="오산"/>
      <sheetName val="오산뀀⵺"/>
      <sheetName val="오산缀뤎"/>
      <sheetName val="오산　"/>
      <sheetName val="오산뭇"/>
      <sheetName val="감가상각"/>
      <sheetName val="B76_x0005_"/>
      <sheetName val="산怀"/>
      <sheetName val="B76_x001c_"/>
      <sheetName val="물ᘀ᨜"/>
      <sheetName val="오산ꈀ"/>
      <sheetName val="오산Ⰰⵕ"/>
      <sheetName val="XL4Poppy"/>
      <sheetName val="도로구조공사비"/>
      <sheetName val="도로토공공사비"/>
      <sheetName val="여수토공사비"/>
      <sheetName val="Ⅴ-2.공종별_x0005__x0000_"/>
      <sheetName val="계화배׃"/>
      <sheetName val="광속"/>
      <sheetName val="Macro(전등)"/>
      <sheetName val="FAB_I"/>
      <sheetName val="5.정산서"/>
      <sheetName val="설계밇譤0_x0000_"/>
      <sheetName val="호표산출내역"/>
      <sheetName val="국공유԰_x0000_缀_x0000__x0000_"/>
      <sheetName val="MFAB"/>
      <sheetName val="MFRT"/>
      <sheetName val="MPKG"/>
      <sheetName val="MPRD"/>
      <sheetName val="부대헾】"/>
      <sheetName val="배수공炕"/>
      <sheetName val="사업부배부A"/>
      <sheetName val="보차도경계석수량"/>
      <sheetName val="I一般比"/>
      <sheetName val="일위대가(계측_x0005__x0000__x0000_"/>
      <sheetName val="일위대가(계측垀*闰⼯"/>
      <sheetName val="일위대가(계측闰⽌_x0005__x0000_"/>
      <sheetName val="일위대가(계측埬_x0012_場_x0012_"/>
      <sheetName val="일위대가(계측徸⿚_x0005__x0000_"/>
      <sheetName val="우석문틀"/>
      <sheetName val="118.세금과공簀"/>
      <sheetName val="118.세금과공缀"/>
      <sheetName val="118.세금과공ꠀ"/>
      <sheetName val="기계경비일람"/>
      <sheetName val="안전사堀"/>
      <sheetName val="MEXICO-C"/>
      <sheetName val="쵽괄_x0005_"/>
      <sheetName val="2선재"/>
      <sheetName val="작성방법"/>
      <sheetName val="SLAB&quot;1&quot;"/>
      <sheetName val="토목공사"/>
      <sheetName val="1_철주신圠"/>
      <sheetName val="8.자재단가비교표"/>
      <sheetName val="5.수량집계"/>
      <sheetName val="3.일위대가표"/>
      <sheetName val="언어보정"/>
      <sheetName val="품질보정"/>
      <sheetName val="날개벽수량표"/>
      <sheetName val="점공통경비배부"/>
      <sheetName val="STRUCTURAL STEEL"/>
      <sheetName val="개0"/>
      <sheetName val="검사현황"/>
      <sheetName val="5월"/>
      <sheetName val="근태"/>
      <sheetName val="하중계산"/>
      <sheetName val="TIE-IN"/>
      <sheetName val="Architecture Work"/>
      <sheetName val="견적990322"/>
      <sheetName val="전체도급"/>
      <sheetName val="SUMMARY(S)"/>
      <sheetName val="䠾㥿"/>
      <sheetName val="48일위"/>
      <sheetName val="22일위"/>
      <sheetName val="49일위"/>
      <sheetName val="BKDN"/>
      <sheetName val="D-3109"/>
      <sheetName val="비용"/>
      <sheetName val="물량산출ᣇẞ"/>
      <sheetName val="관尜_x0013_"/>
      <sheetName val="6공구_x0005__x0000_"/>
      <sheetName val="오산쀀♖"/>
      <sheetName val="9ԯ_x0000_缀"/>
      <sheetName val="오산ᰀ፜"/>
      <sheetName val="9ᰀ፜搀"/>
      <sheetName val="을헾"/>
      <sheetName val="미드수량"/>
      <sheetName val="[DS-LOAD.XLS]안/_x0000_ "/>
      <sheetName val="계정"/>
      <sheetName val="도급예산내역서ᰖ〚_x0005_"/>
      <sheetName val="[DS-LOAD.XLS][DS-LOAD.XLS]안/_x0000_ "/>
      <sheetName val="3_2_집기비품교체주기"/>
      <sheetName val="Variables"/>
      <sheetName val="FPA"/>
      <sheetName val="순수개발"/>
      <sheetName val="Pivot by Function"/>
      <sheetName val="Pivot by Month"/>
      <sheetName val="Status REF"/>
      <sheetName val="LR1 Input"/>
      <sheetName val="LR2 Master Data"/>
      <sheetName val="LR2 Input"/>
      <sheetName val="Key Assumptions"/>
      <sheetName val="Estimate"/>
      <sheetName val="Table_data"/>
    </sheetNames>
    <sheetDataSet>
      <sheetData sheetId="0">
        <row r="61">
          <cell r="B61">
            <v>2.5</v>
          </cell>
        </row>
      </sheetData>
      <sheetData sheetId="1">
        <row r="61">
          <cell r="B61">
            <v>2.5</v>
          </cell>
        </row>
      </sheetData>
      <sheetData sheetId="2">
        <row r="61">
          <cell r="B61">
            <v>2.5</v>
          </cell>
        </row>
      </sheetData>
      <sheetData sheetId="3">
        <row r="61">
          <cell r="B61">
            <v>2.5</v>
          </cell>
        </row>
      </sheetData>
      <sheetData sheetId="4">
        <row r="61">
          <cell r="B61">
            <v>2.5</v>
          </cell>
        </row>
      </sheetData>
      <sheetData sheetId="5">
        <row r="61">
          <cell r="B61">
            <v>2.5</v>
          </cell>
        </row>
      </sheetData>
      <sheetData sheetId="6">
        <row r="61">
          <cell r="B61">
            <v>2.5</v>
          </cell>
        </row>
      </sheetData>
      <sheetData sheetId="7">
        <row r="61">
          <cell r="B61">
            <v>2.5</v>
          </cell>
        </row>
      </sheetData>
      <sheetData sheetId="8">
        <row r="61">
          <cell r="B61">
            <v>2.5</v>
          </cell>
        </row>
      </sheetData>
      <sheetData sheetId="9">
        <row r="61">
          <cell r="B61">
            <v>2.5</v>
          </cell>
        </row>
      </sheetData>
      <sheetData sheetId="10">
        <row r="61">
          <cell r="B61">
            <v>2.5</v>
          </cell>
        </row>
      </sheetData>
      <sheetData sheetId="11">
        <row r="61">
          <cell r="B61">
            <v>2.5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61">
          <cell r="B61" t="str">
            <v>BC 1.6m</v>
          </cell>
        </row>
      </sheetData>
      <sheetData sheetId="22">
        <row r="61">
          <cell r="B61" t="str">
            <v>BC 1.6m</v>
          </cell>
        </row>
      </sheetData>
      <sheetData sheetId="23">
        <row r="61">
          <cell r="B61" t="str">
            <v>BC 1.6m</v>
          </cell>
        </row>
      </sheetData>
      <sheetData sheetId="24">
        <row r="61">
          <cell r="B61" t="str">
            <v>BC 1.6m</v>
          </cell>
        </row>
      </sheetData>
      <sheetData sheetId="25">
        <row r="61">
          <cell r="B61" t="str">
            <v>BC 1.6m</v>
          </cell>
        </row>
      </sheetData>
      <sheetData sheetId="26">
        <row r="61">
          <cell r="B61" t="str">
            <v>BC 1.6m</v>
          </cell>
        </row>
      </sheetData>
      <sheetData sheetId="27">
        <row r="61">
          <cell r="B61" t="str">
            <v>BC 1.6m</v>
          </cell>
        </row>
      </sheetData>
      <sheetData sheetId="28">
        <row r="61">
          <cell r="B61" t="str">
            <v>BC 1.6m</v>
          </cell>
        </row>
      </sheetData>
      <sheetData sheetId="29">
        <row r="61">
          <cell r="B61" t="str">
            <v>BC 1.6m</v>
          </cell>
        </row>
      </sheetData>
      <sheetData sheetId="30">
        <row r="61">
          <cell r="B61" t="str">
            <v>BC 1.6m</v>
          </cell>
        </row>
      </sheetData>
      <sheetData sheetId="31">
        <row r="61">
          <cell r="B61" t="str">
            <v>BC 1.6m</v>
          </cell>
        </row>
      </sheetData>
      <sheetData sheetId="32">
        <row r="61">
          <cell r="B61" t="str">
            <v>BC 1.6m</v>
          </cell>
        </row>
      </sheetData>
      <sheetData sheetId="33">
        <row r="61">
          <cell r="B61" t="str">
            <v>BC 1.6m</v>
          </cell>
        </row>
      </sheetData>
      <sheetData sheetId="34">
        <row r="61">
          <cell r="B61" t="str">
            <v>BC 1.6m</v>
          </cell>
        </row>
      </sheetData>
      <sheetData sheetId="35">
        <row r="61">
          <cell r="B61" t="str">
            <v>BC 1.6m</v>
          </cell>
        </row>
      </sheetData>
      <sheetData sheetId="36">
        <row r="61">
          <cell r="B61" t="str">
            <v>BC 1.6m</v>
          </cell>
        </row>
      </sheetData>
      <sheetData sheetId="37">
        <row r="61">
          <cell r="B61" t="str">
            <v>BC 1.6m</v>
          </cell>
        </row>
      </sheetData>
      <sheetData sheetId="38">
        <row r="61">
          <cell r="B61" t="str">
            <v>BC 1.6m</v>
          </cell>
        </row>
      </sheetData>
      <sheetData sheetId="39">
        <row r="61">
          <cell r="B61" t="str">
            <v>BC 1.6m</v>
          </cell>
        </row>
      </sheetData>
      <sheetData sheetId="40">
        <row r="61">
          <cell r="B61" t="str">
            <v>BC 1.6m</v>
          </cell>
        </row>
      </sheetData>
      <sheetData sheetId="41">
        <row r="61">
          <cell r="B61" t="str">
            <v>BC 1.6m</v>
          </cell>
        </row>
      </sheetData>
      <sheetData sheetId="42">
        <row r="61">
          <cell r="B61" t="str">
            <v>BC 1.6m</v>
          </cell>
        </row>
      </sheetData>
      <sheetData sheetId="43">
        <row r="61">
          <cell r="B61" t="str">
            <v>BC 1.6m</v>
          </cell>
        </row>
      </sheetData>
      <sheetData sheetId="44">
        <row r="61">
          <cell r="B61" t="str">
            <v>BC 1.6m</v>
          </cell>
        </row>
      </sheetData>
      <sheetData sheetId="45">
        <row r="61">
          <cell r="B61" t="str">
            <v>BC 1.6m</v>
          </cell>
        </row>
      </sheetData>
      <sheetData sheetId="46">
        <row r="61">
          <cell r="B61" t="str">
            <v>BC 1.6m</v>
          </cell>
        </row>
      </sheetData>
      <sheetData sheetId="47">
        <row r="61">
          <cell r="B61" t="str">
            <v>BC 1.6m</v>
          </cell>
        </row>
      </sheetData>
      <sheetData sheetId="48">
        <row r="61">
          <cell r="B61" t="str">
            <v>BC 1.6m</v>
          </cell>
        </row>
      </sheetData>
      <sheetData sheetId="49">
        <row r="61">
          <cell r="B61" t="str">
            <v>BC 1.6m</v>
          </cell>
        </row>
      </sheetData>
      <sheetData sheetId="50">
        <row r="61">
          <cell r="B61" t="str">
            <v>BC 1.6m</v>
          </cell>
        </row>
      </sheetData>
      <sheetData sheetId="51">
        <row r="61">
          <cell r="B61" t="str">
            <v>BC 1.6m</v>
          </cell>
        </row>
      </sheetData>
      <sheetData sheetId="52">
        <row r="61">
          <cell r="B61" t="str">
            <v>BC 1.6m</v>
          </cell>
        </row>
      </sheetData>
      <sheetData sheetId="53">
        <row r="61">
          <cell r="B61" t="str">
            <v>BC 1.6m</v>
          </cell>
        </row>
      </sheetData>
      <sheetData sheetId="54">
        <row r="61">
          <cell r="B61" t="str">
            <v>BC 1.6m</v>
          </cell>
        </row>
      </sheetData>
      <sheetData sheetId="55">
        <row r="61">
          <cell r="B61" t="str">
            <v>BC 1.6m</v>
          </cell>
        </row>
      </sheetData>
      <sheetData sheetId="56">
        <row r="61">
          <cell r="B61" t="str">
            <v>BC 1.6m</v>
          </cell>
        </row>
      </sheetData>
      <sheetData sheetId="57">
        <row r="61">
          <cell r="B61" t="str">
            <v>BC 1.6m</v>
          </cell>
        </row>
      </sheetData>
      <sheetData sheetId="58">
        <row r="61">
          <cell r="B61" t="str">
            <v>BC 1.6m</v>
          </cell>
        </row>
      </sheetData>
      <sheetData sheetId="59">
        <row r="61">
          <cell r="B61" t="str">
            <v>BC 1.6m</v>
          </cell>
        </row>
      </sheetData>
      <sheetData sheetId="60">
        <row r="61">
          <cell r="B61" t="str">
            <v>BC 1.6m</v>
          </cell>
        </row>
      </sheetData>
      <sheetData sheetId="61">
        <row r="61">
          <cell r="B61" t="str">
            <v>BC 1.6m</v>
          </cell>
        </row>
      </sheetData>
      <sheetData sheetId="62">
        <row r="61">
          <cell r="B61" t="str">
            <v>BC 1.6m</v>
          </cell>
        </row>
      </sheetData>
      <sheetData sheetId="63">
        <row r="61">
          <cell r="B61" t="str">
            <v>BC 1.6m</v>
          </cell>
        </row>
      </sheetData>
      <sheetData sheetId="64">
        <row r="61">
          <cell r="B61" t="str">
            <v>BC 1.6m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61">
          <cell r="B61" t="str">
            <v>BC 1.6m</v>
          </cell>
        </row>
      </sheetData>
      <sheetData sheetId="112" refreshError="1"/>
      <sheetData sheetId="113">
        <row r="61">
          <cell r="B61" t="str">
            <v>BC 1.6m</v>
          </cell>
        </row>
      </sheetData>
      <sheetData sheetId="114">
        <row r="61">
          <cell r="B61" t="str">
            <v>BC 1.6m</v>
          </cell>
        </row>
      </sheetData>
      <sheetData sheetId="115">
        <row r="61">
          <cell r="B61" t="str">
            <v>BC 1.6m</v>
          </cell>
        </row>
      </sheetData>
      <sheetData sheetId="116">
        <row r="61">
          <cell r="B61" t="str">
            <v>BC 1.6m</v>
          </cell>
        </row>
      </sheetData>
      <sheetData sheetId="117">
        <row r="61">
          <cell r="B61" t="str">
            <v>BC 1.6m</v>
          </cell>
        </row>
      </sheetData>
      <sheetData sheetId="118">
        <row r="61">
          <cell r="B61" t="str">
            <v>BC 1.6m</v>
          </cell>
        </row>
      </sheetData>
      <sheetData sheetId="119">
        <row r="61">
          <cell r="B61" t="str">
            <v>BC 1.6m</v>
          </cell>
        </row>
      </sheetData>
      <sheetData sheetId="120" refreshError="1"/>
      <sheetData sheetId="121" refreshError="1"/>
      <sheetData sheetId="122">
        <row r="61">
          <cell r="B61" t="str">
            <v>BC 1.6m</v>
          </cell>
        </row>
      </sheetData>
      <sheetData sheetId="123">
        <row r="61">
          <cell r="B61" t="str">
            <v>BC 1.6m</v>
          </cell>
        </row>
      </sheetData>
      <sheetData sheetId="124">
        <row r="61">
          <cell r="B61" t="str">
            <v>BC 1.6m</v>
          </cell>
        </row>
      </sheetData>
      <sheetData sheetId="125">
        <row r="61">
          <cell r="B61" t="str">
            <v>BC 1.6m</v>
          </cell>
        </row>
      </sheetData>
      <sheetData sheetId="126">
        <row r="61">
          <cell r="B61" t="str">
            <v>BC 1.6m</v>
          </cell>
        </row>
      </sheetData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 refreshError="1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인원계획_미화"/>
      <sheetName val="노무비"/>
      <sheetName val="001"/>
      <sheetName val="Assumptions"/>
      <sheetName val="재무가정"/>
      <sheetName val="Initial Input Variable"/>
      <sheetName val="Instructions"/>
      <sheetName val="일위대가목차"/>
      <sheetName val="S&amp;R"/>
      <sheetName val="MOTOR"/>
      <sheetName val="ASP"/>
      <sheetName val="공사개요"/>
      <sheetName val="Customer Databas"/>
      <sheetName val="익월작업계힉"/>
      <sheetName val="Template"/>
      <sheetName val="2004SS"/>
      <sheetName val="2004CJ"/>
      <sheetName val="내역"/>
      <sheetName val="1 Cash Flow Analysis"/>
      <sheetName val="조직및_인원계획"/>
      <sheetName val="견적내역-미화_(2)"/>
      <sheetName val="견적내역-보안_(2)"/>
      <sheetName val="Initial_Input_Variable"/>
      <sheetName val="Customer_Databas"/>
      <sheetName val="Budget 2005(DW)"/>
      <sheetName val="Area"/>
      <sheetName val="로담코총괄제안견적3"/>
      <sheetName val="Summary"/>
      <sheetName val="Id"/>
      <sheetName val="2. Summary-cash"/>
      <sheetName val="98년매출액및매출원가"/>
      <sheetName val="손익계산서(가로)"/>
      <sheetName val="견적과실행예산"/>
      <sheetName val="GenLedger BalSht"/>
      <sheetName val="차액보증"/>
      <sheetName val="0.1keyAssumption"/>
      <sheetName val="0.0ControlSheet"/>
      <sheetName val="Intro2"/>
      <sheetName val="A-4"/>
      <sheetName val="เงินกู้ MGC"/>
      <sheetName val="เงินกู้ธนชาติ"/>
      <sheetName val="Trial Balance"/>
      <sheetName val="공통"/>
      <sheetName val="상가매매0115"/>
      <sheetName val="상가임대0115"/>
      <sheetName val="Sens&amp;Anal"/>
      <sheetName val="ROE(FI)"/>
      <sheetName val="총투자비산정"/>
      <sheetName val="정부노임단가"/>
      <sheetName val="XL4Poppy"/>
      <sheetName val="품의서"/>
      <sheetName val="Journal"/>
      <sheetName val="1.0"/>
      <sheetName val="2월"/>
      <sheetName val="99판매상세"/>
      <sheetName val="nr030112"/>
      <sheetName val="제품수불"/>
      <sheetName val="F"/>
      <sheetName val="Table"/>
      <sheetName val="소비자가"/>
      <sheetName val="Sheet1"/>
      <sheetName val="2 Harajuku Jimusho"/>
      <sheetName val="BS"/>
      <sheetName val="***********************00"/>
      <sheetName val="회사정보"/>
      <sheetName val="UW_A"/>
      <sheetName val="일위대가목록"/>
      <sheetName val="인건비"/>
      <sheetName val=" 견적서"/>
      <sheetName val="FX Rates"/>
      <sheetName val="Assumption"/>
      <sheetName val="Development"/>
      <sheetName val="Office only Letup"/>
      <sheetName val="품목명"/>
      <sheetName val="조직및_인원계획1"/>
      <sheetName val="견적내역-미화_(2)1"/>
      <sheetName val="견적내역-보안_(2)1"/>
      <sheetName val="Customer_Databas1"/>
      <sheetName val="Initial_Input_Variable1"/>
      <sheetName val="1_Cash_Flow_Analysis"/>
      <sheetName val="Budget_2005(DW)"/>
      <sheetName val="2__Summary-cash"/>
      <sheetName val="VL"/>
      <sheetName val="TEL"/>
      <sheetName val="Tenants"/>
      <sheetName val="전선 및 전선관"/>
      <sheetName val="GenLedger_BalSht"/>
      <sheetName val="0_1keyAssumption"/>
      <sheetName val="0_0ControlSheet"/>
      <sheetName val="เงินกู้_MGC"/>
      <sheetName val="Trial_Balance"/>
      <sheetName val="1_0"/>
      <sheetName val="2_Harajuku_Jimusho"/>
      <sheetName val="_견적서"/>
      <sheetName val="FX_Rates"/>
      <sheetName val="내역서"/>
      <sheetName val="anaysis_sheet"/>
      <sheetName val="argl(1)"/>
      <sheetName val="시설총괄"/>
      <sheetName val="Assumptions "/>
      <sheetName val="관람석제출"/>
      <sheetName val="연구인원내역"/>
      <sheetName val="Collateral"/>
      <sheetName val="받을어음"/>
      <sheetName val="현장"/>
      <sheetName val="상품입고집계"/>
      <sheetName val="データ"/>
      <sheetName val="시나리오"/>
      <sheetName val="토지가격산출기초"/>
      <sheetName val="공시지가"/>
      <sheetName val="Data Sheet"/>
      <sheetName val="Valuation"/>
      <sheetName val="갑지"/>
      <sheetName val="기본가정 및 요약"/>
      <sheetName val="2005년 예산"/>
      <sheetName val="연간수입추정(요약)"/>
      <sheetName val="수입 추정(임대료)"/>
      <sheetName val="수입 추정(관리비)"/>
      <sheetName val="수입 추정(보증금)"/>
      <sheetName val="월별 Rentroll"/>
      <sheetName val="2004년 실제 수입"/>
      <sheetName val="자본적 지출"/>
      <sheetName val="빌딩리스트"/>
      <sheetName val="빌딩경영보고서"/>
      <sheetName val="리츠"/>
      <sheetName val="예산(한화)"/>
      <sheetName val="Front Cover"/>
      <sheetName val="Front_Cover"/>
      <sheetName val="시설장비"/>
      <sheetName val="지분법(AK) (2)"/>
      <sheetName val="한일자야(감액손실) (2)"/>
      <sheetName val="부관맨홀조서"/>
      <sheetName val="대차대조표"/>
      <sheetName val="2공구산출내역"/>
      <sheetName val="Data&amp;Result"/>
      <sheetName val="현금"/>
      <sheetName val="リスト"/>
      <sheetName val="98지급계획"/>
      <sheetName val="현금흐름Ⅰ"/>
      <sheetName val="총무팀"/>
      <sheetName val="마포-임현"/>
      <sheetName val="전체손익"/>
      <sheetName val="LIST"/>
      <sheetName val="管理見積(ｶﾅｻﾞﾜ)"/>
      <sheetName val="지급어음(일별)"/>
      <sheetName val="요율"/>
      <sheetName val="기준정보"/>
      <sheetName val="목록"/>
      <sheetName val="중기"/>
      <sheetName val="1ST"/>
      <sheetName val="controll"/>
      <sheetName val="가격표"/>
      <sheetName val="VA요약(가정 및 배당)"/>
      <sheetName val="업무용유지비실적"/>
      <sheetName val="건물대사"/>
      <sheetName val="품셈TABLE"/>
      <sheetName val="Parameter"/>
      <sheetName val="1Month+Sheet2!"/>
      <sheetName val="Macro1"/>
      <sheetName val="OPREV(대한)"/>
      <sheetName val="세금과공과"/>
      <sheetName val="賃料等一覧"/>
      <sheetName val="이자율"/>
      <sheetName val="본관내역서"/>
      <sheetName val="7 (2)"/>
      <sheetName val=" 토목 처리장도급내역서 "/>
      <sheetName val="국내"/>
      <sheetName val="3본사"/>
      <sheetName val="Project_CF"/>
      <sheetName val="직원자료입력"/>
      <sheetName val="2.Summary-cash"/>
      <sheetName val="최종"/>
      <sheetName val="0103"/>
      <sheetName val="외화금융(97-03)"/>
      <sheetName val="산업은행 경영지표"/>
      <sheetName val="Expense Schedule (4)"/>
      <sheetName val="현장관리비"/>
      <sheetName val="기타수익"/>
      <sheetName val="SCH03"/>
      <sheetName val="내역서 제출"/>
      <sheetName val="入力用(家賃)"/>
      <sheetName val="入力用(駐車)"/>
      <sheetName val="실행철강하도"/>
      <sheetName val="Income"/>
      <sheetName val="Total"/>
      <sheetName val="Data(인원)"/>
      <sheetName val="구분"/>
      <sheetName val="96수출"/>
      <sheetName val="WBS98"/>
      <sheetName val="추가시설-시설팀"/>
      <sheetName val="Budget 2004(DW)"/>
      <sheetName val="K1자재(3차등)"/>
      <sheetName val="교비지출"/>
      <sheetName val="CostData"/>
      <sheetName val="IncomeData"/>
      <sheetName val="PropertyData"/>
      <sheetName val="WFGInfo"/>
      <sheetName val="담보명세"/>
      <sheetName val="wall"/>
      <sheetName val="Utility Usage 한솔엠닷컴"/>
      <sheetName val="II. Assumptions"/>
      <sheetName val="BSD (2)"/>
      <sheetName val="ｂｌｕｅ"/>
      <sheetName val="데이타"/>
      <sheetName val="DATA"/>
      <sheetName val="조직및_인원계획2"/>
      <sheetName val="견적내역-미화_(2)2"/>
      <sheetName val="견적내역-보안_(2)2"/>
      <sheetName val="Initial_Input_Variable2"/>
      <sheetName val="Customer_Databas2"/>
      <sheetName val="1_Cash_Flow_Analysis1"/>
      <sheetName val="Budget_2005(DW)1"/>
      <sheetName val="2__Summary-cash1"/>
      <sheetName val="GenLedger_BalSht1"/>
      <sheetName val="0_1keyAssumption1"/>
      <sheetName val="0_0ControlSheet1"/>
      <sheetName val="เงินกู้_MGC1"/>
      <sheetName val="Trial_Balance1"/>
      <sheetName val="1_01"/>
      <sheetName val="_견적서1"/>
      <sheetName val="2_Harajuku_Jimusho1"/>
      <sheetName val="FX_Rates1"/>
      <sheetName val="Office_only_Letup"/>
      <sheetName val="전선_및_전선관"/>
      <sheetName val="g. Rent Roll"/>
      <sheetName val="조회총괄"/>
      <sheetName val="6월실적"/>
      <sheetName val="2F 회의실견적(5_14 일대)"/>
      <sheetName val="조도계산서 (도서)"/>
      <sheetName val="CT"/>
      <sheetName val="주요가정"/>
      <sheetName val="세목별"/>
      <sheetName val="SETUP"/>
      <sheetName val="RM목표&amp;실적"/>
      <sheetName val="일위대가"/>
      <sheetName val="96수표어음"/>
      <sheetName val="물건조서"/>
      <sheetName val="안산기계장치"/>
      <sheetName val="견적정보"/>
      <sheetName val="1,2"/>
      <sheetName val="9,10"/>
      <sheetName val="11,12"/>
      <sheetName val="13,14"/>
      <sheetName val="15,16"/>
      <sheetName val="17,18"/>
      <sheetName val="19,20"/>
      <sheetName val="23,24"/>
      <sheetName val="25,26"/>
      <sheetName val="27,28"/>
      <sheetName val="29,30"/>
      <sheetName val="3,4"/>
      <sheetName val="31,32"/>
      <sheetName val="33,34"/>
      <sheetName val="5,6"/>
      <sheetName val="56"/>
      <sheetName val="7,8"/>
      <sheetName val="I一般比"/>
      <sheetName val="영업.일1"/>
      <sheetName val="Cash Flow"/>
      <sheetName val="Source"/>
      <sheetName val="임대료산정(자동계산)"/>
      <sheetName val="단가"/>
      <sheetName val="Ⅰ-3"/>
      <sheetName val="Occupancy Scenario"/>
      <sheetName val="품명"/>
      <sheetName val="종합"/>
      <sheetName val="점코드"/>
      <sheetName val="산수(hd-0)"/>
      <sheetName val="산수(hd-1)"/>
      <sheetName val="수지차(년)"/>
      <sheetName val="D1300 자삽"/>
      <sheetName val="Input Screen"/>
      <sheetName val="Baby일위대가"/>
      <sheetName val="Training"/>
      <sheetName val="Facility Information"/>
      <sheetName val="General"/>
      <sheetName val="People"/>
      <sheetName val="Quality"/>
      <sheetName val="Risk"/>
      <sheetName val="10월 (2)"/>
      <sheetName val="종합-임현"/>
      <sheetName val="내역1"/>
      <sheetName val="이우(hd)"/>
      <sheetName val="분양금할인"/>
      <sheetName val="주요기준"/>
      <sheetName val="설-원가"/>
      <sheetName val="설치자재"/>
      <sheetName val="단중"/>
      <sheetName val="개요"/>
      <sheetName val="입력변수"/>
      <sheetName val="원가계산서"/>
      <sheetName val="간접경상비"/>
      <sheetName val="CASHFLOW"/>
      <sheetName val="ARDEBT"/>
      <sheetName val="SALE"/>
      <sheetName val="소유임차부동산(원본)"/>
      <sheetName val="업무분장 "/>
      <sheetName val="101동"/>
      <sheetName val="손익"/>
      <sheetName val="07-Bud"/>
      <sheetName val="서식시트"/>
      <sheetName val="Front_Cover1"/>
      <sheetName val="지분법(AK)_(2)"/>
      <sheetName val="한일자야(감액손실)_(2)"/>
      <sheetName val="영업_일1"/>
      <sheetName val="10월_(2)"/>
      <sheetName val="Facility_Information"/>
      <sheetName val="기본사항"/>
      <sheetName val="유가증권미수"/>
      <sheetName val="부동산세금"/>
      <sheetName val="공사설계서"/>
      <sheetName val="한국오키"/>
      <sheetName val="CostApp."/>
      <sheetName val="Lookup"/>
      <sheetName val="Data_Sheet"/>
      <sheetName val="Occupancy_Scenario"/>
      <sheetName val="빌딩코드"/>
      <sheetName val="95WBS"/>
      <sheetName val="Work"/>
      <sheetName val="tsuga"/>
      <sheetName val="수목단가"/>
      <sheetName val="자재단가"/>
      <sheetName val="노임단가"/>
      <sheetName val="원가서"/>
      <sheetName val="조사번호"/>
      <sheetName val="효용적수"/>
      <sheetName val="관리부동산 목록"/>
      <sheetName val="_토목_처리장도급내역서_"/>
      <sheetName val="7_(2)"/>
      <sheetName val="2_Summary-cash"/>
      <sheetName val="산업은행_경영지표"/>
      <sheetName val="Cash_Flow"/>
      <sheetName val="관리부동산_목록"/>
      <sheetName val="설직재-1"/>
      <sheetName val="범어"/>
      <sheetName val="명세"/>
      <sheetName val="Convert"/>
      <sheetName val="첨부1"/>
      <sheetName val="이익잉여금처분계산서"/>
      <sheetName val="재무상태변동표"/>
      <sheetName val="제조원가명세서"/>
      <sheetName val="현금흐름표"/>
      <sheetName val="백호우계수"/>
      <sheetName val="유림골조"/>
      <sheetName val="노임"/>
      <sheetName val="3.총괄_Fund"/>
      <sheetName val="2.대외공문"/>
      <sheetName val="대림경상68억"/>
      <sheetName val="주차"/>
      <sheetName val="Deal Assumptions"/>
      <sheetName val="Köpfe"/>
      <sheetName val="식음료"/>
      <sheetName val="데이터유효성검사자료"/>
      <sheetName val="Tax"/>
      <sheetName val="N賃率-職"/>
      <sheetName val="#REF"/>
      <sheetName val="結果（２年後１億円振り替え）"/>
      <sheetName val="Assumptions_"/>
      <sheetName val="Budget_2004(DW)"/>
      <sheetName val="손익분석"/>
      <sheetName val="설계조건"/>
      <sheetName val="Tier 1"/>
      <sheetName val="PLD"/>
      <sheetName val="출자한도"/>
      <sheetName val="BOJUNGGM"/>
      <sheetName val="시화점실행"/>
      <sheetName val="3.빌딩손익_6년차"/>
      <sheetName val="3.4.수도광열비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9GNG운반"/>
      <sheetName val="일반경비"/>
      <sheetName val="도기류"/>
      <sheetName val="갑지(추정)"/>
      <sheetName val="분당임차변경"/>
      <sheetName val="Sheet11"/>
      <sheetName val="직노"/>
      <sheetName val="FOOD&amp;BEVERAGE"/>
      <sheetName val="Dental City 가정"/>
      <sheetName val="사업예산내역"/>
      <sheetName val="사업예산품의서"/>
      <sheetName val="단가산출"/>
      <sheetName val="VA요약(가정_및_배당)"/>
      <sheetName val="내역서_제출"/>
      <sheetName val="정산표"/>
      <sheetName val="반포2차"/>
      <sheetName val="구로점"/>
      <sheetName val="전기내역서(총계)"/>
      <sheetName val="선급비용"/>
      <sheetName val="1 자원총괄"/>
      <sheetName val="약품공급2"/>
      <sheetName val="건축내역"/>
      <sheetName val="요약&amp;결과"/>
      <sheetName val="임대현황"/>
      <sheetName val="불법주정차"/>
      <sheetName val="재료"/>
      <sheetName val="별제권_정리담보권1"/>
      <sheetName val="conclusion"/>
      <sheetName val="결정단가"/>
      <sheetName val="comparables"/>
      <sheetName val="Deduction"/>
      <sheetName val="other"/>
      <sheetName val="Cash receipt"/>
      <sheetName val="대비"/>
      <sheetName val="Calendar"/>
      <sheetName val="자료"/>
      <sheetName val="2003정규직(1년이상)"/>
      <sheetName val="제직재"/>
      <sheetName val="제-노임"/>
      <sheetName val="영업.일"/>
      <sheetName val="Inve. &amp; Income Assum."/>
      <sheetName val="신상자료"/>
      <sheetName val="현금경비중역"/>
      <sheetName val="물량"/>
      <sheetName val="매출"/>
      <sheetName val="목차"/>
      <sheetName val="표지"/>
      <sheetName val="PROJECT BRIEF(EX.NEW)"/>
      <sheetName val="운동장 (2)"/>
      <sheetName val="17.채용자명단"/>
      <sheetName val="시멘트"/>
      <sheetName val="A"/>
      <sheetName val="분전함신설"/>
      <sheetName val="접지1종"/>
      <sheetName val="(Monthly)"/>
      <sheetName val="감사일어"/>
      <sheetName val="9.Utilities"/>
      <sheetName val="95-96매출액등"/>
      <sheetName val="CA"/>
      <sheetName val="금융"/>
      <sheetName val="은행"/>
      <sheetName val="리스"/>
      <sheetName val="보험"/>
      <sheetName val="ﾘｽﾄ"/>
      <sheetName val="準備ｼｰﾄ"/>
      <sheetName val="단가표"/>
      <sheetName val="Funding"/>
      <sheetName val="CF(M)"/>
      <sheetName val="IS(FY)"/>
      <sheetName val="붙임2-1  지급조서명세서(2001년분)"/>
      <sheetName val="SIMULATION"/>
      <sheetName val="구리토평1전기"/>
      <sheetName val="생산직"/>
      <sheetName val="Sheet2"/>
      <sheetName val="결재방연결"/>
      <sheetName val="실적"/>
      <sheetName val="조직도 빽업"/>
      <sheetName val="관리비계산서"/>
      <sheetName val="20관리비율"/>
      <sheetName val="1.2"/>
      <sheetName val="돈암사업"/>
      <sheetName val="범용개발순소요비용"/>
      <sheetName val="JUCKEYK"/>
      <sheetName val="업무분장_"/>
      <sheetName val="Front_Cover2"/>
      <sheetName val="지분법(AK)_(2)1"/>
      <sheetName val="한일자야(감액손실)_(2)1"/>
      <sheetName val="소방사항"/>
      <sheetName val="이름표"/>
      <sheetName val="일반수량총괄집계"/>
      <sheetName val="Accrued Interest income"/>
      <sheetName val="ﾄﾞﾛｯﾌﾟﾀﾞｳﾝﾒﾆｭｰ"/>
      <sheetName val="외상매출금현황-수정분 A2"/>
      <sheetName val="민감도"/>
      <sheetName val="COVER"/>
      <sheetName val="근린생활"/>
      <sheetName val="BOK차입"/>
      <sheetName val="일위"/>
      <sheetName val="3-4현"/>
      <sheetName val="3-3현"/>
      <sheetName val="직재"/>
      <sheetName val="재집"/>
      <sheetName val="Menu_Link"/>
      <sheetName val="이익영"/>
      <sheetName val="영업_일11"/>
      <sheetName val="10월_(2)1"/>
      <sheetName val="Facility_Information1"/>
      <sheetName val="APT"/>
      <sheetName val="콘크리트타설집계표"/>
      <sheetName val="전력"/>
      <sheetName val="Data_Sheet1"/>
      <sheetName val="Occupancy_Scenario1"/>
      <sheetName val="CostApp_"/>
      <sheetName val="Dental_City_가정"/>
      <sheetName val="수량계산"/>
      <sheetName val="일위산출"/>
      <sheetName val="CF Case1(메인)"/>
      <sheetName val="_토목_처리장도급내역서_1"/>
      <sheetName val="7_(2)1"/>
      <sheetName val="2_Summary-cash1"/>
      <sheetName val="산업은행_경영지표1"/>
      <sheetName val="Cash_Flow1"/>
      <sheetName val="관리부동산_목록1"/>
      <sheetName val="2_대외공문"/>
      <sheetName val="3_총괄_Fund"/>
      <sheetName val="DB"/>
      <sheetName val="공통부대비"/>
      <sheetName val="Gangbo"/>
      <sheetName val="금호"/>
      <sheetName val="누호"/>
      <sheetName val="Bilanz zum_06_12_30"/>
      <sheetName val="契約状況一覧"/>
      <sheetName val="物件概要"/>
      <sheetName val="定期巡回報告書"/>
      <sheetName val=" 目次"/>
      <sheetName val="Macro Codes"/>
      <sheetName val="사용자정의"/>
      <sheetName val="제품표준규격"/>
      <sheetName val="여과지동"/>
      <sheetName val="기초자료"/>
      <sheetName val="관급자재"/>
      <sheetName val="일위대가(가설)"/>
      <sheetName val="sch"/>
      <sheetName val="富士見積"/>
      <sheetName val="SpQ"/>
      <sheetName val="단가표 "/>
      <sheetName val="Utility Usage엠닷컴 26"/>
      <sheetName val="공사현황"/>
      <sheetName val="1.우편집중내역서"/>
      <sheetName val="Physical Description"/>
      <sheetName val="HBCT"/>
      <sheetName val="Taxes"/>
      <sheetName val="9-1차이내역"/>
      <sheetName val="2000년1차"/>
      <sheetName val="2000전체분"/>
      <sheetName val="PROJECT BRIEF"/>
      <sheetName val="실비정산청구내역"/>
      <sheetName val="일반변동비청구내역"/>
      <sheetName val="조사시트"/>
      <sheetName val="Details"/>
      <sheetName val="VA요약(가정_및_배당)1"/>
      <sheetName val="내역서_제출1"/>
      <sheetName val="MEMORY"/>
      <sheetName val="D01"/>
      <sheetName val="TB"/>
      <sheetName val="disposition"/>
      <sheetName val="쌍용건설"/>
      <sheetName val="15"/>
      <sheetName val="영업사양"/>
      <sheetName val="DATE"/>
      <sheetName val="조사자료"/>
      <sheetName val="스포회원매출"/>
      <sheetName val="순수통장"/>
      <sheetName val="적립수신"/>
      <sheetName val="Current"/>
      <sheetName val="임대수익"/>
      <sheetName val="base"/>
      <sheetName val="실행내역"/>
      <sheetName val="간접재료비산출표-27-30"/>
      <sheetName val="을지"/>
      <sheetName val="비용자료"/>
      <sheetName val="비용예산자료"/>
      <sheetName val="수익자료"/>
      <sheetName val="수익예산자료"/>
      <sheetName val="현금흐름"/>
      <sheetName val="과"/>
      <sheetName val="기본가정"/>
      <sheetName val="총투자비"/>
      <sheetName val="총투자비(총괄)"/>
      <sheetName val="EACT10"/>
      <sheetName val="SRC-B3U2"/>
      <sheetName val="견적세부내역_보안미화_5%"/>
      <sheetName val="식재인부"/>
      <sheetName val="울산"/>
      <sheetName val="일반관리비"/>
      <sheetName val="집계표"/>
      <sheetName val="J直材4"/>
      <sheetName val="LANGUAGE"/>
      <sheetName val="8"/>
      <sheetName val="10"/>
      <sheetName val="12"/>
      <sheetName val="9"/>
      <sheetName val="11"/>
      <sheetName val="2"/>
      <sheetName val="강재"/>
      <sheetName val="출금실적"/>
      <sheetName val="상환계획(선순위)(Q)"/>
      <sheetName val="CABLE SIZE-1"/>
      <sheetName val="일위대가표"/>
      <sheetName val="운영비"/>
      <sheetName val="10.익월 업무 계획-전기,방재"/>
      <sheetName val="단가비교"/>
      <sheetName val="GAAP Pru"/>
      <sheetName val="부하계산서"/>
      <sheetName val="Utilities"/>
      <sheetName val="Utility Usage YTN TOWER"/>
      <sheetName val="비용산식"/>
      <sheetName val="Budget"/>
      <sheetName val="Input"/>
      <sheetName val="ken"/>
      <sheetName val="LevModel"/>
      <sheetName val="Schedule 5A"/>
      <sheetName val="손익차9월2"/>
      <sheetName val="단위내역서"/>
      <sheetName val="절대지우지말것"/>
      <sheetName val="기본입력사항"/>
      <sheetName val="TEMP2"/>
      <sheetName val="TEMP"/>
      <sheetName val="JA"/>
      <sheetName val="입력항목"/>
      <sheetName val="감가상각"/>
      <sheetName val="연결임시"/>
      <sheetName val="어음수표추가테스트"/>
      <sheetName val="여비"/>
      <sheetName val="Sheet1 (2)"/>
      <sheetName val="수량산출서"/>
      <sheetName val="Ⅱ1-0타"/>
      <sheetName val="路線別駅順乗降者数"/>
      <sheetName val="Set-Up"/>
      <sheetName val="B (Controls)"/>
      <sheetName val="Assum"/>
      <sheetName val="A３新収益"/>
      <sheetName val="Summe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RAGE"/>
      <sheetName val="Y-WORK"/>
      <sheetName val="YES"/>
      <sheetName val="인원계획-미화"/>
      <sheetName val="MOTOR"/>
      <sheetName val="RM목표&amp;실적"/>
      <sheetName val="재무가정"/>
      <sheetName val="내역서"/>
      <sheetName val="Assumption"/>
      <sheetName val="2004CJ"/>
      <sheetName val="노무비"/>
      <sheetName val="S&amp;R"/>
      <sheetName val="JUCK"/>
      <sheetName val="공통(20-91)"/>
      <sheetName val="Sheet1"/>
      <sheetName val="산출내역서집계표"/>
      <sheetName val="원가계산서 (총괄)"/>
      <sheetName val="원가계산서 (건축)"/>
      <sheetName val="(총괄집계)"/>
      <sheetName val="품의서"/>
      <sheetName val="BID"/>
      <sheetName val="물가시세"/>
      <sheetName val="노임단가"/>
      <sheetName val="부하계산서"/>
      <sheetName val="SG"/>
      <sheetName val="전신환매도율"/>
      <sheetName val="설계예산서"/>
      <sheetName val="수량집계"/>
      <sheetName val="총괄"/>
      <sheetName val="토목"/>
      <sheetName val="물가자료"/>
      <sheetName val="2000년1차"/>
      <sheetName val="ITEM"/>
      <sheetName val="단가비교표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guard(mac)"/>
      <sheetName val="단면 (2)"/>
      <sheetName val="EACT10"/>
      <sheetName val="Intro2"/>
      <sheetName val="Id"/>
      <sheetName val="건물현황"/>
      <sheetName val="COVER"/>
      <sheetName val="Total"/>
      <sheetName val="정부노임단가"/>
      <sheetName val="중기사용료"/>
      <sheetName val="소방"/>
      <sheetName val="Sheet17"/>
      <sheetName val="덤프트럭계수"/>
      <sheetName val="TEL"/>
      <sheetName val="Secured Master"/>
      <sheetName val="견적서"/>
      <sheetName val="종합기별"/>
      <sheetName val="노무비명세서"/>
      <sheetName val="소요자재명세서"/>
      <sheetName val="요율"/>
      <sheetName val="단가산출"/>
      <sheetName val="조도계산(가로등NEW)"/>
      <sheetName val="조명율데이타"/>
      <sheetName val="MACRO(전선관)"/>
      <sheetName val="입찰안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표지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특별교실"/>
      <sheetName val="기숙사"/>
      <sheetName val="화장실"/>
      <sheetName val="총집계-1"/>
      <sheetName val="총집계-2"/>
      <sheetName val="원가-1"/>
      <sheetName val="원가-2"/>
      <sheetName val="기안"/>
      <sheetName val="갑지"/>
      <sheetName val="XXXXXX"/>
      <sheetName val="호계"/>
      <sheetName val="제암"/>
      <sheetName val="월마트"/>
      <sheetName val="월드컵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집계표"/>
      <sheetName val="표지 (2)"/>
      <sheetName val="견적조건"/>
      <sheetName val="견적조건(을지)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일위대가목차"/>
      <sheetName val="을지"/>
      <sheetName val="인건비"/>
      <sheetName val="일반공사"/>
      <sheetName val="일위대가"/>
      <sheetName val="unit 4"/>
      <sheetName val="을"/>
      <sheetName val="FILE1"/>
      <sheetName val="남양시작동자105노65기1.3화1.2"/>
      <sheetName val="0.집계"/>
      <sheetName val="1.수변전설비공사"/>
      <sheetName val="대구실행"/>
      <sheetName val="Baby일위대가"/>
      <sheetName val="N賃率-職"/>
      <sheetName val="간선계산"/>
      <sheetName val="직노"/>
      <sheetName val="실행내역"/>
      <sheetName val="200"/>
      <sheetName val="기초단가"/>
      <sheetName val="DATA"/>
      <sheetName val="구역화물"/>
      <sheetName val="단가일람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내역"/>
      <sheetName val="매립"/>
      <sheetName val="아산추가1220"/>
      <sheetName val="98지급계획"/>
      <sheetName val="제-노임"/>
      <sheetName val="제직재"/>
      <sheetName val="I一般比"/>
      <sheetName val="조도계산서 (도서)"/>
      <sheetName val="49-119"/>
      <sheetName val="2F 회의실견적(5_14 일대)"/>
      <sheetName val="일위대가(가설)"/>
      <sheetName val="조명율표"/>
      <sheetName val="기계경비(시간당)"/>
      <sheetName val="램머"/>
      <sheetName val="중기일위대가"/>
      <sheetName val="단위단가"/>
      <sheetName val="공사원가계산서)"/>
      <sheetName val="내역집계표"/>
      <sheetName val="전기내역"/>
      <sheetName val="산출근거"/>
      <sheetName val="대가집계표"/>
      <sheetName val="대가전기"/>
      <sheetName val="자료"/>
      <sheetName val="집계표(관급)"/>
      <sheetName val="전기내역관급"/>
      <sheetName val="재집"/>
      <sheetName val="직재"/>
      <sheetName val="J直材4"/>
      <sheetName val="부하(성남)"/>
      <sheetName val="연부97-1"/>
      <sheetName val="갑지1"/>
      <sheetName val="대치판정"/>
      <sheetName val="철거산출근거"/>
      <sheetName val="AIR SHOWER(3인용)"/>
      <sheetName val="부대공Ⅱ"/>
      <sheetName val="설계내역서"/>
      <sheetName val="전차선로 물량표"/>
      <sheetName val="48전력선로일위"/>
      <sheetName val="말뚝지지력산정"/>
      <sheetName val="자재단가"/>
      <sheetName val="신우"/>
      <sheetName val="손익분석"/>
      <sheetName val="노임"/>
      <sheetName val="준검 내역서"/>
      <sheetName val="96보완계획7.12"/>
      <sheetName val="3-1.CB"/>
      <sheetName val="당초"/>
      <sheetName val="DANGA"/>
      <sheetName val="연습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총괄집계표"/>
      <sheetName val="고창터널(고창방향)"/>
      <sheetName val="터널조도"/>
      <sheetName val="공종별내역서"/>
      <sheetName val="ITB COST"/>
      <sheetName val="CTEMCOST"/>
      <sheetName val="전선 및 전선관"/>
      <sheetName val="입찰보고"/>
      <sheetName val="Macro1"/>
      <sheetName val="#REF"/>
      <sheetName val="재료"/>
      <sheetName val="내역(설계)"/>
      <sheetName val="식생블럭단위수량"/>
      <sheetName val="MAIN_TABLE"/>
      <sheetName val="1.설계조건"/>
      <sheetName val="LOPCALC"/>
      <sheetName val="가로등부표"/>
      <sheetName val="제경비율"/>
      <sheetName val="XL4Poppy"/>
      <sheetName val="우배수"/>
      <sheetName val="맨홀"/>
      <sheetName val="금호"/>
      <sheetName val="데이타"/>
      <sheetName val="가로등내역서"/>
      <sheetName val="수량산출서"/>
      <sheetName val="2000.11월설계내역"/>
      <sheetName val="터파기및재료"/>
      <sheetName val="점수계산1-2"/>
      <sheetName val="부대공사비"/>
      <sheetName val="현장관리비집계표"/>
      <sheetName val="1.수인터널"/>
      <sheetName val="본공사"/>
      <sheetName val="노무비단가"/>
      <sheetName val="BQ"/>
      <sheetName val="실행내역서"/>
      <sheetName val="지주목시비량산출서"/>
      <sheetName val="단가조사"/>
      <sheetName val="1차설계변경내역"/>
      <sheetName val="율촌법률사무소2내역"/>
      <sheetName val="인건-측정"/>
      <sheetName val="BID-도로"/>
      <sheetName val="001"/>
      <sheetName val="대비"/>
      <sheetName val="총계"/>
      <sheetName val="내력서"/>
      <sheetName val="단가"/>
      <sheetName val="총괄표"/>
      <sheetName val="실행철강하도"/>
      <sheetName val="내역서2안"/>
      <sheetName val="소야공정계획표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본선차로수량집계표"/>
      <sheetName val="기계내역"/>
      <sheetName val="수량산출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3.공통공사대비"/>
      <sheetName val="토공"/>
      <sheetName val="90.03실행 "/>
      <sheetName val="자료입력"/>
      <sheetName val="조명시설"/>
      <sheetName val="가설건물"/>
      <sheetName val="설비내역서"/>
      <sheetName val="건축내역서"/>
      <sheetName val="전기내역서"/>
      <sheetName val="노원열병합  건축공사기성내역서"/>
      <sheetName val="사전공사"/>
      <sheetName val="수량"/>
      <sheetName val="금리계산"/>
      <sheetName val="원가계산서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내역구성"/>
      <sheetName val="4원가"/>
      <sheetName val="임시급식"/>
      <sheetName val="옥외가스"/>
      <sheetName val="임시급식 (2)"/>
      <sheetName val="- INFORMATION -"/>
      <sheetName val="목차"/>
      <sheetName val="INPUT"/>
      <sheetName val="적용공정"/>
      <sheetName val="L_RPTB02_01"/>
      <sheetName val="주사무실종합"/>
      <sheetName val="원가"/>
      <sheetName val="지진시"/>
      <sheetName val="Summary Sheets"/>
      <sheetName val="일위목록-기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지급자재"/>
      <sheetName val="토량산출서"/>
      <sheetName val="기계경비"/>
      <sheetName val="C3"/>
      <sheetName val="예산명세서"/>
      <sheetName val="보차도경계석"/>
      <sheetName val=" 견적서"/>
      <sheetName val="전선"/>
      <sheetName val="CABLE"/>
      <sheetName val="보할공정"/>
      <sheetName val="부대내역"/>
      <sheetName val="일반수량"/>
      <sheetName val="BOQ(전체)"/>
      <sheetName val="부대시설"/>
      <sheetName val="Apt내역"/>
      <sheetName val="보합"/>
      <sheetName val="단"/>
      <sheetName val="교통대책내역"/>
      <sheetName val="Macro2"/>
      <sheetName val="계수시트"/>
      <sheetName val="개요"/>
      <sheetName val="인사자료총집계"/>
      <sheetName val="계산식"/>
      <sheetName val="가도공"/>
      <sheetName val="내역서(토목)"/>
      <sheetName val="포장공"/>
      <sheetName val="Macro(전선)"/>
      <sheetName val="내역서(전기)"/>
      <sheetName val="수주현황2월"/>
      <sheetName val="토공유동표"/>
      <sheetName val="교각계산"/>
      <sheetName val="99총공사내역서"/>
      <sheetName val="98NS-N"/>
      <sheetName val="설비"/>
      <sheetName val="단가 및 재료비"/>
      <sheetName val="봉양~조차장간고하개명(신설)"/>
      <sheetName val="주상도"/>
      <sheetName val="6호기"/>
      <sheetName val="하조서"/>
      <sheetName val="보증수수료산출"/>
      <sheetName val="가로등"/>
      <sheetName val="공사비예산서(토목분)"/>
      <sheetName val="수목데이타 "/>
      <sheetName val="변압기 및 발전기 용량"/>
      <sheetName val="일위대가(목록)"/>
      <sheetName val="재료비"/>
      <sheetName val="참고"/>
      <sheetName val="공사개요"/>
      <sheetName val="각형맨홀"/>
      <sheetName val="수목단가"/>
      <sheetName val="시설수량표"/>
      <sheetName val="식재수량표"/>
      <sheetName val="일위목록"/>
      <sheetName val="예산변경사항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수입"/>
      <sheetName val="조건표"/>
      <sheetName val="JJ"/>
      <sheetName val="설계"/>
      <sheetName val="설 계"/>
      <sheetName val="ASP포장"/>
      <sheetName val="3BL공동구 수량"/>
      <sheetName val="일위대가표"/>
      <sheetName val="단가산출서(기계)"/>
      <sheetName val="에너지동"/>
      <sheetName val="코드표"/>
      <sheetName val="Sheet1 (2)"/>
      <sheetName val="공사비"/>
      <sheetName val="가드레일산근"/>
      <sheetName val="수량집계표"/>
      <sheetName val="단가비교"/>
      <sheetName val="적용2002"/>
      <sheetName val="중기"/>
      <sheetName val="45,46"/>
      <sheetName val="교대(A1)"/>
      <sheetName val="교대(A1-A2)"/>
      <sheetName val="교각1"/>
      <sheetName val="자재대"/>
      <sheetName val="소요자재"/>
      <sheetName val="노무산출서"/>
      <sheetName val="ETC"/>
      <sheetName val="우수맨홀공제단위수량"/>
      <sheetName val="스톱로그내역"/>
      <sheetName val="JUCKEYK"/>
      <sheetName val="돌망태단위수량"/>
      <sheetName val="전기일위대가"/>
      <sheetName val="단면(RW1)"/>
      <sheetName val="시설물일위"/>
      <sheetName val="WORK"/>
      <sheetName val="비교표"/>
      <sheetName val="소비자가"/>
      <sheetName val="ilch"/>
      <sheetName val="A-4"/>
      <sheetName val="IMP(MAIN)"/>
      <sheetName val="IMP (REACTOR)"/>
      <sheetName val="차액보증"/>
      <sheetName val="오산갈곳"/>
      <sheetName val="맨홀수량집계"/>
      <sheetName val="설계조건"/>
      <sheetName val="날개벽(TYPE3)"/>
      <sheetName val="안정계산"/>
      <sheetName val="단면검토"/>
      <sheetName val="예정(3)"/>
      <sheetName val="동원(3)"/>
      <sheetName val="1.설계기준"/>
      <sheetName val="주형"/>
      <sheetName val="3차설계"/>
      <sheetName val="현황CODE"/>
      <sheetName val="손익현황"/>
      <sheetName val="기둥(원형)"/>
      <sheetName val="ABUT수량-A1"/>
      <sheetName val="밸브설치"/>
      <sheetName val="3.바닥판설계"/>
      <sheetName val="6PILE  (돌출)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적상기초자료"/>
      <sheetName val="설직재-1"/>
      <sheetName val="건축공사"/>
      <sheetName val="철거집계"/>
      <sheetName val="발신정보"/>
      <sheetName val="본부소개"/>
      <sheetName val="기초자료"/>
      <sheetName val="여과지동"/>
      <sheetName val="내역표지"/>
      <sheetName val="현관"/>
      <sheetName val="NYS"/>
      <sheetName val="노임변동률"/>
      <sheetName val="조건"/>
      <sheetName val="COMPRESSOR"/>
      <sheetName val="TABLE"/>
      <sheetName val="경상직원"/>
      <sheetName val="고분전시관"/>
      <sheetName val="12월31일"/>
      <sheetName val="가시설흙막이"/>
      <sheetName val="설계명세서"/>
      <sheetName val="건설장비기초단가"/>
      <sheetName val="검사원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부하LOAD"/>
      <sheetName val="내역서 (2)"/>
      <sheetName val="시중노임단가"/>
      <sheetName val="건축내역"/>
      <sheetName val="기본DATA"/>
      <sheetName val="L_RPTA05_목록"/>
      <sheetName val="연결임시"/>
      <sheetName val="DATE"/>
      <sheetName val="한강운반비"/>
      <sheetName val="자재"/>
      <sheetName val="말뚝물량"/>
      <sheetName val="48평단가"/>
      <sheetName val="57단가"/>
      <sheetName val="54평단가"/>
      <sheetName val="66평단가"/>
      <sheetName val="61단가"/>
      <sheetName val="89평단가"/>
      <sheetName val="84평단가"/>
      <sheetName val="간접비"/>
      <sheetName val="합천내역"/>
      <sheetName val="노무비산출"/>
      <sheetName val="CA지입"/>
      <sheetName val="대외공문"/>
      <sheetName val="BJJIN"/>
      <sheetName val="DWPM"/>
      <sheetName val="2000년 공정표"/>
      <sheetName val="유첨#2"/>
      <sheetName val="1공구(을)"/>
      <sheetName val="대공종"/>
      <sheetName val="변경내역을"/>
      <sheetName val="전기2005"/>
      <sheetName val="통신2005"/>
      <sheetName val="BOQ"/>
      <sheetName val="내역총괄"/>
      <sheetName val="내역총괄2"/>
      <sheetName val="내역총괄3"/>
      <sheetName val="U-TYPE(1)"/>
      <sheetName val="접지수량"/>
      <sheetName val="펌프장수량산출(토)"/>
      <sheetName val="고등학교"/>
      <sheetName val="ELECTRIC"/>
      <sheetName val="SCHEDULE"/>
      <sheetName val="EP0618"/>
      <sheetName val="금액내역서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ÀÔÂû¾È"/>
      <sheetName val="ºÎÇÏ°è»ê¼­"/>
      <sheetName val="À»Áö"/>
      <sheetName val="Á¶µµ°è»ê¼­ (µµ¼­)"/>
      <sheetName val="´Ü°¡»êÃâ"/>
      <sheetName val="°ßÀûÁ¶°Ç"/>
      <sheetName val="°ßÀûÁ¶°Ç(À»Áö)"/>
      <sheetName val="Á÷³ë"/>
      <sheetName val="½ÇÇà³»¿ª"/>
      <sheetName val="단  가  대  비  표"/>
      <sheetName val="일  위  대  가  목  록"/>
      <sheetName val="암거날개벽재료집계"/>
      <sheetName val="master"/>
      <sheetName val="Budget 2005(DW)"/>
      <sheetName val="1 Cash Flow Analysis"/>
      <sheetName val="IP좌표"/>
      <sheetName val="경비2내역"/>
      <sheetName val="토공계산서(부체도로)"/>
      <sheetName val="일위대가표 (2)"/>
      <sheetName val="현장관리비내역서"/>
      <sheetName val="포장복구집계"/>
      <sheetName val="일위대가목록"/>
      <sheetName val="단가대비표"/>
      <sheetName val="DATA1"/>
      <sheetName val="REACTION(USD지진시)"/>
      <sheetName val="안정검토"/>
      <sheetName val="REACTION(USE평시)"/>
      <sheetName val="단면가정"/>
      <sheetName val="부재력정리"/>
      <sheetName val="BLOCK(1)"/>
      <sheetName val="Testing"/>
      <sheetName val="계화배수"/>
      <sheetName val="견적서세부내용"/>
      <sheetName val="견적내용입력"/>
      <sheetName val="노무비 근거"/>
      <sheetName val="토목내역"/>
      <sheetName val="SORCE1"/>
      <sheetName val="가시설단위수량"/>
      <sheetName val="D-3503"/>
      <sheetName val="CONCRETE"/>
      <sheetName val="지장물C"/>
      <sheetName val="sw1"/>
      <sheetName val="NOMUBI"/>
      <sheetName val="sum1 (2)"/>
      <sheetName val="물량산출근거"/>
      <sheetName val="설산1.나"/>
      <sheetName val="본사S"/>
      <sheetName val="전압강하계산"/>
      <sheetName val="General Data"/>
      <sheetName val="전체"/>
      <sheetName val="차도조도계산"/>
      <sheetName val="ATS단가"/>
      <sheetName val="방음벽기초(H=4m)"/>
      <sheetName val="NEYOK"/>
      <sheetName val="기초공"/>
      <sheetName val="토공(완충)"/>
      <sheetName val="소업1교"/>
      <sheetName val="변화치수"/>
      <sheetName val="골조시행"/>
      <sheetName val="방음벽 기초 일반수량"/>
      <sheetName val="I.설계조건"/>
      <sheetName val="입찰견적보고서"/>
      <sheetName val="96수출"/>
      <sheetName val="부속동"/>
      <sheetName val="일위대가표(유단가)"/>
      <sheetName val="상수도토공집계표"/>
      <sheetName val="가감수량"/>
      <sheetName val="맨홀수량산출"/>
      <sheetName val="입찰결과(DATA)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변경후-SHEET"/>
      <sheetName val="점검총괄"/>
      <sheetName val="5.정산서"/>
      <sheetName val="기계경비시간당손료목록"/>
      <sheetName val="동력부하(도산)"/>
      <sheetName val="단가조사서"/>
      <sheetName val="간접1"/>
      <sheetName val="CABLE SIZE-3"/>
      <sheetName val="공구원가계산"/>
      <sheetName val="1차증가원가계산"/>
      <sheetName val="자재목록"/>
      <sheetName val="연결관산출조서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¼Ò¾ß°øÁ¤°èÈ¹Ç¥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AS포장복구 "/>
      <sheetName val="견적의뢰서"/>
      <sheetName val="2000전체분"/>
      <sheetName val="공종별원가계산"/>
      <sheetName val="EQUIP-H"/>
      <sheetName val="경비_원본"/>
      <sheetName val="통장출금액"/>
      <sheetName val="VA_code"/>
      <sheetName val="20관리비율"/>
      <sheetName val="Macro(차단기)"/>
      <sheetName val="물량표"/>
      <sheetName val="말고개터널조명전압강하"/>
      <sheetName val=" 상부공통집계(총괄)"/>
      <sheetName val="외주"/>
      <sheetName val="구조물철거타공정이월"/>
      <sheetName val="예산갑지"/>
      <sheetName val="조경일람"/>
      <sheetName val="적용(기계)"/>
      <sheetName val="일위집계표"/>
      <sheetName val="BOX전기내역"/>
      <sheetName val="참조-(1)"/>
      <sheetName val="단가목록"/>
      <sheetName val="15"/>
      <sheetName val="설계가"/>
      <sheetName val="CAT_5"/>
      <sheetName val="일위대가목록(1)"/>
      <sheetName val="단가대비표(1)"/>
      <sheetName val="공문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기본단가표"/>
      <sheetName val="2터널시점"/>
      <sheetName val="기본"/>
      <sheetName val="AILC004"/>
      <sheetName val="PO-BOQ"/>
      <sheetName val="몰탈재료산출"/>
      <sheetName val="단위목록"/>
      <sheetName val="기계경비목록"/>
      <sheetName val="관급"/>
      <sheetName val="신공항A-9(원가수정)"/>
      <sheetName val="하수급견적대비"/>
      <sheetName val="9-1차이내역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대창(함평)-창열"/>
      <sheetName val="대창(장성)"/>
      <sheetName val="정화조동내역"/>
      <sheetName val="단위수량"/>
      <sheetName val="관리사무소"/>
      <sheetName val="대구-교대(A1-A2)"/>
      <sheetName val="원형1호맨홀토공수량"/>
      <sheetName val="단면치수"/>
      <sheetName val="수안보-MBR1"/>
      <sheetName val="입력DATA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8. 안정검토"/>
      <sheetName val="건축"/>
      <sheetName val="단가산출서 (2)"/>
      <sheetName val="단가산출서"/>
      <sheetName val="재정비직인"/>
      <sheetName val="재정비내역"/>
      <sheetName val="지적고시내역"/>
      <sheetName val=" 갑  지 "/>
      <sheetName val="공통가설"/>
      <sheetName val="기초코드"/>
      <sheetName val="발주설계서(당초)"/>
      <sheetName val="총괄내역서"/>
      <sheetName val="일위대가 집계표"/>
      <sheetName val="9GNG운반"/>
      <sheetName val="횡배수관토공수량"/>
      <sheetName val="수문일1"/>
      <sheetName val="품셈TABLE"/>
      <sheetName val="woo(mac)"/>
      <sheetName val="일용노임단가"/>
      <sheetName val="공통부대비"/>
      <sheetName val="월선수금"/>
      <sheetName val="제원.설계조건"/>
      <sheetName val="type-F"/>
      <sheetName val="날개벽"/>
      <sheetName val="가공비"/>
      <sheetName val="SLAB"/>
      <sheetName val="관람석제출"/>
      <sheetName val="단가산출집계"/>
      <sheetName val="토공A"/>
      <sheetName val="계산근거"/>
      <sheetName val="COVER-P"/>
      <sheetName val="투자효율분석"/>
      <sheetName val="단위세대"/>
      <sheetName val="견"/>
      <sheetName val="설계내역(2001)"/>
      <sheetName val="b_balju_cho"/>
      <sheetName val="보도경계블럭"/>
      <sheetName val="AH-1 "/>
      <sheetName val="SE-611"/>
      <sheetName val="소방사항"/>
      <sheetName val="eq_data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전기설계변경"/>
      <sheetName val="BSD (2)"/>
      <sheetName val="실행내역서 "/>
      <sheetName val="SKETCH"/>
      <sheetName val="산근"/>
      <sheetName val="투찰내역"/>
      <sheetName val="CALCULATION"/>
      <sheetName val="plan&amp;section of foundation"/>
      <sheetName val="working load at the btm ft."/>
      <sheetName val="stability check"/>
      <sheetName val="design criteria"/>
      <sheetName val="Main"/>
      <sheetName val="교각별철근수량집계표"/>
      <sheetName val="4차원가계산서"/>
      <sheetName val="EQUIPMENT -2"/>
      <sheetName val="송전재료비"/>
      <sheetName val="3련 BOX"/>
      <sheetName val="할증 "/>
      <sheetName val="FIN TUBE"/>
      <sheetName val="HED. &amp; PIPE"/>
      <sheetName val="제수변수량"/>
      <sheetName val="공기변수량"/>
      <sheetName val="9811"/>
      <sheetName val="도급양식"/>
      <sheetName val="LEGEND"/>
      <sheetName val="loading"/>
      <sheetName val="1단계"/>
      <sheetName val="Proposal"/>
      <sheetName val="EQT-ESTN"/>
      <sheetName val="토사(PE)"/>
      <sheetName val="36신설수량"/>
      <sheetName val="검사조서"/>
      <sheetName val="집계(총괄)"/>
      <sheetName val="구성비"/>
      <sheetName val="실적보고"/>
      <sheetName val="표준안전집계"/>
      <sheetName val="표준안전내역"/>
      <sheetName val="A갑지"/>
      <sheetName val="플랜트 설치"/>
      <sheetName val="총수량집계표"/>
      <sheetName val="기계경비일람"/>
      <sheetName val="연령현황"/>
      <sheetName val="집수정(600-700)"/>
      <sheetName val="구리토평1전기"/>
      <sheetName val="세부내역"/>
      <sheetName val="1공구 건정토건 토공"/>
      <sheetName val="역T형교대(말뚝기초)"/>
      <sheetName val="기자재비"/>
      <sheetName val="세목전체"/>
      <sheetName val="FCU (2)"/>
      <sheetName val="장비분석"/>
      <sheetName val="design load"/>
      <sheetName val="내부부하"/>
      <sheetName val="자재단가표"/>
      <sheetName val="내역서(총)"/>
      <sheetName val="c_balju"/>
      <sheetName val="건축원가계산서"/>
      <sheetName val="전기"/>
      <sheetName val="단중표"/>
      <sheetName val="가설공사"/>
      <sheetName val="mcc일위대가"/>
      <sheetName val="Site Expenses"/>
      <sheetName val="집1"/>
      <sheetName val="원본"/>
      <sheetName val="횡배수관"/>
      <sheetName val="원형맨홀수량"/>
      <sheetName val="공사비집계"/>
      <sheetName val="협조전"/>
      <sheetName val="투찰"/>
      <sheetName val="내역(전체)"/>
      <sheetName val="IMPEADENCE MAP 취수장"/>
      <sheetName val="공조기"/>
      <sheetName val="공조기휀"/>
      <sheetName val="AHU집계"/>
      <sheetName val="P.M 별"/>
      <sheetName val="TYPE-A"/>
      <sheetName val="단가표 "/>
      <sheetName val="방송노임"/>
      <sheetName val="예산서"/>
      <sheetName val="wall"/>
      <sheetName val="견적내역"/>
      <sheetName val="일집"/>
      <sheetName val="일위"/>
      <sheetName val="리터팬내장형"/>
      <sheetName val="내역총괄표"/>
      <sheetName val="설계명세서(선로)"/>
      <sheetName val="22단가(철거)"/>
      <sheetName val="49단가"/>
      <sheetName val="49단가(철거)"/>
      <sheetName val="22단가"/>
      <sheetName val="과천MAIN"/>
      <sheetName val="효성CB 1P기초"/>
      <sheetName val="EQ-R1"/>
      <sheetName val="품목"/>
      <sheetName val="2006기계경비산출표"/>
      <sheetName val="DPRKMHDT"/>
      <sheetName val="2공구산출내역"/>
      <sheetName val="일반맨홀수량집계"/>
      <sheetName val="EUPDAT2"/>
      <sheetName val="1안"/>
      <sheetName val="공사비 내역 (가)"/>
      <sheetName val="아파트기별"/>
      <sheetName val="공리일"/>
      <sheetName val="Top PO"/>
      <sheetName val="DATA(BAC)"/>
      <sheetName val="출력-내역서"/>
      <sheetName val="SLAB&quot;1&quot;"/>
      <sheetName val="단락전류-A"/>
      <sheetName val="분전함신설"/>
      <sheetName val="날개벽(TYPE1)"/>
      <sheetName val="우각부보강"/>
      <sheetName val="주경기-오배수"/>
      <sheetName val="공사비내역서"/>
      <sheetName val="갑지(추정)"/>
      <sheetName val="공종"/>
      <sheetName val="가설공사내역"/>
      <sheetName val="401"/>
      <sheetName val="IMF Code"/>
      <sheetName val="특수선일위대가"/>
      <sheetName val="맨홀토공수량"/>
      <sheetName val="날개벽(좌,우=45도,75도)"/>
      <sheetName val="노원열병합  건축︀ᇕ԰_x0000_缀_x0000__x0000_"/>
      <sheetName val="노원열병합  건축ﻕᇕ԰_x0000_缀_x0000__x0000_"/>
      <sheetName val="Project Brief"/>
      <sheetName val="TOT"/>
      <sheetName val="지수"/>
      <sheetName val="빌딩 안내"/>
      <sheetName val="품종별-이름"/>
      <sheetName val="LP-S"/>
      <sheetName val="관로"/>
      <sheetName val="의왕내역"/>
      <sheetName val="제품별"/>
      <sheetName val="평교-내역"/>
      <sheetName val="실행갑지"/>
      <sheetName val="견적990322"/>
      <sheetName val="현장설명서"/>
      <sheetName val="견적조건서"/>
      <sheetName val="시공일반사항"/>
      <sheetName val="현장설명서갑지"/>
      <sheetName val="하도급선정의뢰서(습식공사)"/>
      <sheetName val="다이꾸"/>
      <sheetName val="일위_파일"/>
      <sheetName val="배수문수량산출(3)"/>
      <sheetName val="MFAB"/>
      <sheetName val="MFRT"/>
      <sheetName val="MPKG"/>
      <sheetName val="MPRD"/>
      <sheetName val="견적대비"/>
      <sheetName val="토목주소"/>
      <sheetName val="프랜트면허"/>
      <sheetName val="경산"/>
      <sheetName val="품셈"/>
      <sheetName val="산출내역서"/>
      <sheetName val="남대문빌딩"/>
      <sheetName val=" 총괄표"/>
      <sheetName val="데리네이타현황"/>
      <sheetName val="MBR9"/>
      <sheetName val="공비대비"/>
      <sheetName val="간접"/>
      <sheetName val="96정변2"/>
      <sheetName val="화재 탐지 설비"/>
      <sheetName val="사원등록"/>
      <sheetName val="호봉 (2)"/>
      <sheetName val="자재집계"/>
      <sheetName val="INDEX"/>
      <sheetName val="15100"/>
      <sheetName val="48일위"/>
      <sheetName val="48수량"/>
      <sheetName val="22수량"/>
      <sheetName val="49일위"/>
      <sheetName val="22일위"/>
      <sheetName val="49수량"/>
      <sheetName val="기기리스트"/>
      <sheetName val="HRSG SMALL07220"/>
      <sheetName val="기자재대비표"/>
      <sheetName val="직공비"/>
      <sheetName val="주관사업"/>
      <sheetName val="성서방향-교대(A2)"/>
      <sheetName val="PUMP"/>
      <sheetName val="DB"/>
      <sheetName val="1.우편집중내역서"/>
      <sheetName val="제수"/>
      <sheetName val="공기"/>
      <sheetName val="Mc1"/>
      <sheetName val="BASIC (2)"/>
      <sheetName val="FAX"/>
      <sheetName val="TRE TABLE"/>
      <sheetName val="2000,9월 일위"/>
      <sheetName val="약품설비"/>
      <sheetName val="옹벽수량집계"/>
      <sheetName val="1SPAN"/>
      <sheetName val="Piping(Methanol)"/>
      <sheetName val="토량1-1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설계기준 및 하중계산"/>
      <sheetName val="입력값"/>
      <sheetName val="전기혼잡제경비(45)"/>
      <sheetName val="노임(1차)"/>
      <sheetName val="사각맨홀"/>
      <sheetName val="1공구(입찰내역)"/>
      <sheetName val="현장관리비 "/>
      <sheetName val="주차구획선수량"/>
      <sheetName val="접속도로1"/>
      <sheetName val="공사별 가중치 산출근거(토목)"/>
      <sheetName val="가중치근거(조경)"/>
      <sheetName val="공사별 가중치 산출근거(건축)"/>
      <sheetName val="집수A"/>
      <sheetName val="건축개요"/>
      <sheetName val="버스운행안내"/>
      <sheetName val="예방접종계획"/>
      <sheetName val="근태계획서"/>
      <sheetName val="일위대가(계측기설치)"/>
      <sheetName val="단면설계"/>
      <sheetName val="입출재고현황 (2)"/>
      <sheetName val="변경비교-을"/>
      <sheetName val="수로교총재료집계"/>
      <sheetName val="진우+대광"/>
      <sheetName val="통합내역"/>
      <sheetName val="DATA 입력란"/>
      <sheetName val="1. 설계조건 2.단면가정 3. 하중계산"/>
      <sheetName val="시공계획"/>
      <sheetName val="여흥"/>
      <sheetName val="현장지지물물량"/>
      <sheetName val="영업소실적"/>
      <sheetName val="공사진행"/>
      <sheetName val="견적서(대외) (2)"/>
      <sheetName val="__MAIN"/>
      <sheetName val="°úÃµMAIN"/>
      <sheetName val="ÅÍ³ÎÁ¶µµ"/>
      <sheetName val="1.¼³°è±âÁØ"/>
      <sheetName val="3Â÷¼³°è"/>
      <sheetName val="³ëÀÓ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1.¼öº¯Àü¼³ºñ°ø»ç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현금"/>
      <sheetName val="현장"/>
      <sheetName val="철근량 검토"/>
      <sheetName val="8.PILE  (돌출)"/>
      <sheetName val="MCC제원"/>
      <sheetName val="날개벽(시점좌측)"/>
      <sheetName val="3_바닥판설계"/>
      <sheetName val="출력X"/>
      <sheetName val="웅진교-S2"/>
      <sheetName val="산출(전주P7)"/>
      <sheetName val="Piping Design Data"/>
      <sheetName val="종배수관"/>
      <sheetName val="工완성공사율"/>
      <sheetName val="H PILE수량"/>
      <sheetName val="H-PILE수량집계"/>
      <sheetName val="TC표지"/>
      <sheetName val="통합"/>
      <sheetName val="BOX"/>
      <sheetName val="STBOX"/>
      <sheetName val="품셈표"/>
      <sheetName val="부대대비"/>
      <sheetName val="냉연집계"/>
      <sheetName val="저"/>
      <sheetName val="경상비"/>
      <sheetName val="T6-6(2)"/>
      <sheetName val="Upgrades pricing"/>
      <sheetName val="Ampecity Data"/>
      <sheetName val="하중계산"/>
      <sheetName val="공사기본자료"/>
      <sheetName val="기준액"/>
      <sheetName val="연습장소"/>
      <sheetName val="상세내역,전력산출서"/>
      <sheetName val="부안일위"/>
      <sheetName val="7.1유효폭"/>
      <sheetName val="유기공정"/>
      <sheetName val="노임이"/>
      <sheetName val="와동25-3(변경)"/>
      <sheetName val="기계"/>
      <sheetName val="70%"/>
      <sheetName val="시가지우회도로공내역서"/>
      <sheetName val="2003상반기노임기준"/>
      <sheetName val="본체"/>
      <sheetName val="내역(가지)"/>
      <sheetName val="적점"/>
      <sheetName val="IBASE"/>
      <sheetName val="Cost bd-&quot;A&quot;"/>
      <sheetName val="원내역서 그대로"/>
      <sheetName val="파이프"/>
      <sheetName val="실행비교"/>
      <sheetName val="기계실"/>
      <sheetName val="PART_DISCOUNT"/>
      <sheetName val="기술자료 (연수)"/>
      <sheetName val="중기조종사 단위단가"/>
      <sheetName val="사급자재"/>
      <sheetName val="교량하부공"/>
      <sheetName val="변경서식"/>
      <sheetName val="결합부검토"/>
      <sheetName val="copy"/>
      <sheetName val="2"/>
      <sheetName val="CIVIL"/>
      <sheetName val="일반수량총괄"/>
      <sheetName val="자  재"/>
      <sheetName val="cost"/>
      <sheetName val="소포내역 (2)"/>
      <sheetName val="암거단위"/>
      <sheetName val="구조물공"/>
      <sheetName val="부대공"/>
      <sheetName val="배수공"/>
      <sheetName val="본선토량운반계산서(1)0"/>
      <sheetName val="설계예시"/>
      <sheetName val="회로내역(승인)"/>
      <sheetName val="산재 안전"/>
      <sheetName val="노무비 경비"/>
      <sheetName val="산정표"/>
      <sheetName val="공사비총괄표"/>
      <sheetName val="BQ(실행)"/>
      <sheetName val="공통대가"/>
      <sheetName val="Pier 3"/>
      <sheetName val="(전체발주,금회3차공사)내역서"/>
      <sheetName val="Macro(AT)"/>
      <sheetName val="PW3"/>
      <sheetName val="PW4"/>
      <sheetName val="SC1"/>
      <sheetName val="PE"/>
      <sheetName val="PM"/>
      <sheetName val="TR"/>
      <sheetName val="기본단가"/>
      <sheetName val="변경품셈총괄"/>
      <sheetName val="전력구구조물산근"/>
      <sheetName val="금긋기 및 절단"/>
      <sheetName val="등록업체"/>
      <sheetName val="민감도"/>
      <sheetName val="실행예산"/>
      <sheetName val="단가(반정1교-원주)"/>
      <sheetName val="노임,재료비"/>
      <sheetName val="금액결정"/>
      <sheetName val="01"/>
      <sheetName val="전기공사"/>
      <sheetName val="조경"/>
      <sheetName val="저리조양"/>
      <sheetName val="정화조방수미장"/>
      <sheetName val="접속슬라브"/>
      <sheetName val="인건비 "/>
      <sheetName val="결과조달"/>
      <sheetName val="정공공사"/>
      <sheetName val="실행대비"/>
      <sheetName val="청천내"/>
      <sheetName val="1공구 건정토건 철콘"/>
      <sheetName val="2공구하도급내역서"/>
      <sheetName val="도급내역"/>
      <sheetName val="투찰추정"/>
      <sheetName val="도급내역5+800"/>
      <sheetName val="수목표준대가"/>
      <sheetName val="도급금액"/>
      <sheetName val="재노경"/>
      <sheetName val="적현로"/>
      <sheetName val="변경내역서"/>
      <sheetName val="식재인부"/>
      <sheetName val="일위대가(1)"/>
      <sheetName val="관급자재"/>
      <sheetName val="제경비"/>
      <sheetName val="초기화면"/>
      <sheetName val="총공사내역서"/>
      <sheetName val="토공사"/>
      <sheetName val="정렬"/>
      <sheetName val="계약내역서"/>
      <sheetName val="전체도급"/>
      <sheetName val="CODE"/>
      <sheetName val="충주"/>
      <sheetName val="본선 토공 분배표"/>
      <sheetName val="1.토공"/>
      <sheetName val="제출내역 (2)"/>
      <sheetName val="6공구(당초)"/>
      <sheetName val="산근1"/>
      <sheetName val="관리,공감"/>
      <sheetName val="입찰"/>
      <sheetName val="1,2공구원가계산서"/>
      <sheetName val="1공구산출내역서"/>
      <sheetName val="현경"/>
      <sheetName val="전화번호DATA (2001)"/>
      <sheetName val="장비"/>
      <sheetName val="노무"/>
      <sheetName val="자압"/>
      <sheetName val="106C0300"/>
      <sheetName val="문학간접"/>
      <sheetName val="총집계표"/>
      <sheetName val="P-산#1-1(WOWA1)"/>
      <sheetName val="AS복구"/>
      <sheetName val="중기터파기"/>
      <sheetName val="변수값"/>
      <sheetName val="중기상차"/>
      <sheetName val="영구청"/>
      <sheetName val="영구청이설"/>
      <sheetName val="사당2"/>
      <sheetName val="사당4"/>
      <sheetName val="연동내역서"/>
      <sheetName val="공내역"/>
      <sheetName val="명세서"/>
      <sheetName val="시멘트"/>
      <sheetName val="화해(함평)"/>
      <sheetName val="화해(장성)"/>
      <sheetName val="날개벽수량표"/>
      <sheetName val="LD일"/>
      <sheetName val="FA설치명세"/>
      <sheetName val="FD"/>
      <sheetName val="증감대비"/>
      <sheetName val="공종단가"/>
      <sheetName val="MACRO(MCC)"/>
      <sheetName val="교통량조사"/>
      <sheetName val="탑(을지)"/>
      <sheetName val="부서현황"/>
      <sheetName val="담장산출"/>
      <sheetName val="Data&amp;Result"/>
      <sheetName val="일위대가(출입)"/>
      <sheetName val="감액총괄표"/>
      <sheetName val="KMT물량"/>
      <sheetName val="재료집계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ⴭⴭⴭⴭ"/>
      <sheetName val="간선"/>
      <sheetName val="전압"/>
      <sheetName val="조도"/>
      <sheetName val="동력"/>
      <sheetName val="약품공급2"/>
      <sheetName val="수질정화시설"/>
      <sheetName val="백호우계수"/>
      <sheetName val="J01"/>
      <sheetName val="목동1절주.bh01"/>
      <sheetName val="실행(표지,갑,을)"/>
      <sheetName val="전체내역서"/>
      <sheetName val="수안보-_x0005__x0000__x0000_"/>
      <sheetName val="COPING"/>
      <sheetName val="부표총괄"/>
      <sheetName val="배"/>
      <sheetName val="노원열병합  건축렀䡟ԯ_x0000_缀_x0000__x0000_"/>
      <sheetName val="노원열병합  건축렀こ렀䡟ԯ_x0000_缀"/>
      <sheetName val="일반맨홀수량집계(A-7 LINE)"/>
      <sheetName val="광혁기성"/>
      <sheetName val="건축내역서 (경제상무실)"/>
      <sheetName val="단가표"/>
      <sheetName val="금액"/>
      <sheetName val="도로경계블럭단위수량"/>
      <sheetName val="도로경계블럭단위토공"/>
      <sheetName val="L형측구단위수량"/>
      <sheetName val="L형측구연장조서"/>
      <sheetName val="신표지1"/>
      <sheetName val="개보수공사BM"/>
      <sheetName val="메서,변+증"/>
      <sheetName val="진주방향"/>
      <sheetName val="마산방향"/>
      <sheetName val="1-1"/>
      <sheetName val="하중산정"/>
      <sheetName val="E.P.T수량산출서"/>
      <sheetName val="공제구간조서"/>
      <sheetName val="인수공총괄"/>
      <sheetName val="2000_11월설계내역"/>
      <sheetName val="basic"/>
      <sheetName val="전선_및_전선관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준검_내역서"/>
      <sheetName val="1_수인터널"/>
      <sheetName val="수목데이타_"/>
      <sheetName val="변압기_및_발전기_용량"/>
      <sheetName val="단가_및_재료비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3BL공동구_수량"/>
      <sheetName val="표지_(2)"/>
      <sheetName val="9-1차이내역."/>
      <sheetName val="1호인버트수량"/>
      <sheetName val="석축설면"/>
      <sheetName val="법면단"/>
      <sheetName val="Sheet22"/>
      <sheetName val="준공평가"/>
      <sheetName val="실행간접비용"/>
      <sheetName val="AS포장복구_"/>
      <sheetName val="경산(을)"/>
      <sheetName val="조명일위"/>
      <sheetName val="주방환기"/>
      <sheetName val="과세표준율-2"/>
      <sheetName val="면적분양가"/>
      <sheetName val="분양면적(1123)"/>
      <sheetName val="출력소스"/>
      <sheetName val="BEND LOSS"/>
      <sheetName val="내역전기"/>
      <sheetName val="동원인원산출"/>
      <sheetName val="기초자료입력"/>
      <sheetName val="토공(우물통,기타) "/>
      <sheetName val="우수"/>
      <sheetName val="일위대가 "/>
      <sheetName val="가시설수량"/>
      <sheetName val="장비집계"/>
      <sheetName val="암센터"/>
      <sheetName val="TYPE-B 평균H"/>
      <sheetName val="공종목록표"/>
      <sheetName val="토공정보"/>
      <sheetName val="2.2.2입적표"/>
      <sheetName val="인부임"/>
      <sheetName val="총괄서"/>
      <sheetName val="특기사항"/>
      <sheetName val="하도내역 (철콘)"/>
      <sheetName val="Y_WORK"/>
      <sheetName val="11.자재단가"/>
      <sheetName val="b_balju"/>
      <sheetName val="GAEYO"/>
      <sheetName val="경비"/>
      <sheetName val="영동(D)"/>
      <sheetName val="원가서"/>
      <sheetName val="건축내역(진해석동)"/>
      <sheetName val="Rates"/>
      <sheetName val="집계표(공종별)"/>
      <sheetName val="명단원자료(이전)"/>
      <sheetName val="송우내역서"/>
      <sheetName val="증감분석"/>
      <sheetName val="용소리교"/>
      <sheetName val="단가산출1"/>
      <sheetName val="98수문일위"/>
      <sheetName val="삼보지질"/>
      <sheetName val="7.전산해석결과"/>
      <sheetName val="4.하중"/>
      <sheetName val="우각부검토"/>
      <sheetName val="기초입력"/>
      <sheetName val="적용토목"/>
      <sheetName val="명세"/>
      <sheetName val="상행-교대(A1)"/>
      <sheetName val="매매"/>
      <sheetName val="전신"/>
      <sheetName val="기간등록"/>
      <sheetName val="대,유,램"/>
      <sheetName val="3.내역서"/>
      <sheetName val="TYPE-1"/>
      <sheetName val="통로box전기"/>
      <sheetName val="밧데리"/>
      <sheetName val="지주설치제원"/>
      <sheetName val="인상효1"/>
      <sheetName val="내역(중앙)"/>
      <sheetName val="내역(창신)"/>
      <sheetName val="물가"/>
      <sheetName val="단위량당중기"/>
      <sheetName val="설명"/>
      <sheetName val="역집계1"/>
      <sheetName val="견적서(1)"/>
      <sheetName val="2234"/>
      <sheetName val="조립1부실적"/>
      <sheetName val="5월"/>
      <sheetName val="능률"/>
      <sheetName val="Despacho (c.civil)"/>
      <sheetName val="CHITIET VL-NC-TT -1p"/>
      <sheetName val="TDTKP1"/>
      <sheetName val="MEXICO-C"/>
      <sheetName val="1을"/>
      <sheetName val="감가상각"/>
      <sheetName val="내역서01"/>
      <sheetName val="인원"/>
      <sheetName val="자판실행"/>
      <sheetName val="화설내"/>
      <sheetName val="CC16-내역서"/>
      <sheetName val="기타시설"/>
      <sheetName val="판매시설"/>
      <sheetName val="아파트"/>
      <sheetName val="주민복지관"/>
      <sheetName val="지하주차장"/>
      <sheetName val="D16"/>
      <sheetName val="D25"/>
      <sheetName val="D22"/>
      <sheetName val="제진기"/>
      <sheetName val="덕소내역"/>
      <sheetName val="적용(기尜_x0013_"/>
      <sheetName val="2.1  노무비 평균단가산출"/>
      <sheetName val="장문교(대전)"/>
      <sheetName val="중간부"/>
      <sheetName val="CLAUSE"/>
      <sheetName val="약품설︀"/>
      <sheetName val="선정요령"/>
      <sheetName val="3CHBDC"/>
      <sheetName val="가격조사서"/>
      <sheetName val="1-11조직표"/>
      <sheetName val="집수정"/>
      <sheetName val="합의경상"/>
      <sheetName val="설계기준"/>
      <sheetName val="내역1"/>
      <sheetName val="구조물터파기수량집계"/>
      <sheetName val="배수공 시멘트 및 골재량 산출"/>
      <sheetName val="공내ᰖ"/>
      <sheetName val="수량이동"/>
      <sheetName val="AS_x0005__x0000_"/>
      <sheetName val="단면"/>
      <sheetName val="NAMES"/>
      <sheetName val="기초자료입력및 K치 확인"/>
      <sheetName val="열린교실"/>
      <sheetName val="경산锼_x0013_閄"/>
      <sheetName val="단면瑌)"/>
      <sheetName val="22단"/>
      <sheetName val="22단锼"/>
      <sheetName val="산근(목록)"/>
      <sheetName val="이형관중량"/>
      <sheetName val="판"/>
      <sheetName val="입적표"/>
      <sheetName val="기성내역서표지"/>
      <sheetName val="기자재׃"/>
      <sheetName val="갑지(0_x0000_"/>
      <sheetName val="단0_x0000_退"/>
      <sheetName val="갑지(렀뚣瘉"/>
      <sheetName val="갑지(_x0000_뎰瘇"/>
      <sheetName val="단면별연장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s"/>
      <sheetName val="스케즐"/>
      <sheetName val="PAINT"/>
      <sheetName val="시운전연료"/>
      <sheetName val="대림경상68억"/>
      <sheetName val="통신물량"/>
      <sheetName val="FOOTING단면력"/>
      <sheetName val="단위세대물량"/>
      <sheetName val="1._x0018_변전설비"/>
      <sheetName val="유동표(변경)"/>
      <sheetName val="단가 "/>
      <sheetName val="과세내역(세부)"/>
      <sheetName val="const."/>
      <sheetName val="건축공사실행"/>
      <sheetName val="백암비스타내역"/>
      <sheetName val="동해title"/>
      <sheetName val="관접합및부설"/>
      <sheetName val="견적"/>
      <sheetName val="기초일위"/>
      <sheetName val="시설일위"/>
      <sheetName val="낙찰표"/>
      <sheetName val="별표 "/>
      <sheetName val="매입세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빗물받이(910-510-410)"/>
      <sheetName val="별표"/>
      <sheetName val="MIJIBI"/>
      <sheetName val="건축직"/>
      <sheetName val="빙축열"/>
      <sheetName val="관리,부대비"/>
      <sheetName val="서식"/>
      <sheetName val="L-type"/>
      <sheetName val="자재비"/>
      <sheetName val="위치조서"/>
      <sheetName val="EKOG10건축"/>
      <sheetName val="중기목록"/>
      <sheetName val="박스토공"/>
      <sheetName val="기준표"/>
      <sheetName val="단가및재료비"/>
      <sheetName val="보호공"/>
      <sheetName val="★도급내역"/>
      <sheetName val="aa"/>
      <sheetName val="현금흐름"/>
      <sheetName val="현장예산"/>
      <sheetName val="Macro3"/>
      <sheetName val="3.자재비(총괄)"/>
      <sheetName val="평가데이터"/>
      <sheetName val="연결관암거"/>
      <sheetName val="SULKEA"/>
      <sheetName val="아파트건축"/>
      <sheetName val="잔수량(작성)"/>
      <sheetName val="효동"/>
      <sheetName val="전체철근집계"/>
      <sheetName val="토목공사"/>
      <sheetName val="토공산출(주차장)"/>
      <sheetName val="Customer Databas"/>
      <sheetName val="적용단위길이"/>
      <sheetName val="피벗테이블데이터분석"/>
      <sheetName val="특수기호강도거푸집"/>
      <sheetName val="종배수관면벽신"/>
      <sheetName val="종배수관(신)"/>
      <sheetName val="대로근거"/>
      <sheetName val="유림골조"/>
      <sheetName val="0.갑지"/>
      <sheetName val="8.현장관리비"/>
      <sheetName val="7.안전관리비"/>
      <sheetName val="전체_1설계"/>
      <sheetName val="자재일람"/>
      <sheetName val="tggwan(mac)"/>
      <sheetName val="Factor"/>
      <sheetName val="w't table"/>
      <sheetName val="UR2-Calculation"/>
      <sheetName val="Man Power &amp; Comp"/>
      <sheetName val="예산M12A"/>
      <sheetName val="환율-LIBOR"/>
      <sheetName val="J"/>
      <sheetName val="01AC"/>
      <sheetName val="수성페인트도장 내역서"/>
      <sheetName val="구의33고"/>
      <sheetName val="SLIDES"/>
      <sheetName val="견적율"/>
      <sheetName val="설계개요"/>
      <sheetName val="E총"/>
      <sheetName val="실행"/>
      <sheetName val="단가조사-1"/>
      <sheetName val="단가조사-2"/>
      <sheetName val="기본설계도급항목"/>
      <sheetName val="단가비교표_공통1"/>
      <sheetName val="일(4)"/>
      <sheetName val="교각별수량"/>
      <sheetName val="원가산출서"/>
      <sheetName val="Dae_Jiju"/>
      <sheetName val="Sikje_ingun"/>
      <sheetName val="TREE_D"/>
      <sheetName val="품셈집계표"/>
      <sheetName val="자재조사표(참고용)"/>
      <sheetName val="일반부표집계표"/>
      <sheetName val="PIPE"/>
      <sheetName val="VALVE"/>
      <sheetName val="Languages"/>
      <sheetName val="Vari by Vendor"/>
      <sheetName val="DATA-UPS"/>
      <sheetName val="공조기(삭제)"/>
      <sheetName val="차종별"/>
      <sheetName val="구동"/>
      <sheetName val="내역서(전체)"/>
      <sheetName val="97 사업추정(WEKI)"/>
      <sheetName val="입고장부 (4)"/>
      <sheetName val="년도별노임표"/>
      <sheetName val="중기목록표"/>
      <sheetName val="경율산정"/>
      <sheetName val="원내역서3"/>
      <sheetName val="3도로"/>
      <sheetName val="101동"/>
      <sheetName val="2002하반기노임기준"/>
      <sheetName val="본부장"/>
      <sheetName val="대림산업"/>
      <sheetName val="WEON"/>
      <sheetName val="경상"/>
      <sheetName val="가설"/>
      <sheetName val="BabyÀÏÀ§´ë°¡"/>
      <sheetName val="NìüëÒ-òÅ"/>
      <sheetName val="°£¼±°è»ê"/>
      <sheetName val="´ë±¸½ÇÇà"/>
      <sheetName val="0.Áý°è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접지1종"/>
      <sheetName val="중동상가"/>
      <sheetName val="표층포설및다짐"/>
      <sheetName val="5.공종별예산내역서"/>
      <sheetName val="2002상반기노임기준"/>
      <sheetName val="내역서(삼호)"/>
      <sheetName val="기계설비"/>
      <sheetName val="220 (2)"/>
      <sheetName val="총인원"/>
      <sheetName val="직급인원"/>
      <sheetName val="예산조서(무선)"/>
      <sheetName val="예산M11A"/>
      <sheetName val="L형옹벽측구"/>
      <sheetName val="3본사"/>
      <sheetName val="교대"/>
      <sheetName val="unit"/>
      <sheetName val="차수공개요"/>
      <sheetName val="계획금액"/>
      <sheetName val="하도급변경대비표"/>
      <sheetName val="2000용수잠관-수량집계"/>
      <sheetName val="공사내역"/>
      <sheetName val="3련 B_x0005__x0000_"/>
      <sheetName val="기성수금(단단위)"/>
      <sheetName val="원가매출(단단위)"/>
      <sheetName val="아수배전(1회)"/>
      <sheetName val="인건비_조사"/>
      <sheetName val="세부견적서(DAS Call Back)"/>
      <sheetName val="OPGW기별"/>
      <sheetName val="단중표-ST"/>
      <sheetName val="적용건축"/>
      <sheetName val="설치 일위대가(4԰_x0000_缀_x0000__x0000__x0000_"/>
      <sheetName val="기지국"/>
      <sheetName val="프로젝트"/>
      <sheetName val="99년신청"/>
      <sheetName val="콘_재료분리(1)"/>
      <sheetName val="내역서 "/>
      <sheetName val="DATA 입력부"/>
      <sheetName val="승용"/>
      <sheetName val="1차 내역서"/>
      <sheetName val="배수관토공"/>
      <sheetName val="깨기수량"/>
      <sheetName val="우수공"/>
      <sheetName val="견적정보"/>
      <sheetName val="RE9604"/>
      <sheetName val="노임단가표"/>
      <sheetName val="5.동별횡주관경"/>
      <sheetName val="일위(시설)"/>
      <sheetName val="총괄갑 "/>
      <sheetName val="추가예산"/>
      <sheetName val="CB"/>
      <sheetName val="CS2"/>
      <sheetName val="오동"/>
      <sheetName val="대조"/>
      <sheetName val="나한"/>
      <sheetName val="INPUT(덕도방향-시점)"/>
      <sheetName val="제품"/>
      <sheetName val="2.펌프장(사급자재)"/>
      <sheetName val="기존단가 (2)"/>
      <sheetName val="OZ049E"/>
      <sheetName val="배수내역(총수량)"/>
      <sheetName val="급명"/>
      <sheetName val="층"/>
      <sheetName val="용산1(해보)"/>
      <sheetName val="단가조사표"/>
      <sheetName val="설계내역서(기계)"/>
      <sheetName val="내역서비교"/>
      <sheetName val="수주실적0709"/>
      <sheetName val="위성"/>
      <sheetName val="남양구조시험동"/>
      <sheetName val="직원동원SCH"/>
      <sheetName val="내역(토목)"/>
      <sheetName val="주beam"/>
      <sheetName val="음봉방향"/>
      <sheetName val="자료(통합)"/>
      <sheetName val="발주내역"/>
      <sheetName val="제3장 기술업무"/>
      <sheetName val="바닥판"/>
      <sheetName val="건축원가"/>
      <sheetName val="두앙"/>
      <sheetName val="BREAKDOWN"/>
      <sheetName val="1"/>
      <sheetName val="샤워실위생"/>
      <sheetName val="현장경비"/>
      <sheetName val="REINF."/>
      <sheetName val="full (2)"/>
      <sheetName val="hvac내역서(제어동)"/>
      <sheetName val="옥외"/>
      <sheetName val="목록1"/>
      <sheetName val="목록2"/>
      <sheetName val="실행예산서"/>
      <sheetName val="BOX 본체"/>
      <sheetName val="제4절-1"/>
      <sheetName val="총괄-1"/>
      <sheetName val=" 토목 처리장도급내역서 "/>
      <sheetName val="BOX(1.5X1.5)"/>
      <sheetName val="기초및구체공"/>
      <sheetName val="도급"/>
      <sheetName val="인공(100P,배선반)"/>
      <sheetName val="홈통받이수량"/>
      <sheetName val="공통가설공사"/>
      <sheetName val="당사"/>
      <sheetName val="설내역서 "/>
      <sheetName val="WING3"/>
      <sheetName val="실행(1)"/>
      <sheetName val="토적표"/>
      <sheetName val="공사수행방안"/>
      <sheetName val="단위중량"/>
      <sheetName val="단위집계표"/>
      <sheetName val="2000년하반기"/>
      <sheetName val="견적대비표"/>
      <sheetName val="G.R300경비"/>
      <sheetName val="개소별수량산출"/>
      <sheetName val="Data2"/>
      <sheetName val="현장관리비"/>
      <sheetName val="일위목차"/>
      <sheetName val="2BOX본체"/>
      <sheetName val="설-원가"/>
      <sheetName val="4)유동표"/>
      <sheetName val="입력"/>
      <sheetName val="0217상가미분양자산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0현장조직"/>
      <sheetName val="3-1-12"/>
      <sheetName val="3-1-3"/>
      <sheetName val="21301동"/>
      <sheetName val="TB-내역서"/>
      <sheetName val="Instruction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교육종류"/>
      <sheetName val="견적서1"/>
      <sheetName val="堀᎟"/>
      <sheetName val="¼ö·®»êÃÈ"/>
      <sheetName val="¼ö·®»êÃX"/>
      <sheetName val="壈᎟"/>
      <sheetName val="쀀ፐ"/>
      <sheetName val="죈፺"/>
      <sheetName val="惈፵"/>
      <sheetName val="기본일위"/>
      <sheetName val="pbs_lambda"/>
      <sheetName val="Matériel embarqué PVC"/>
      <sheetName val="공사내역서(을)실행"/>
      <sheetName val="(2)"/>
      <sheetName val="세부내역서"/>
      <sheetName val="일위산출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인원계획"/>
      <sheetName val="내역."/>
      <sheetName val="부대"/>
      <sheetName val="시행예산"/>
      <sheetName val="자압1"/>
      <sheetName val="고창방향"/>
      <sheetName val="변품8-37"/>
      <sheetName val="참조(2)"/>
      <sheetName val="참조"/>
      <sheetName val="현장일보"/>
      <sheetName val="부산4"/>
      <sheetName val="가로등제어반 설치공사(수량)"/>
      <sheetName val="토목검측서"/>
      <sheetName val="설계일반"/>
      <sheetName val="VENDOR LIST"/>
      <sheetName val="유림총괄"/>
      <sheetName val="기성내역서"/>
      <sheetName val="PAD TR보호대기초"/>
      <sheetName val="가로등기초"/>
      <sheetName val="HANDHOLE(2)"/>
      <sheetName val="공통비"/>
      <sheetName val="COL"/>
      <sheetName val="토목공사일반"/>
      <sheetName val="환률"/>
      <sheetName val="금광1터널"/>
      <sheetName val="총(신설)"/>
      <sheetName val="역삼"/>
      <sheetName val="cal"/>
      <sheetName val="구조물공집계"/>
      <sheetName val="부대집계"/>
      <sheetName val="Ext. Stone-P"/>
      <sheetName val="건축공사 집계표"/>
      <sheetName val="골조"/>
      <sheetName val="토공실행"/>
      <sheetName val="품셈기준"/>
      <sheetName val="96작생능"/>
      <sheetName val="4.2.1 마루높이 검토"/>
      <sheetName val="이토변실(A3-LINE)"/>
      <sheetName val="평가내역"/>
      <sheetName val="직접인건비"/>
      <sheetName val="토공대가"/>
      <sheetName val="구조대가"/>
      <sheetName val="포설대가1"/>
      <sheetName val="부대대가"/>
      <sheetName val="적용기준표(98년상반기)"/>
      <sheetName val="B.O.M"/>
      <sheetName val="구간산출"/>
      <sheetName val="0001(arch)"/>
      <sheetName val="금호산업"/>
      <sheetName val="1F"/>
      <sheetName val="Tot-sum"/>
      <sheetName val="154TW"/>
      <sheetName val="일반수량집계"/>
      <sheetName val="모델링"/>
      <sheetName val="캔개발배경"/>
      <sheetName val="시장"/>
      <sheetName val="일정표"/>
      <sheetName val="지하1층"/>
      <sheetName val="2000.11¿ù¼³餀㢘ԯ_x0000_缀_x0000_"/>
      <sheetName val="변경총괄지(1)"/>
      <sheetName val="단양 00 아파트-세부내역"/>
      <sheetName val="PANEL"/>
      <sheetName val="현대물량"/>
      <sheetName val="테이블"/>
      <sheetName val="설명서 "/>
      <sheetName val="한전고리-을"/>
      <sheetName val="설계변경내역서"/>
      <sheetName val="진접"/>
      <sheetName val="사급자재(1단계)"/>
      <sheetName val="환"/>
      <sheetName val="예산내역서"/>
      <sheetName val="예비품"/>
      <sheetName val="2공구수량"/>
      <sheetName val="Option"/>
      <sheetName val="NAI"/>
      <sheetName val="공주-교대(A1)"/>
      <sheetName val="공용시설내역"/>
      <sheetName val="내역서단가산출용"/>
      <sheetName val="가CP"/>
      <sheetName val="구조     ."/>
      <sheetName val="1)fs"/>
      <sheetName val="청구내역(9807)"/>
      <sheetName val="덕전리"/>
      <sheetName val="신공"/>
      <sheetName val="현황산출서"/>
      <sheetName val="Sheet16 (2)"/>
      <sheetName val="쌍송교"/>
      <sheetName val="대창(함평)"/>
      <sheetName val="GI-LIST"/>
      <sheetName val="대구-교대(A1)"/>
      <sheetName val="시초1교"/>
      <sheetName val="C.배수관공"/>
      <sheetName val="표 지"/>
      <sheetName val="대가목록"/>
      <sheetName val="단위가격"/>
      <sheetName val="단가결정"/>
      <sheetName val="내역아"/>
      <sheetName val="울타리"/>
      <sheetName val="기흥하도용"/>
      <sheetName val="납부서"/>
      <sheetName val="계약표지"/>
      <sheetName val="기준비용"/>
      <sheetName val="Front"/>
      <sheetName val="일위대가(여기까지)"/>
      <sheetName val="단위_xdc00_ὗ␀"/>
      <sheetName val="3.하중산정4.지지력"/>
      <sheetName val="22단가(철完9"/>
      <sheetName val="지질조사"/>
      <sheetName val="T1"/>
      <sheetName val="전력"/>
      <sheetName val="토공집계표"/>
      <sheetName val="이름정의"/>
      <sheetName val="초기화면1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분양가격표"/>
      <sheetName val="현장설က_x0000_蠀ᛟ"/>
      <sheetName val="학생내역"/>
      <sheetName val="Working(wo WTs)"/>
      <sheetName val="주조정실"/>
      <sheetName val="Requirements"/>
      <sheetName val="원가계산하도"/>
      <sheetName val="거푸집물량"/>
      <sheetName val="단위_x0000__x0000_尀"/>
      <sheetName val="단위ࠀᎄ䰀"/>
      <sheetName val="단위倀❹缀"/>
      <sheetName val="단위耀ὡ"/>
      <sheetName val="MAT"/>
      <sheetName val="적용기준"/>
      <sheetName val="설변물량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전류"/>
      <sheetName val="데이터북"/>
      <sheetName val="조명참고자료"/>
      <sheetName val="Cable schedule"/>
      <sheetName val="V-data"/>
      <sheetName val="L-data"/>
      <sheetName val="P-data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보호"/>
      <sheetName val="성남여성복지내역"/>
      <sheetName val="(A)내역서"/>
      <sheetName val="간지"/>
      <sheetName val="총체보활공정표"/>
      <sheetName val="B부대공"/>
      <sheetName val="아산경희980422"/>
      <sheetName val="소일위대가코드표"/>
      <sheetName val="대비표"/>
      <sheetName val="MANUFACTORY"/>
      <sheetName val="강북라우터"/>
      <sheetName val="물량집계"/>
      <sheetName val="역T형"/>
      <sheetName val="사각맨0"/>
      <sheetName val="105,106,107동"/>
      <sheetName val="수로교총재료齘_x0013_"/>
      <sheetName val="통신단가조사"/>
      <sheetName val="산출2-기기동력"/>
      <sheetName val="견적의ᰀ፜"/>
      <sheetName val="사각맨᠜"/>
      <sheetName val="공기԰_x0000_缀"/>
      <sheetName val="설계睮め_x0005_"/>
      <sheetName val="CF"/>
      <sheetName val="A 견적"/>
      <sheetName val="전기일위목록"/>
      <sheetName val="가계부"/>
      <sheetName val="제품목록"/>
      <sheetName val="매입매출관리"/>
      <sheetName val="UPDATA"/>
      <sheetName val="원가계산서(남측)"/>
      <sheetName val="단가보완"/>
      <sheetName val="5사남"/>
      <sheetName val="각종장비전압강하계산"/>
      <sheetName val="시중노임(공사)"/>
      <sheetName val="설계변경내역 98"/>
      <sheetName val="설계산출표지"/>
      <sheetName val="제丵"/>
      <sheetName val="설계산출기초"/>
      <sheetName val="도급예산내역서봉투"/>
      <sheetName val="도급예산내역서총괄표"/>
      <sheetName val="을부담운반비"/>
      <sheetName val="운반비산출"/>
      <sheetName val="22단丵"/>
      <sheetName val="22단헾"/>
      <sheetName val="상 부"/>
      <sheetName val="차선도색현황"/>
      <sheetName val="전선_및_전선ࠝ"/>
      <sheetName val="대,怀፵"/>
      <sheetName val="단가적용(터널)"/>
      <sheetName val="단위가격_할증"/>
      <sheetName val="제"/>
      <sheetName val="산출및내역"/>
      <sheetName val="총괄집䠄ᡏ"/>
      <sheetName val="예산M6-B"/>
      <sheetName val="96.12"/>
      <sheetName val="조건입력"/>
      <sheetName val="조건입력(2)"/>
      <sheetName val="장비선정"/>
      <sheetName val="화전내"/>
      <sheetName val="변경품셈"/>
      <sheetName val="대가 (보완)"/>
      <sheetName val="세부내역(직접인건비)"/>
      <sheetName val="견적사양비교표"/>
      <sheetName val="접속도로"/>
      <sheetName val="토목원가계窨_x0013_"/>
      <sheetName val="교실"/>
      <sheetName val="견적단가"/>
      <sheetName val="조명투자및환수계획"/>
      <sheetName val="제조중간결과"/>
      <sheetName val="암거공"/>
      <sheetName val="-15.0"/>
      <sheetName val="해평견적"/>
      <sheetName val="사리부설"/>
      <sheetName val="1월"/>
      <sheetName val="임대견적서"/>
      <sheetName val="단가견적조사표"/>
      <sheetName val="포쐀䑣"/>
      <sheetName val="포䠟⥏"/>
      <sheetName val="포䠠⥏"/>
      <sheetName val="포䈀㙪"/>
      <sheetName val="정산입력"/>
      <sheetName val="개산공사비"/>
      <sheetName val="총괄집桶青"/>
      <sheetName val="01상노임"/>
      <sheetName val="토 적 표"/>
      <sheetName val="골재산출"/>
      <sheetName val="진주䈀ᅪ"/>
      <sheetName val="도장수량(하1)"/>
      <sheetName val="사업수지"/>
      <sheetName val="기계경비단가"/>
      <sheetName val="栍ᾆ"/>
      <sheetName val="APT"/>
      <sheetName val="부하"/>
      <sheetName val="도체종-상수표"/>
      <sheetName val="동원인원"/>
      <sheetName val="자재 집계표"/>
      <sheetName val="백호헾】_x0005_"/>
      <sheetName val="36신설수翇"/>
      <sheetName val="36신설수︀"/>
      <sheetName val="견적꓀᥻"/>
      <sheetName val="36신설수Ç"/>
      <sheetName val="36신설수資"/>
      <sheetName val="공사비증감"/>
      <sheetName val="정화조"/>
      <sheetName val="미지급내역"/>
      <sheetName val="매입내역 "/>
      <sheetName val="거래처별지출내역"/>
      <sheetName val="총(철거)"/>
      <sheetName val="세동별비상"/>
      <sheetName val="참조M"/>
      <sheetName val="LAB"/>
      <sheetName val="9509"/>
      <sheetName val="금융비용"/>
      <sheetName val="Inquiry"/>
      <sheetName val="36신丵〒_x0005_"/>
      <sheetName val="신공항A-9헾】_x0005__x0000__x0000_"/>
      <sheetName val="A(Rev.3)"/>
      <sheetName val="부총"/>
      <sheetName val="금액결揄"/>
      <sheetName val="기존구조물철거집계계표"/>
      <sheetName val="내역서(교량)전체"/>
      <sheetName val="장비경비"/>
      <sheetName val="투찰가"/>
      <sheetName val="원가계墬ᥓ"/>
      <sheetName val="원가계Ⴌ_x0000_"/>
      <sheetName val="관로토공집계표"/>
      <sheetName val="3회기성헾】"/>
      <sheetName val="변경비교헾】"/>
      <sheetName val="3회기성䃸〒"/>
      <sheetName val="3회기성_x0005__x0000_"/>
      <sheetName val="3회기성吸("/>
      <sheetName val="3회기성ⱂ⿌"/>
      <sheetName val="3회기성埀0"/>
      <sheetName val="제철"/>
      <sheetName val="건공실"/>
      <sheetName val="입찰사유서 제4공종 (흙깎기)"/>
      <sheetName val="하부철근수량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코드"/>
      <sheetName val="물가대비표"/>
      <sheetName val="배관단가조사서"/>
      <sheetName val="약전닥트"/>
      <sheetName val="건축부하"/>
      <sheetName val="동력부하계산"/>
      <sheetName val="기성공제요청서"/>
      <sheetName val="하도기성내역 수정"/>
      <sheetName val="기성공제 동의서"/>
      <sheetName val="기성공제 합의서(쓰레기처리비)"/>
      <sheetName val="969910( R)"/>
      <sheetName val="전장품(관리용)"/>
      <sheetName val="내역서(당초변경)"/>
      <sheetName val="견적시담(송포2공구)"/>
      <sheetName val="IMP_(REACTOR)"/>
      <sheetName val="단위별 일위대가표"/>
      <sheetName val="자재테이블"/>
      <sheetName val="토공 total"/>
      <sheetName val="산#2-1 (2)"/>
      <sheetName val="단가비교표 (계측제어)"/>
      <sheetName val="꣈፺"/>
      <sheetName val="저፺"/>
      <sheetName val="︀ᇕ"/>
      <sheetName val="카렌스센터계량기설치공사"/>
      <sheetName val="전체내ﰀ⁗"/>
      <sheetName val="전체내저፺"/>
      <sheetName val="전체내堀᎟"/>
      <sheetName val="인건비堀"/>
      <sheetName val="전체내︀ᇕ"/>
      <sheetName val="전체내怀፵"/>
      <sheetName val="변경비鰀፰"/>
      <sheetName val="㰀"/>
      <sheetName val="ꀀ"/>
      <sheetName val="전체내죃፺"/>
      <sheetName val="주관锼_x0013_"/>
      <sheetName val="전체내쀀ፐ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견적堀᎟"/>
      <sheetName val="교대(A1挔"/>
      <sheetName val="기성내역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내역서(기성청구)"/>
      <sheetName val="위치"/>
      <sheetName val="공작물조직표(용배수)"/>
      <sheetName val="날개수량1.5"/>
      <sheetName val="몰탈䠊ፓ㠀擞"/>
      <sheetName val="bdata-출력안함"/>
      <sheetName val="공리공제"/>
      <sheetName val="준공정산"/>
      <sheetName val="자재ᰀ፜搀"/>
      <sheetName val="발전기"/>
      <sheetName val="GEN"/>
      <sheetName val="WIND-EQ"/>
      <sheetName val="수안보-徸〒_x0005__x0000_"/>
      <sheetName val="비목군분류일위"/>
      <sheetName val="입출재고현⩿〚_x0005__x0000_"/>
      <sheetName val="º¯°æ»çÀ_x0000_"/>
      <sheetName val="수안보-娐&gt;闰⿑"/>
      <sheetName val="수안보-ꮸ⿥_x0005__x0000_"/>
      <sheetName val="백호丵〒_x0005_"/>
      <sheetName val="철근총괄집계표"/>
      <sheetName val="공사착공계"/>
      <sheetName val="참조 DATA"/>
      <sheetName val="팔당터널(1공구)"/>
      <sheetName val="1.취수장"/>
      <sheetName val="EJ"/>
      <sheetName val="앉음벽 (2)"/>
      <sheetName val="선로정수계산"/>
      <sheetName val="지입자재"/>
      <sheetName val="상반기손익차2총괄"/>
      <sheetName val="DRAIN DRUM PIT D-301"/>
      <sheetName val="TYPE집계표"/>
      <sheetName val="MW-BM"/>
      <sheetName val="요약"/>
      <sheetName val="º¯°æ»çÀþ"/>
      <sheetName val="제수변︀ᇕ"/>
      <sheetName val="결과조Ⴚ"/>
      <sheetName val="결과조º"/>
      <sheetName val="º¯°æ»çÀ¸"/>
      <sheetName val="º¯°æ»çÀ5"/>
      <sheetName val="º¯°æ»çÀ "/>
      <sheetName val="제수변﹔ᇕ"/>
      <sheetName val="º¯°æ»çÀB"/>
      <sheetName val="단가일䊱"/>
      <sheetName val="K1자재(3차등)"/>
      <sheetName val="제수변䊱ᅪ"/>
      <sheetName val="경영상태"/>
      <sheetName val="2호맨홀공제수량"/>
      <sheetName val="KSHAHU-6"/>
      <sheetName val="일위(설)"/>
      <sheetName val="석재장조사"/>
      <sheetName val="전기공사일위대가"/>
      <sheetName val="일위단가"/>
      <sheetName val="파일의이용"/>
      <sheetName val="유동표"/>
      <sheetName val="FRT_O"/>
      <sheetName val="FAB_I"/>
      <sheetName val="2002계약현황"/>
      <sheetName val="견적접수"/>
      <sheetName val="견적내역서"/>
      <sheetName val="48신설수량"/>
      <sheetName val="원본(갑지)"/>
      <sheetName val="전등부하"/>
      <sheetName val="O＆P"/>
      <sheetName val="결재판(삭제하지말아주세요)"/>
      <sheetName val="케이블"/>
      <sheetName val="본사인상전"/>
      <sheetName val="단가산출-기,교"/>
      <sheetName val="유첨䈀ᅪ"/>
      <sheetName val="업체별기성내역"/>
      <sheetName val="기계경비및산출근거서"/>
      <sheetName val="토공,기초"/>
      <sheetName val="자재 단가표"/>
      <sheetName val="FAB별"/>
      <sheetName val="주간계획"/>
      <sheetName val="PIPING"/>
      <sheetName val="선택"/>
      <sheetName val="총괄원가 "/>
      <sheetName val="Pricelist TAC AB"/>
      <sheetName val="물가정보자료"/>
      <sheetName val="萀⅜"/>
      <sheetName val="의정부문예회관변경내역"/>
      <sheetName val="POL6차-PIPING"/>
      <sheetName val="장비당단가 (1)"/>
      <sheetName val="대비내역"/>
      <sheetName val="소운반"/>
      <sheetName val="공종구간"/>
      <sheetName val="산출0"/>
      <sheetName val="물墸᎟鰀"/>
      <sheetName val="화재 탐지_x0005__x0000_"/>
      <sheetName val="샘플표지"/>
      <sheetName val="가중치"/>
      <sheetName val="일위대가(건축)"/>
      <sheetName val="자재목록표"/>
      <sheetName val="단중聀"/>
      <sheetName val="사급자재총괄"/>
      <sheetName val="당정동경상이수"/>
      <sheetName val="당정동공통이수"/>
      <sheetName val="차수"/>
      <sheetName val="TG9504"/>
      <sheetName val="1995년 섹터별 매출"/>
      <sheetName val="ROOF(ALKALI)"/>
      <sheetName val="貭♘"/>
      <sheetName val="역T형옹벽(3.0)"/>
      <sheetName val="master(total)"/>
      <sheetName val="평3"/>
      <sheetName val="실행(ALT1)"/>
      <sheetName val="경로,구간현황"/>
      <sheetName val="전신환매도徸"/>
      <sheetName val="제잡비"/>
      <sheetName val="총괄분 설계서용지"/>
      <sheetName val="YES.XLS"/>
      <sheetName val="PIPE내역(FCN)"/>
      <sheetName val="ML"/>
      <sheetName val="2.대외공문"/>
      <sheetName val="4월"/>
      <sheetName val="8월"/>
      <sheetName val="12월"/>
      <sheetName val="2월"/>
      <sheetName val="7월"/>
      <sheetName val="6월"/>
      <sheetName val="3월"/>
      <sheetName val="11월"/>
      <sheetName val="10월"/>
      <sheetName val="9월"/>
      <sheetName val="자재조사표"/>
      <sheetName val="LANGUAGE"/>
      <sheetName val="건축-물가변동"/>
      <sheetName val="기계설비-물가변동"/>
      <sheetName val="inter"/>
      <sheetName val="공무공A"/>
      <sheetName val="사용자정의"/>
      <sheetName val="제품표준규격"/>
      <sheetName val="내역기준"/>
      <sheetName val="96노임기준"/>
      <sheetName val="치수표"/>
      <sheetName val="CRUDE RE-bar"/>
      <sheetName val="기둥"/>
      <sheetName val="저판(버림100)"/>
      <sheetName val="재료-CODE"/>
      <sheetName val="내역_FILE"/>
      <sheetName val="9.2단가산출서"/>
      <sheetName val="손료"/>
      <sheetName val="RING WALL"/>
      <sheetName val="옹벽1"/>
      <sheetName val="균열"/>
      <sheetName val="노᠀⁷"/>
      <sheetName val="bearing"/>
      <sheetName val="연돌일위집계"/>
      <sheetName val="Recovered_Sheet1"/>
      <sheetName val="원가상세내역"/>
      <sheetName val="2004경영(비목별)"/>
      <sheetName val="2004경영"/>
      <sheetName val="손익집계(공장별)"/>
      <sheetName val="안양1공구_건축"/>
      <sheetName val="북방3터널"/>
      <sheetName val="LIST"/>
      <sheetName val="esc"/>
      <sheetName val="예산"/>
      <sheetName val="회사99"/>
      <sheetName val="CAPVC"/>
      <sheetName val="방배동내역(리라)"/>
      <sheetName val="건축공사집계표"/>
      <sheetName val="방배동내역 (총괄)"/>
      <sheetName val="부대공사총괄"/>
      <sheetName val="변수2"/>
      <sheetName val="저항"/>
      <sheetName val="도급FORM"/>
      <sheetName val="정산내역서"/>
      <sheetName val="98수금사업"/>
      <sheetName val="설계서"/>
      <sheetName val="신.분"/>
      <sheetName val="간접경상비"/>
      <sheetName val="귀래방향"/>
      <sheetName val="운반비산정"/>
      <sheetName val="거래명세서"/>
      <sheetName val="5차설계"/>
      <sheetName val="형식별 개략공사비"/>
      <sheetName val="중기사용료산출근거"/>
      <sheetName val="TYPE-U800"/>
      <sheetName val="일위대가-1"/>
      <sheetName val="배관내역"/>
      <sheetName val="POWER"/>
      <sheetName val="교대일반수량"/>
      <sheetName val="단가대비"/>
      <sheetName val="갑(전기)"/>
      <sheetName val="금액집계"/>
      <sheetName val="토목내역서"/>
      <sheetName val="국별인원"/>
      <sheetName val="설치공사비"/>
      <sheetName val=" 냉각수펌프"/>
      <sheetName val="기준"/>
      <sheetName val="현장별계약현황('98.10.31)"/>
      <sheetName val="현장관리비데이타"/>
      <sheetName val="변경내역"/>
      <sheetName val="FRP배관단가(만수)"/>
      <sheetName val="만수배관단가"/>
      <sheetName val="공사비명세서"/>
      <sheetName val="자재집계 &amp; 총괄표"/>
      <sheetName val="포장절단"/>
      <sheetName val="가동비율"/>
      <sheetName val="산업개발안내서"/>
      <sheetName val="미드수량"/>
      <sheetName val="±âÀÚÀç´ëºñÇ¥"/>
      <sheetName val="¿¬°áÀÓ½Ã"/>
      <sheetName val="°ü±Þ"/>
      <sheetName val="당진1,2호기전선관설치및접지4차공사내역서-을지"/>
      <sheetName val="13LPMCC"/>
      <sheetName val="sub"/>
      <sheetName val="옥내소화전계산서"/>
      <sheetName val="건축토목내역"/>
      <sheetName val="가공2원도"/>
      <sheetName val="자단"/>
      <sheetName val="SRC-B3U2"/>
      <sheetName val="변수데이타"/>
      <sheetName val="용수간선"/>
      <sheetName val="Tiburon"/>
      <sheetName val="식재-외주 (2)"/>
      <sheetName val="유효폭의 계산"/>
      <sheetName val="파형강관집계"/>
      <sheetName val="집계(세부총괄)"/>
      <sheetName val="물가변동잔여물량세부내역서"/>
      <sheetName val="신규(방류시설)"/>
      <sheetName val="카메라"/>
      <sheetName val="집계표(육상)"/>
      <sheetName val="102역사"/>
      <sheetName val="상-교대(A1-A2)"/>
      <sheetName val="첨부1"/>
      <sheetName val="재료표"/>
      <sheetName val="공사비 내역"/>
      <sheetName val="Ⅴ-2.공종별내역"/>
      <sheetName val="일위대가(원본)"/>
      <sheetName val="일위대가서식"/>
      <sheetName val="일위대가양식"/>
      <sheetName val="수량산출1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대포2교접속"/>
      <sheetName val="원하도급내역서(당초)"/>
      <sheetName val="등록자료"/>
      <sheetName val="입력정보"/>
      <sheetName val="RangeObject"/>
      <sheetName val="분뇨"/>
      <sheetName val="H-pile(250x250)"/>
      <sheetName val="H-pile(298x299)"/>
      <sheetName val="방음벽기초(H_xd8d4_ㆂᰀㆃ"/>
      <sheetName val="안정검토(온1)"/>
      <sheetName val="갈현동"/>
      <sheetName val="구분자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CT "/>
      <sheetName val="준공조서"/>
      <sheetName val="공사준공계"/>
      <sheetName val="준공검사보고서"/>
      <sheetName val="포장공자재집계표"/>
      <sheetName val="일위대가1"/>
      <sheetName val="철근량"/>
      <sheetName val="일위1"/>
      <sheetName val="공사설계서"/>
      <sheetName val="일반전기C"/>
      <sheetName val="POOM_MOTO"/>
      <sheetName val="기초코徸"/>
      <sheetName val="예산조서(︀ᇕ԰"/>
      <sheetName val="대전-교대(A1-A2)"/>
      <sheetName val="205동"/>
      <sheetName val="성내동"/>
      <sheetName val="5.공종별尜_x0013_層_x0013_闰"/>
      <sheetName val="과세면세표"/>
      <sheetName val="인제내역"/>
      <sheetName val="PARAMETER"/>
      <sheetName val="사통"/>
      <sheetName val="사다리"/>
      <sheetName val="현장지䀀ኀ㠀ኃ"/>
      <sheetName val="부丵〒"/>
      <sheetName val="부司2"/>
      <sheetName val="TYPE1"/>
      <sheetName val="총공사비"/>
      <sheetName val="2000_x0005__x0000__x0000_"/>
      <sheetName val="T13(P68~72,78)"/>
      <sheetName val="㩷"/>
      <sheetName val="렀ⵘ"/>
      <sheetName val="֭_x0000_"/>
      <sheetName val="0_집계"/>
      <sheetName val="성곽내역서"/>
      <sheetName val="16-1"/>
      <sheetName val="Param"/>
      <sheetName val="산출목록표"/>
      <sheetName val="수원공"/>
      <sheetName val="일위(PN)"/>
      <sheetName val="Macro"/>
      <sheetName val="순공사비"/>
      <sheetName val="산출"/>
      <sheetName val="3.상가"/>
      <sheetName val="마장"/>
      <sheetName val="지입집계"/>
      <sheetName val="공종별 집계"/>
      <sheetName val="용역비내역-진짜"/>
      <sheetName val="계림(함평)"/>
      <sheetName val="계림(장성)"/>
      <sheetName val="일별1"/>
      <sheetName val="집행(2-1)"/>
      <sheetName val="11+040(통로)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용산3(영광)"/>
      <sheetName val="기본사항"/>
      <sheetName val="9."/>
      <sheetName val="설계내"/>
      <sheetName val="설치 일위대가(46~԰_x0000_缀_x0000_"/>
      <sheetName val="성원계약"/>
      <sheetName val="자재표"/>
      <sheetName val="4.일위대가목차"/>
      <sheetName val="적격점수&lt;300억미만&gt;"/>
      <sheetName val="철탑공사"/>
      <sheetName val="N_x0000__x0000_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3-1_CB"/>
      <sheetName val="일위산출근거"/>
      <sheetName val="밀양노선별공사비명세서"/>
      <sheetName val="수량산출서-2"/>
      <sheetName val="1,2,3,4,5단위수량"/>
      <sheetName val="지급자재대"/>
      <sheetName val="재료집계표3"/>
      <sheetName val="범용개발순소요비용"/>
      <sheetName val="다곡2교"/>
      <sheetName val="mesc"/>
      <sheetName val="SUMMARY"/>
      <sheetName val="자재단가壠"/>
      <sheetName val="자재단가厘"/>
      <sheetName val="배수내역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AILC00_x0010_"/>
      <sheetName val="1þ"/>
      <sheetName val="1ð"/>
      <sheetName val="1¨"/>
      <sheetName val="자(3.0m)"/>
      <sheetName val="1¸"/>
      <sheetName val="화재 颮㍓씀넖ԯ"/>
      <sheetName val="가설경비"/>
      <sheetName val="중기가격"/>
      <sheetName val="임시급식ֿ_x0000_缀_x0000_"/>
      <sheetName val="01_ 원가계산서"/>
      <sheetName val="재1"/>
      <sheetName val="2.내역서"/>
      <sheetName val="기성신청"/>
      <sheetName val="1. 가로등 설비 공사(산출)"/>
      <sheetName val="집"/>
      <sheetName val="기성청구현황"/>
      <sheetName val=" ｹ-ﾌﾞﾙ"/>
      <sheetName val="실내건축일위대가"/>
      <sheetName val="5.단가대비표"/>
      <sheetName val="교량전기"/>
      <sheetName val="도담구내 개소별 명세"/>
      <sheetName val="유리"/>
      <sheetName val="익산"/>
      <sheetName val="가격표"/>
      <sheetName val="건축외주"/>
      <sheetName val="시장성초안camera"/>
      <sheetName val="내역5"/>
      <sheetName val="매입세율"/>
      <sheetName val="토목변경"/>
      <sheetName val="일위대가표(무)"/>
      <sheetName val="일위대가산출기초"/>
      <sheetName val="수전기기DATA"/>
      <sheetName val="수량산출(AFC)"/>
      <sheetName val="수량산출(CCTV)"/>
      <sheetName val="수량_작성"/>
      <sheetName val="수량산출(방송)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통신)"/>
      <sheetName val="수량산출(TDI)"/>
      <sheetName val="수량집계(본역사)"/>
      <sheetName val="수량집계(임시역사)"/>
      <sheetName val="AHU-1"/>
      <sheetName val="급탕설비"/>
      <sheetName val="화장실배기팬"/>
      <sheetName val="급탕순환펌프"/>
      <sheetName val="피스표"/>
      <sheetName val="inputdata"/>
      <sheetName val="바이오"/>
      <sheetName val="잡철물"/>
      <sheetName val="노무비(첨부4-4)"/>
      <sheetName val="일반부표"/>
      <sheetName val="뚝토공"/>
      <sheetName val="05년"/>
      <sheetName val="사  업  비  수  지  예  산  서"/>
      <sheetName val="내역서(총괄)"/>
      <sheetName val="공종별 집계표"/>
      <sheetName val="공통가설_8"/>
      <sheetName val="아파트_9"/>
      <sheetName val="직접공사비집계표_7"/>
      <sheetName val="원가집계"/>
      <sheetName val="비교1"/>
      <sheetName val="³²¾ç½ÃÀÛµ¿ÀÚ105³ë65±_x0000__x0000__x0005__x0000_慀ȡ_x0000__x0000__x0000_"/>
      <sheetName val="3련 B姨#"/>
      <sheetName val="평균높이산출근거"/>
      <sheetName val="왕십리방향"/>
      <sheetName val="자금청구"/>
      <sheetName val="Oper Amount"/>
      <sheetName val="怀፵"/>
      <sheetName val="주사무실︀ᇕ"/>
      <sheetName val="주사무실ꠀ፺"/>
      <sheetName val="BOX ꠀ፺"/>
      <sheetName val="맨홀수량"/>
      <sheetName val="㗈቎"/>
      <sheetName val="¼ö·®»êÃ¨"/>
      <sheetName val="단  가  垨4奜4睮⿩_x0005_"/>
      <sheetName val="공사직종별노임"/>
      <sheetName val="굴착현장"/>
      <sheetName val="품종별월계"/>
      <sheetName val="금액내㔀቎"/>
      <sheetName val="청하배수"/>
      <sheetName val="조도계산서_(도서)"/>
      <sheetName val="1_설계조건"/>
      <sheetName val="단__가__대__비__표"/>
      <sheetName val="일__위__대__가__목__록"/>
      <sheetName val="90_03실행_"/>
      <sheetName val="3_공통공사대비"/>
      <sheetName val="지하"/>
      <sheetName val="식재일위대가"/>
      <sheetName val="계양가시설"/>
      <sheetName val="N頀ᚃ"/>
      <sheetName val="PREFACE"/>
      <sheetName val="예총"/>
      <sheetName val="1호맨홀토공"/>
      <sheetName val="도근좌표"/>
      <sheetName val="1.동력공사"/>
      <sheetName val="내역서1"/>
      <sheetName val="영흥TL(UP,DOWN) "/>
      <sheetName val="참조자료"/>
      <sheetName val="내역서적용수량"/>
      <sheetName val="Macro(부하)"/>
      <sheetName val="차도부연장현황"/>
      <sheetName val="국도접속 차도부수량"/>
      <sheetName val="원곡IC교 내진성능보강공사 실시설계 용역.xlsx"/>
      <sheetName val="금강견적"/>
      <sheetName val="공사"/>
      <sheetName val="W-현원가"/>
      <sheetName val="부대토목"/>
      <sheetName val="개별직종노임단가(2005.1)"/>
      <sheetName val="노임,자재"/>
      <sheetName val="기계경비(맨홀)"/>
      <sheetName val="인수공규격"/>
      <sheetName val="가시설(TYPE-A)"/>
      <sheetName val="1호맨홀가감수량"/>
      <sheetName val="1-1평균터파기고(1)"/>
      <sheetName val="1호맨홀수량산출"/>
      <sheetName val="CON'C"/>
      <sheetName val="전체공내역서"/>
      <sheetName val="퍼스트"/>
      <sheetName val="개봉3동하수관"/>
      <sheetName val="제조 경영"/>
      <sheetName val="일반수량총괄집계"/>
      <sheetName val="증감䈀ᅪ"/>
      <sheetName val="일목"/>
      <sheetName val="전체총괄"/>
      <sheetName val="삼성전기"/>
      <sheetName val="조견표"/>
      <sheetName val="관헾"/>
      <sheetName val="원가(1︀"/>
      <sheetName val="원가(1䠀"/>
      <sheetName val="관聈"/>
      <sheetName val="spec"/>
      <sheetName val="program"/>
      <sheetName val="studbolt no."/>
      <sheetName val="studbolt size"/>
      <sheetName val="item sort no"/>
      <sheetName val="D-3109"/>
      <sheetName val="상가지급현황"/>
      <sheetName val="관_x0005_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2000,午_x0013_꾈ૂ䡲"/>
      <sheetName val="2000,午_x0013_ॢ䡲"/>
      <sheetName val="SANBAISU"/>
      <sheetName val="전체내ᓈባ"/>
      <sheetName val="4렀቟԰"/>
      <sheetName val="4︀ᇕ԰"/>
      <sheetName val="현장관리비 산출내역"/>
      <sheetName val="2.주요계수총괄"/>
      <sheetName val="도장 및 용접 수량"/>
      <sheetName val="sheets"/>
      <sheetName val="예산대비"/>
      <sheetName val="지불내역1"/>
      <sheetName val="집수정(1)"/>
      <sheetName val="사용성검토"/>
      <sheetName val="PAC"/>
      <sheetName val="행거,슈,볼트,펌프,잡재"/>
      <sheetName val="을-ATYPE"/>
      <sheetName val="단가표 (2)"/>
      <sheetName val="안양동교 1안"/>
      <sheetName val="소각장스케줄"/>
      <sheetName val="직접비"/>
      <sheetName val="페인트"/>
      <sheetName val="30신설일위대가"/>
      <sheetName val="30집계표"/>
      <sheetName val="지구단위계획"/>
      <sheetName val="00노임기준"/>
      <sheetName val="일위대가(가설԰"/>
      <sheetName val="신규 품"/>
      <sheetName val="조정내역"/>
      <sheetName val="교대시점"/>
      <sheetName val="공정량산출내역서 "/>
      <sheetName val="음성방향"/>
      <sheetName val="수압집계"/>
      <sheetName val="SP-B1"/>
      <sheetName val="단산"/>
      <sheetName val="실행변경(1차)"/>
      <sheetName val="원가계산(2)"/>
      <sheetName val="2000,咘೿踇⽟_x0000_"/>
      <sheetName val="2000,ﳨǬ踇⾣_x0000_"/>
      <sheetName val="2000,缈,罌,헾"/>
      <sheetName val="2000,薸!藼!헾"/>
      <sheetName val="2000,螨_x0013_蟬_x0013_헾"/>
      <sheetName val="단위목헾"/>
      <sheetName val="산출내역(K2)"/>
      <sheetName val="전체제잡비"/>
      <sheetName val="관기성공.내"/>
      <sheetName val="횡배수관위치조서"/>
      <sheetName val="FEXS"/>
      <sheetName val="PUMP SHT"/>
      <sheetName val="OCT.FDN"/>
      <sheetName val="내역서-전체낙찰율"/>
      <sheetName val="000000"/>
      <sheetName val="재료단가"/>
      <sheetName val="횡배위치"/>
      <sheetName val="계산중"/>
      <sheetName val="부대공집계표"/>
      <sheetName val="관일"/>
      <sheetName val="노무비(DB)_이후 출력XXXXXX"/>
      <sheetName val="철거산출헾】"/>
      <sheetName val="철거산출午_x0013_"/>
      <sheetName val="VS P-Q"/>
      <sheetName val="법면"/>
      <sheetName val="배수공1"/>
      <sheetName val="도급단가-아파트"/>
      <sheetName val="cable-data"/>
      <sheetName val="#3_일위대가목록"/>
      <sheetName val="#2_일위대가목록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인부신상자료"/>
      <sheetName val="변경실행(2차) "/>
      <sheetName val="호표"/>
      <sheetName val="hvac(제어동)"/>
      <sheetName val="5.3 단면가정"/>
      <sheetName val="시추주상도"/>
      <sheetName val="인공산출"/>
      <sheetName val="전기내역서(총계)"/>
      <sheetName val="keyword"/>
      <sheetName val="11"/>
      <sheetName val="1._x005f_x0018_변전설비"/>
      <sheetName val="입렀"/>
      <sheetName val="입栀"/>
      <sheetName val="입ꠀ"/>
      <sheetName val="입︀"/>
      <sheetName val="계정"/>
      <sheetName val="평균환율-USD"/>
      <sheetName val="인원동원계획"/>
      <sheetName val="BIDDING-SUM"/>
      <sheetName val="품목납기"/>
      <sheetName val="시화점실행"/>
      <sheetName val=" 소방공사 산출근거"/>
      <sheetName val="장비명"/>
      <sheetName val="경비공통"/>
      <sheetName val="세목별"/>
      <sheetName val="소개"/>
      <sheetName val="#REF!"/>
      <sheetName val="계열사현황종합"/>
      <sheetName val="basic_info"/>
      <sheetName val="실행내역서 (조경)"/>
      <sheetName val="시설물기초"/>
      <sheetName val="현장대리인계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°ø»ç¿ø°¡°è牨-犬-"/>
      <sheetName val="전체내역갑지"/>
      <sheetName val="倀ᑙ"/>
      <sheetName val="1x"/>
      <sheetName val="栈᲋"/>
      <sheetName val="_xd810_᱓"/>
      <sheetName val="세부내역서(전기)"/>
      <sheetName val="토목내역서 (도급단가)"/>
      <sheetName val="측구터파기공수량집계"/>
      <sheetName val="※참고자료※"/>
      <sheetName val="물량증감"/>
      <sheetName val="9902"/>
      <sheetName val="식재가격"/>
      <sheetName val="식재총괄"/>
      <sheetName val="환율"/>
      <sheetName val="2000.05"/>
      <sheetName val="97노임단가"/>
      <sheetName val="입력란"/>
      <sheetName val="수안보-헾】_x0005__x0000_"/>
      <sheetName val="적격"/>
      <sheetName val="준공조서갑지"/>
      <sheetName val="DT"/>
      <sheetName val="롤러"/>
      <sheetName val="BH"/>
      <sheetName val="펌프차타설"/>
      <sheetName val="총괄집렇♑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공정코드"/>
      <sheetName val="배수관연장산출서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2.조명기구철거(일괄철거분)"/>
      <sheetName val="평균터파기고(1-2,ASP)"/>
      <sheetName val="구조물"/>
      <sheetName val="품셈(기초)"/>
      <sheetName val="형틀공사"/>
      <sheetName val="작용하중산정"/>
      <sheetName val="6차2회변경내역서"/>
      <sheetName val="자재단가_x0005_"/>
      <sheetName val="VXXXXXXX"/>
      <sheetName val="변경비_x0000__x0000_Ѡ"/>
      <sheetName val="증栀ᙿ가"/>
      <sheetName val="국공유지및사유지"/>
      <sheetName val="»êÃ렀䡟ԯ_x0000_缀"/>
      <sheetName val="»êÃ︀ᇕ԰_x0000_缀"/>
      <sheetName val="4/_x0000_䠀"/>
      <sheetName val="4쌇栅/"/>
      <sheetName val="4က_x0000_က"/>
      <sheetName val="INS-SHEET"/>
      <sheetName val="shtOpr"/>
      <sheetName val="제품橂"/>
      <sheetName val="맨홀물량"/>
      <sheetName val="케이블트레이"/>
      <sheetName val="중로근거"/>
      <sheetName val="일위집계(기존)"/>
      <sheetName val="북제주-표지"/>
      <sheetName val="COVERSHEET"/>
      <sheetName val="설계명세_x0000_"/>
      <sheetName val="설계명세揄"/>
      <sheetName val="설계명세䡲"/>
      <sheetName val="설계명세_x0005_"/>
      <sheetName val="DATA 입᠒ᎍ"/>
      <sheetName val="오억미만"/>
      <sheetName val="archi(본사)"/>
      <sheetName val="기계경비산출"/>
      <sheetName val="방음벽 기초 일반헾】"/>
      <sheetName val="배전반용량계산"/>
      <sheetName val="세정탑 설계"/>
      <sheetName val="품셈총괄표"/>
      <sheetName val="[YES.XLS][YES.XLS][YES.XLS]4/_x0000_䠀"/>
      <sheetName val="[YES.XLS][YES.XLS][YES.XLS]4쌇栅/"/>
      <sheetName val="[YES.XLS][YES.XLS]4/_x0000_䠀"/>
      <sheetName val="[YES.XLS][YES.XLS]4쌇栅/"/>
      <sheetName val="교사기준면적(초등)"/>
      <sheetName val="토공및부대2차"/>
      <sheetName val="새공통"/>
      <sheetName val="3절_CheckList_구분"/>
      <sheetName val="적정성평가표(8번)(1순위)"/>
      <sheetName val="적정성평가표(12번)(6순위)"/>
      <sheetName val="기별(종합)"/>
      <sheetName val="옹벽기초자료"/>
      <sheetName val="비탈면보호공수량산출"/>
      <sheetName val="FB25JN"/>
      <sheetName val="동원인원계획표"/>
      <sheetName val="0_x0000_"/>
      <sheetName val="건0_x0000_蠀"/>
      <sheetName val="금0_x0000_䠀"/>
      <sheetName val="금蠣㡎耀"/>
      <sheetName val="2차공사"/>
      <sheetName val="임시전기공사설계서"/>
      <sheetName val="Imp-Data"/>
      <sheetName val="전등수량산출"/>
      <sheetName val="내역서 (1차)"/>
      <sheetName val=" 갑지"/>
      <sheetName val="목표세부명세"/>
      <sheetName val="B767"/>
      <sheetName val="암거단위-1련"/>
      <sheetName val="수안보-墰5壼5"/>
      <sheetName val="/_x0000_"/>
      <sheetName val="က_x0000_"/>
      <sheetName val="포장쌅"/>
      <sheetName val="예산내역"/>
      <sheetName val="총괄수지표"/>
      <sheetName val="변경후원본2"/>
      <sheetName val="LABTOTAL"/>
      <sheetName val="COA-17"/>
      <sheetName val="C-18"/>
      <sheetName val="경성자금"/>
      <sheetName val="SUB일위대가"/>
      <sheetName val="평자재단가"/>
      <sheetName val="95년12월말"/>
      <sheetName val="토목(용인)"/>
      <sheetName val="건축집계"/>
      <sheetName val="AIR_SHOWER(3인용)"/>
      <sheetName val="대가단최종"/>
      <sheetName val="조명율"/>
      <sheetName val="보집계표"/>
      <sheetName val="L형옹벽"/>
      <sheetName val="날개萹"/>
      <sheetName val="OHU"/>
      <sheetName val="순환펌프"/>
      <sheetName val="저수조"/>
      <sheetName val="급,배기팬"/>
      <sheetName val="WO"/>
      <sheetName val="경비산출"/>
      <sheetName val="일위대가표_(2)"/>
      <sheetName val="적용환율"/>
      <sheetName val="DATA-1"/>
      <sheetName val="자탐수량산출서"/>
      <sheetName val="찍기"/>
      <sheetName val="L1"/>
      <sheetName val="97"/>
      <sheetName val="간이연락"/>
      <sheetName val="CABLE_SIZE-3"/>
      <sheetName val="기성내역_진짜"/>
      <sheetName val="TRE_TABLE"/>
      <sheetName val="Sheet1_(2)"/>
      <sheetName val="원가계산서_(총괄)"/>
      <sheetName val="원가계산서_(건축)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현장관리비_"/>
      <sheetName val="5_정산서"/>
      <sheetName val="임시급식_(2)"/>
      <sheetName val="unit_4"/>
      <sheetName val="Summary_Sheets"/>
      <sheetName val="5호광장_(만점)"/>
      <sheetName val="인천국제_(만점)_(2)"/>
      <sheetName val="단면_(2)"/>
      <sheetName val="외주대비_-석축"/>
      <sheetName val="외주대비-구조물_(2)"/>
      <sheetName val="견적표지_(3)"/>
      <sheetName val="BASIC_(2)"/>
      <sheetName val="2007일위_"/>
      <sheetName val="토목일위_(83~)"/>
      <sheetName val="노무비_"/>
      <sheetName val="인건비_"/>
      <sheetName val="전차선로_물량표"/>
      <sheetName val="2000,9월_일위"/>
      <sheetName val="설_계"/>
      <sheetName val="1_설계기준"/>
      <sheetName val="입출재고현황_(2)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설계기준_및_하중계산"/>
      <sheetName val="_상부공통집계(총괄)"/>
      <sheetName val="8__안정검토"/>
      <sheetName val="96보완계획7_12"/>
      <sheetName val="6PILE__(돌출)"/>
      <sheetName val="할丵〒"/>
      <sheetName val="No.2LAB Unit"/>
      <sheetName val="약ྀ︁"/>
      <sheetName val="단가산출2"/>
      <sheetName val="광통신 견적내역서1"/>
      <sheetName val="투찰(하수)"/>
      <sheetName val="토공총괄표"/>
      <sheetName val="차압계산"/>
      <sheetName val="사업계획1안"/>
      <sheetName val="월별수입"/>
      <sheetName val="BREAKDOWN(철거설치)"/>
      <sheetName val="A1_본체_수량산출서"/>
      <sheetName val="주소록"/>
      <sheetName val="가옥조"/>
      <sheetName val="8. 안_x0000__x0000__x0005_"/>
      <sheetName val="총괄집㸁䧾"/>
      <sheetName val="우,오수"/>
      <sheetName val="card1"/>
      <sheetName val="흙쌓기도수로설치현황(1)"/>
      <sheetName val="무전표"/>
      <sheetName val="마산방향철근집계"/>
      <sheetName val="전력구구조물산근2구간"/>
      <sheetName val="전부인쇄"/>
      <sheetName val="1.외주공사"/>
      <sheetName val="2.직영공사"/>
      <sheetName val="첨부"/>
      <sheetName val="계산DATA입력"/>
      <sheetName val="총괄집ᨈꥬ"/>
      <sheetName val="총괄집_x0000__x0000_"/>
      <sheetName val="지중자재단가"/>
      <sheetName val="5정거장"/>
      <sheetName val="1-3길내기"/>
      <sheetName val="J형측구단위수량"/>
      <sheetName val="¿¹Á¤(3က"/>
      <sheetName val="9GN邷㭘"/>
      <sheetName val="정거장"/>
      <sheetName val="길내기"/>
      <sheetName val="¹׃】_x0000_"/>
      <sheetName val="M-EQPT-Z"/>
      <sheetName val="1.3.1절점좌표"/>
      <sheetName val="1.1설계기준"/>
      <sheetName val="전체내ꀀፐ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֬_x0000_"/>
      <sheetName val="전체내ﻈ䓕"/>
      <sheetName val="교대(A1헾"/>
      <sheetName val="하수급견적대鷸"/>
      <sheetName val="전체내棈᎜"/>
      <sheetName val="전체내䠀ᖞ"/>
      <sheetName val="하수급견적대鬘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강교(Sub)"/>
      <sheetName val="일반토공견적"/>
      <sheetName val="전체내ꠀ፺"/>
      <sheetName val="원형측구(B-type)"/>
      <sheetName val="_x0005__x0006__x0008__x0003_"/>
      <sheetName val="_x0000_ _x0000__x0006__x0000__x0006_"/>
      <sheetName val="날개벽(좌,우=60도-4개)"/>
      <sheetName val="전체실적"/>
      <sheetName val="남양주부대"/>
      <sheetName val="투찰금액"/>
      <sheetName val="산#3-1"/>
      <sheetName val="산#3-2"/>
      <sheetName val="배관BM(일반)"/>
      <sheetName val="산#3-2-2"/>
      <sheetName val="b_gunmul"/>
      <sheetName val="b_balju (2)"/>
      <sheetName val="갑(계장)"/>
      <sheetName val="B"/>
      <sheetName val="입력값1"/>
      <sheetName val="MixBed"/>
      <sheetName val="CondPol"/>
      <sheetName val="총괄표(1)"/>
      <sheetName val="수출가격"/>
      <sheetName val="매원개착터널총괄"/>
      <sheetName val="원안"/>
      <sheetName val="[YES.XLS]신표司/"/>
      <sheetName val="소상 &quot;1&quot;"/>
      <sheetName val="교량명원본"/>
      <sheetName val="BOX제원원본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일위대가 (PM)"/>
      <sheetName val="종단계산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԰_x0000_"/>
      <sheetName val="ꠀ"/>
      <sheetName val="전체내저ᚙ"/>
      <sheetName val="전체내ꠀ᪘"/>
      <sheetName val="LKVL-CK-HT-GD1"/>
      <sheetName val="주관⩿〚"/>
      <sheetName val="STEAM"/>
      <sheetName val="AIR"/>
      <sheetName val="항목별사㦬⊄㰀"/>
      <sheetName val="사각맨퀀"/>
      <sheetName val="사각맨堀"/>
      <sheetName val="사각맨䈀"/>
      <sheetName val="세부狇譈"/>
      <sheetName val="사각맨ﻇ"/>
      <sheetName val="몰탈재븧܊"/>
      <sheetName val="견적의"/>
      <sheetName val="견적의烇彰"/>
      <sheetName val="하도급선정의뢰서(습식공_x0000__x0000_"/>
      <sheetName val="일반전기"/>
      <sheetName val="A"/>
      <sheetName val="선금정산내역"/>
      <sheetName val="3-1.일위대가집계표(교통시설물1)"/>
      <sheetName val="1-최종안"/>
      <sheetName val="사업분석-분양가결정"/>
      <sheetName val="작성양식"/>
      <sheetName val="품-(주)코①"/>
      <sheetName val="매출단가"/>
      <sheetName val="CAL(1)."/>
      <sheetName val="1_x0005_"/>
      <sheetName val="도면자료제출일정"/>
      <sheetName val="중기비"/>
      <sheetName val="시공계_x0005_"/>
      <sheetName val="변경비_x0005__x0000_"/>
      <sheetName val="일위대가내역"/>
      <sheetName val="LD"/>
      <sheetName val="C1ㅇ"/>
      <sheetName val="base"/>
      <sheetName val="STD"/>
      <sheetName val="공정"/>
      <sheetName val="연면적"/>
      <sheetName val="991029UTP용 M.D.F"/>
      <sheetName val="현장점검 1"/>
      <sheetName val="상가을 "/>
      <sheetName val="3.사용전검사(1000KW이상)(본동-수정)"/>
      <sheetName val="결재갑지"/>
      <sheetName val="계획예산입력자료"/>
      <sheetName val="투입비"/>
      <sheetName val="손익계산서"/>
      <sheetName val="대차대조표"/>
      <sheetName val="폐토수익화 "/>
      <sheetName val="열차제어동"/>
      <sheetName val="전기성능동"/>
      <sheetName val="차량시스템인자"/>
      <sheetName val="차량부품동"/>
      <sheetName val="99 조정금액"/>
      <sheetName val="설계(안)"/>
      <sheetName val="콘센트신설"/>
      <sheetName val="CATV"/>
      <sheetName val="견적 (2)"/>
      <sheetName val="3.설계예산내역서(예산서)"/>
      <sheetName val="2.예정공정표"/>
      <sheetName val="4.설계예산내역서"/>
      <sheetName val="6.관급자재조서"/>
      <sheetName val="FO"/>
      <sheetName val="등록׃】"/>
      <sheetName val="등록_x0010__x0000_"/>
      <sheetName val="Summary Sheet"/>
      <sheetName val="노무비_근거"/>
      <sheetName val="철근량_검토"/>
      <sheetName val="기술자료_(연수)"/>
      <sheetName val="수곡내역"/>
      <sheetName val="RAHMEN"/>
      <sheetName val="전체내역 (2)"/>
      <sheetName val="Formulas &amp; Tables"/>
      <sheetName val="PROCESS"/>
      <sheetName val="포장재료집계표"/>
      <sheetName val="포장면적산출"/>
      <sheetName val="포장수량집계"/>
      <sheetName val="PIPE(UG)내역"/>
      <sheetName val="토적계산"/>
      <sheetName val="96 능제취입"/>
      <sheetName val="GTG TR PIT"/>
      <sheetName val="M+1"/>
      <sheetName val="광,철광석 사용량(2000)"/>
      <sheetName val="포,철광석 사용량(2000)"/>
      <sheetName val="91,92황산"/>
      <sheetName val="입찰보Ⳡ"/>
      <sheetName val="기계경비(시"/>
      <sheetName val="ÀÏÀ§´ë헾】_x0005__x0000__x0000__x0000_"/>
      <sheetName val="고창터널(고창방향䈀"/>
      <sheetName val="도시가스현황"/>
      <sheetName val="토공총괄집계"/>
      <sheetName val="ITB_COST"/>
      <sheetName val="1차배부(JB포함)"/>
      <sheetName val="음료실행"/>
      <sheetName val="PROJECT BRIEF(EX.NEW)"/>
      <sheetName val="Key Data_Y13"/>
      <sheetName val="원가계산서 (2)"/>
      <sheetName val="7.3.1 전력간선 굵기"/>
      <sheetName val="준설량산정표"/>
      <sheetName val="Stem Footing"/>
      <sheetName val="원가총괄"/>
      <sheetName val="5. 차단기 용량계산"/>
      <sheetName val="외천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>
        <row r="22">
          <cell r="F22">
            <v>148</v>
          </cell>
        </row>
      </sheetData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22">
          <cell r="F22">
            <v>148</v>
          </cell>
        </row>
      </sheetData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>
        <row r="22">
          <cell r="F22">
            <v>148</v>
          </cell>
        </row>
      </sheetData>
      <sheetData sheetId="91">
        <row r="22">
          <cell r="F22">
            <v>148</v>
          </cell>
        </row>
      </sheetData>
      <sheetData sheetId="92">
        <row r="22">
          <cell r="F22">
            <v>148</v>
          </cell>
        </row>
      </sheetData>
      <sheetData sheetId="93">
        <row r="22">
          <cell r="F22">
            <v>148</v>
          </cell>
        </row>
      </sheetData>
      <sheetData sheetId="94">
        <row r="22">
          <cell r="F22">
            <v>148</v>
          </cell>
        </row>
      </sheetData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>
        <row r="22">
          <cell r="F22">
            <v>148</v>
          </cell>
        </row>
      </sheetData>
      <sheetData sheetId="228">
        <row r="22">
          <cell r="F22">
            <v>148</v>
          </cell>
        </row>
      </sheetData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 refreshError="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 refreshError="1"/>
      <sheetData sheetId="534" refreshError="1"/>
      <sheetData sheetId="535"/>
      <sheetData sheetId="536" refreshError="1"/>
      <sheetData sheetId="537"/>
      <sheetData sheetId="538" refreshError="1"/>
      <sheetData sheetId="539" refreshError="1"/>
      <sheetData sheetId="540" refreshError="1"/>
      <sheetData sheetId="541" refreshError="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 refreshError="1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 refreshError="1"/>
      <sheetData sheetId="893" refreshError="1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/>
      <sheetData sheetId="1159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/>
      <sheetData sheetId="2792"/>
      <sheetData sheetId="2793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/>
      <sheetData sheetId="3076"/>
      <sheetData sheetId="3077"/>
      <sheetData sheetId="3078" refreshError="1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 refreshError="1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/>
      <sheetData sheetId="335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근무"/>
      <sheetName val="견적"/>
      <sheetName val="견적서"/>
      <sheetName val="견적내역"/>
      <sheetName val="산출기준"/>
      <sheetName val="인건"/>
      <sheetName val="소모품"/>
      <sheetName val="인원계획-미화"/>
      <sheetName val="한국중공업보안"/>
      <sheetName val="2004SS"/>
      <sheetName val="2004CJ"/>
      <sheetName val="BID"/>
      <sheetName val="CostApp."/>
      <sheetName val="Lookup"/>
      <sheetName val="Assumptions"/>
      <sheetName val="매출"/>
      <sheetName val="Journal"/>
      <sheetName val="1.0"/>
      <sheetName val="RM목표&amp;실적"/>
      <sheetName val="Current"/>
      <sheetName val="Secured Master"/>
      <sheetName val="SRC-B3U2"/>
      <sheetName val="내역서"/>
      <sheetName val="Instructions"/>
      <sheetName val="차액보증"/>
      <sheetName val="CAP EXP"/>
      <sheetName val="MOTOR"/>
      <sheetName val="CostData"/>
      <sheetName val="IncomeData"/>
      <sheetName val="Summary"/>
      <sheetName val="PropertyData"/>
      <sheetName val="Intro2"/>
      <sheetName val="Id"/>
      <sheetName val="Area"/>
      <sheetName val="재무가정"/>
      <sheetName val="Template"/>
      <sheetName val="부대대비"/>
      <sheetName val="냉연집계"/>
      <sheetName val="GenLedger BalSht"/>
      <sheetName val="지급보증금74"/>
      <sheetName val="S&amp;R"/>
      <sheetName val="1 Cash Flow Analysis"/>
      <sheetName val="XLUTIL"/>
      <sheetName val="정부노임단가"/>
      <sheetName val="Sensitivity"/>
      <sheetName val="Budget 2005(DW)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민감도분석"/>
      <sheetName val="창업비"/>
      <sheetName val="Sheet1"/>
      <sheetName val="Sheet2"/>
      <sheetName val="S&amp;R"/>
      <sheetName val="보고서"/>
      <sheetName val="재무가정"/>
      <sheetName val="매각가(한화)"/>
      <sheetName val="매각가(대아)"/>
      <sheetName val="매각가(대한)"/>
      <sheetName val="대아-대한비교"/>
      <sheetName val="CAPEX(합계)"/>
      <sheetName val="CAPEX(한화)"/>
      <sheetName val="CAPEX(대아)"/>
      <sheetName val="CAPEX(대한)"/>
      <sheetName val="FCF"/>
      <sheetName val="IS(연간)"/>
      <sheetName val="CF(연간)"/>
      <sheetName val="BS(연간)"/>
      <sheetName val="RE"/>
      <sheetName val="IS(월간)"/>
      <sheetName val="CF(월간)"/>
      <sheetName val="BS(월간)"/>
      <sheetName val="OPEX(합계)"/>
      <sheetName val="OPEX(한화)"/>
      <sheetName val="OPEX(대아)"/>
      <sheetName val="OPEX(대한)"/>
      <sheetName val="OPEX부속(한화)"/>
      <sheetName val="OPEX부속(대아)"/>
      <sheetName val="OPEX부속(대한)"/>
      <sheetName val="OPREV(합계)"/>
      <sheetName val="OPREV(한화)"/>
      <sheetName val="OPREV(대아)"/>
      <sheetName val="OPREV(대한)"/>
      <sheetName val="OPREV부속"/>
      <sheetName val="재원조달(월-합계)"/>
      <sheetName val="재원조달(월-한화)"/>
      <sheetName val="재원조달(월-대아)"/>
      <sheetName val="재원조달(월-대한)"/>
      <sheetName val="재원조달(연간)"/>
      <sheetName val="TAX"/>
      <sheetName val="BS부속(합계)"/>
      <sheetName val="BS부속(한화)"/>
      <sheetName val="BS부속(대아)"/>
      <sheetName val="BS부속(대한)"/>
      <sheetName val="Index"/>
      <sheetName val="부동산현황"/>
      <sheetName val="노무비"/>
      <sheetName val="anaysis_sheet"/>
      <sheetName val="2. Summary-cash"/>
      <sheetName val="Macro Codes"/>
      <sheetName val="MOTOR"/>
      <sheetName val="통합FM(차,자,보,F,시작일자,분기변경)"/>
      <sheetName val="Cover"/>
      <sheetName val="인건-측정"/>
      <sheetName val="RM목표&amp;실적"/>
      <sheetName val="Summary"/>
      <sheetName val="Setup"/>
      <sheetName val="2004SS"/>
      <sheetName val="2004CJ"/>
      <sheetName val="현금"/>
      <sheetName val="인원계획-미화"/>
      <sheetName val="운동장 (2)"/>
      <sheetName val="Mthly Trst Cflow"/>
      <sheetName val="Inputs"/>
      <sheetName val="인건비"/>
      <sheetName val="Annex B - 1 - Cash"/>
      <sheetName val="2001년12월"/>
      <sheetName val="Id"/>
      <sheetName val="Intro2"/>
      <sheetName val="Control"/>
      <sheetName val="1 Cash Flow Analysis"/>
      <sheetName val="@RISK Correlations"/>
      <sheetName val="2__Summary-cash"/>
      <sheetName val="Macro_Codes"/>
      <sheetName val="J直材4"/>
      <sheetName val="수량산출"/>
      <sheetName val="GAAP Pru"/>
      <sheetName val="노임"/>
      <sheetName val="2__Summary-cash1"/>
      <sheetName val="Macro_Codes1"/>
      <sheetName val="F_Assume"/>
      <sheetName val="F"/>
      <sheetName val="Table"/>
      <sheetName val="Assumptions"/>
      <sheetName val="Sensitivity"/>
      <sheetName val="Area"/>
      <sheetName val="Input "/>
      <sheetName val="터널조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,평당관리비"/>
      <sheetName val="도급비청구공문(연구동)"/>
      <sheetName val="정산내역(연구동)"/>
      <sheetName val="근태현황(연구동)"/>
      <sheetName val="실적및계획"/>
      <sheetName val="외주지급품의(우지)"/>
      <sheetName val="외주정산(연구동)"/>
      <sheetName val="외주근태(연구동)"/>
      <sheetName val="Sheet2"/>
      <sheetName val="서울대 포스코 IB 총용역비계"/>
      <sheetName val="도급비산출내역(계약금액)"/>
      <sheetName val="비교분석"/>
      <sheetName val="외주계약,수지분석(품의시)"/>
      <sheetName val="외주계약,수지분석(품의후변경)"/>
      <sheetName val="incentive지급"/>
      <sheetName val="감가상가총계"/>
      <sheetName val="청소 자재및비품"/>
      <sheetName val="경비피복,장구비"/>
      <sheetName val="일반경비"/>
      <sheetName val="#REF"/>
      <sheetName val="재무가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01"/>
      <sheetName val="수입01"/>
      <sheetName val="수익01"/>
      <sheetName val="신보고"/>
      <sheetName val="신규1"/>
      <sheetName val="신규2"/>
      <sheetName val="신규3"/>
      <sheetName val="임대정보"/>
      <sheetName val="Tenants"/>
      <sheetName val="재무가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Assumptions"/>
      <sheetName val="0502691634.7"/>
      <sheetName val="Sheet3"/>
      <sheetName val="Initial Input Variable"/>
      <sheetName val="중갑지"/>
      <sheetName val="マスタ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견적"/>
      <sheetName val="견적서"/>
      <sheetName val="견적내역"/>
      <sheetName val="산출기준"/>
      <sheetName val="인건"/>
      <sheetName val="근무"/>
      <sheetName val="Template"/>
      <sheetName val="재무가정"/>
      <sheetName val="인원계획-미화"/>
      <sheetName val="Initial Input Variable"/>
      <sheetName val="Assumptions"/>
      <sheetName val="Initial_Input_Variable"/>
      <sheetName val="Building 1"/>
      <sheetName val="한국중공업시설"/>
      <sheetName val="Acquisition Costs- Base Case"/>
      <sheetName val="CASHFLOW"/>
      <sheetName val="COVERSHEET"/>
      <sheetName val="MGT OFFICE"/>
      <sheetName val="Tenants"/>
      <sheetName val="Initial_Input_Variable1"/>
      <sheetName val="Building_1"/>
      <sheetName val="Acquisition_Costs-_Base_Case"/>
      <sheetName val="2. Summary-cash"/>
      <sheetName val="예산(한화)"/>
      <sheetName val="g. Rent Roll"/>
      <sheetName val="day"/>
      <sheetName val="anaysis_sheet"/>
      <sheetName val="급여대장(관리)"/>
      <sheetName val="98지급계획"/>
      <sheetName val="내역"/>
      <sheetName val="위치조서"/>
      <sheetName val="2000전체분"/>
      <sheetName val="2000년1차"/>
      <sheetName val="2016년07월"/>
      <sheetName val="GAAP Pru"/>
      <sheetName val="g__Rent_Roll"/>
      <sheetName val="2__Summary-cash"/>
      <sheetName val="App7.0"/>
      <sheetName val="BV BalSht"/>
      <sheetName val="BV CashFlow"/>
      <sheetName val="BV P&amp;L"/>
      <sheetName val="GenLedger BalSht"/>
      <sheetName val="GenLedger P&amp;L"/>
      <sheetName val="DATA"/>
      <sheetName val="5-6.전기(회입분)"/>
      <sheetName val="Setup"/>
      <sheetName val="Mapping"/>
      <sheetName val="F"/>
      <sheetName val="Table"/>
      <sheetName val="YTD"/>
      <sheetName val="FX"/>
      <sheetName val="Import_FX"/>
      <sheetName val="Sheet1"/>
      <sheetName val="빌딩 안내"/>
      <sheetName val="울산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 Summary"/>
      <sheetName val="Initial Input Variable"/>
      <sheetName val="Rent Roll at present"/>
      <sheetName val="Rent roll"/>
      <sheetName val="Rent Projection"/>
      <sheetName val="Cash Flow Month"/>
      <sheetName val="Cash Flow Year"/>
      <sheetName val="CHECK LIST"/>
      <sheetName val="conclusion"/>
      <sheetName val="결정단가"/>
      <sheetName val="comparables"/>
      <sheetName val="Deduction"/>
      <sheetName val="other"/>
      <sheetName val="노무비"/>
      <sheetName val="Template"/>
      <sheetName val="Tenants"/>
      <sheetName val="Samsung Heavy Industry Bldg"/>
      <sheetName val="Operational Activities"/>
      <sheetName val="TaxCalc"/>
      <sheetName val="1차 내역서"/>
      <sheetName val="E100"/>
      <sheetName val="손익"/>
      <sheetName val="1998 P &amp; L"/>
      <sheetName val="ベース"/>
      <sheetName val="Acquisition Costs- Base Case"/>
      <sheetName val="일위대가"/>
      <sheetName val="Assumptions"/>
      <sheetName val="99판매상세"/>
      <sheetName val="인원계획-미화"/>
      <sheetName val="Ⅳ.1.KEY수입"/>
      <sheetName val="Ⅳ-4.수익총괄"/>
      <sheetName val="マスタ"/>
      <sheetName val="24.보증금(전신전화가입권)"/>
      <sheetName val="Cashflow"/>
      <sheetName val="issued"/>
      <sheetName val="건축개요"/>
      <sheetName val="이름표"/>
      <sheetName val="재무가정"/>
      <sheetName val="목록"/>
      <sheetName val="중기"/>
      <sheetName val="설계명세서"/>
      <sheetName val="Expense Schedule (4)"/>
      <sheetName val="2.대외공문"/>
      <sheetName val="Setup"/>
      <sheetName val="Finance Inputs"/>
      <sheetName val="Funding"/>
      <sheetName val="경산"/>
      <sheetName val="도급자재"/>
      <sheetName val="Sheet1"/>
      <sheetName val="프랜트면허"/>
      <sheetName val="Balance"/>
      <sheetName val="DETBIL"/>
      <sheetName val="승우"/>
      <sheetName val="Scenario_Summary"/>
      <sheetName val="Initial_Input_Variable"/>
      <sheetName val="Rent_Roll_at_present"/>
      <sheetName val="Rent_roll"/>
      <sheetName val="Rent_Projection"/>
      <sheetName val="Cash_Flow_Month"/>
      <sheetName val="Cash_Flow_Year"/>
      <sheetName val="CHECK_LIST"/>
      <sheetName val="Samsung_Heavy_Industry_Bldg"/>
      <sheetName val="Operational_Activities"/>
      <sheetName val="1998_P_&amp;_L"/>
      <sheetName val="1차_내역서"/>
      <sheetName val="Acquisition_Costs-_Base_Case"/>
      <sheetName val="2_대외공문"/>
      <sheetName val="Ⅳ_1_KEY수입"/>
      <sheetName val="Ⅳ-4_수익총괄"/>
      <sheetName val="24_보증금(전신전화가입권)"/>
      <sheetName val="Expense_Schedule_(4)"/>
      <sheetName val="Finance_Inputs"/>
      <sheetName val="g. Rent Roll"/>
      <sheetName val="II. Assumptions"/>
      <sheetName val="수광비분석(3개년)"/>
      <sheetName val="경비"/>
      <sheetName val="일반"/>
      <sheetName val="지급어음(일별)"/>
      <sheetName val="TB"/>
      <sheetName val="Rent R."/>
      <sheetName val="DD 008 - Annexure"/>
      <sheetName val="DCF"/>
      <sheetName val="10.익월 업무 계획-전기,방재"/>
      <sheetName val="Macro Codes"/>
      <sheetName val="Input"/>
      <sheetName val="SpQ"/>
      <sheetName val="Income Statement"/>
      <sheetName val="Shareholders' Equity"/>
      <sheetName val="pre-anal손익계산서"/>
      <sheetName val="pre-anal대차대조표"/>
      <sheetName val="CostData"/>
      <sheetName val="IncomeData"/>
      <sheetName val="Summary"/>
      <sheetName val="PropertyData"/>
      <sheetName val="AKL"/>
      <sheetName val="Assumption"/>
      <sheetName val="2004SS"/>
      <sheetName val="2004CJ"/>
      <sheetName val="util"/>
      <sheetName val="관계회사거래내역및 채권채무잔액 99"/>
      <sheetName val="Æo°¡±aAØ"/>
      <sheetName val="Source"/>
      <sheetName val="Details"/>
      <sheetName val="RE9604"/>
      <sheetName val="절대지우지말것"/>
      <sheetName val="연희공원(2단계자료)"/>
      <sheetName val="기초자료"/>
      <sheetName val="외동,공시지가"/>
      <sheetName val="DATE"/>
      <sheetName val="진주방향"/>
      <sheetName val="주관사업"/>
      <sheetName val="Macro1"/>
      <sheetName val="월별손익"/>
      <sheetName val="forecasted_BS"/>
      <sheetName val="forecasted_IS"/>
      <sheetName val="본사감가상각대장(비품)"/>
      <sheetName val="BAN9905"/>
      <sheetName val="ITEMLIST9911"/>
      <sheetName val="XXXXXXXX"/>
      <sheetName val="지장물"/>
      <sheetName val="표준지등"/>
      <sheetName val="기타요인"/>
      <sheetName val="TLCF"/>
      <sheetName val="지수산출"/>
      <sheetName val="2 Harajuku Jimusho"/>
      <sheetName val="表紙"/>
      <sheetName val="전체손익"/>
      <sheetName val="D1300 자삽"/>
      <sheetName val="전기일위대가"/>
      <sheetName val="경율산정.XLS"/>
      <sheetName val="감가상각"/>
      <sheetName val="데이타"/>
      <sheetName val="경율산정_XLS"/>
      <sheetName val="내역서"/>
      <sheetName val="식재인부"/>
      <sheetName val="영업.일1"/>
    </sheetNames>
    <sheetDataSet>
      <sheetData sheetId="0">
        <row r="18">
          <cell r="C18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"/>
      <sheetName val="Input"/>
      <sheetName val="Macro Codes"/>
      <sheetName val="****ar"/>
      <sheetName val="laroux"/>
      <sheetName val="Yen Economics"/>
      <sheetName val="Yen Economics (ｻﾌﾞﾘｰｽ解除)"/>
      <sheetName val="Yen Economics (ｻﾌﾞﾘｰｽ解除、信託)"/>
      <sheetName val="$US Economics"/>
      <sheetName val="DD"/>
      <sheetName val="Deal Structure"/>
      <sheetName val="Property Econ"/>
      <sheetName val="Cash Flow Split"/>
      <sheetName val="JV Acctg"/>
      <sheetName val="CRE Accounting "/>
      <sheetName val="ROI and IRR"/>
      <sheetName val="CR Pages"/>
      <sheetName val="Suppl Calc"/>
      <sheetName val="IRR Lookback"/>
      <sheetName val="Worksheet 2"/>
      <sheetName val="Worksheet 3"/>
      <sheetName val="OLDTAX"/>
      <sheetName val="Macros"/>
      <sheetName val="Initial Input Variable"/>
      <sheetName val="Assumptions"/>
      <sheetName val="노무비"/>
      <sheetName val="점포타입별분류"/>
      <sheetName val="전점포"/>
      <sheetName val="일반점포"/>
      <sheetName val="S-Depot"/>
      <sheetName val="RN점포"/>
      <sheetName val="생필품점포"/>
      <sheetName val="천호점"/>
      <sheetName val="점면적"/>
      <sheetName val="년실적"/>
      <sheetName val="천호매출"/>
      <sheetName val="매출계획"/>
      <sheetName val="취합"/>
      <sheetName val="아파트11.14"/>
      <sheetName val="주택11.14"/>
      <sheetName val="아파트11.16"/>
      <sheetName val="주택11.16"/>
      <sheetName val="주간객수"/>
      <sheetName val="11월 실적"/>
      <sheetName val="미통과(1101~1116)"/>
      <sheetName val="현황"/>
      <sheetName val="현황 (2)"/>
      <sheetName val="Sheet2"/>
      <sheetName val="Sheet1"/>
      <sheetName val="미통과(1101~1116)(가공)"/>
      <sheetName val="미통과(1117~1130) (가공)"/>
      <sheetName val="튀김"/>
      <sheetName val="중화양풍즉석반찬"/>
      <sheetName val="구이류"/>
      <sheetName val="순대족발"/>
      <sheetName val="밥죽면"/>
      <sheetName val="즉석가공"/>
      <sheetName val="떡"/>
      <sheetName val="중분류실적"/>
      <sheetName val="입력1(실적및계획관련)"/>
      <sheetName val="재료비집계표"/>
      <sheetName val="본문"/>
      <sheetName val="MTP"/>
      <sheetName val="VT"/>
      <sheetName val="NC"/>
      <sheetName val="ITINERARY"/>
      <sheetName val="BASE"/>
      <sheetName val="CODES"/>
      <sheetName val="TAUX"/>
      <sheetName val="SOURCERL"/>
      <sheetName val="BASERL"/>
      <sheetName val="SOURCE"/>
      <sheetName val="PRYCA-h"/>
      <sheetName val="ARGENTINE"/>
      <sheetName val="ADMIN"/>
      <sheetName val="회사정보"/>
      <sheetName val="Milky"/>
      <sheetName val="Collateral"/>
      <sheetName val="Replacement"/>
      <sheetName val="Rent Roll"/>
      <sheetName val="S&amp;R"/>
      <sheetName val="Á¡Æ÷Å¸ÀÔº°ºÐ·ù"/>
      <sheetName val="ÀüÁ¡Æ÷"/>
      <sheetName val="ÀÏ¹ÝÁ¡Æ÷"/>
      <sheetName val="RNÁ¡Æ÷"/>
      <sheetName val="»ýÇÊÇ°Á¡Æ÷"/>
      <sheetName val="ÃµÈ£Á¡"/>
      <sheetName val="Á¡¸éÀû"/>
      <sheetName val="³â½ÇÀû"/>
      <sheetName val="ÃµÈ£¸ÅÃâ"/>
      <sheetName val="¸ÅÃâ°èÈ¹"/>
      <sheetName val="ÃëÇÕ"/>
      <sheetName val="¾ÆÆÄÆ®11.14"/>
      <sheetName val="ÁÖÅÃ11.14"/>
      <sheetName val="¾ÆÆÄÆ®11.16"/>
      <sheetName val="ÁÖÅÃ11.16"/>
      <sheetName val="ÁÖ°£°´¼ö"/>
      <sheetName val="11¿ù ½ÇÀû"/>
      <sheetName val="¹ÌÅë°ú(1101~1116)"/>
      <sheetName val="ÇöÈ²"/>
      <sheetName val="ÇöÈ² (2)"/>
      <sheetName val="¹ÌÅë°ú(1101~1116)(°¡°ø)"/>
      <sheetName val="¹ÌÅë°ú(1117~1130) (°¡°ø)"/>
      <sheetName val="Æ¢±è"/>
      <sheetName val="ÁßÈ­¾çÇ³Áï¼®¹ÝÂù"/>
      <sheetName val="±¸ÀÌ·ù"/>
      <sheetName val="¼ø´ëÁ·¹ß"/>
      <sheetName val="¹äÁ×¸é"/>
      <sheetName val="Áï¼®°¡°ø"/>
      <sheetName val="¶±"/>
      <sheetName val="ÁßºÐ·ù½ÇÀû"/>
      <sheetName val="CT "/>
      <sheetName val="ACLSHL96"/>
      <sheetName val="#REF"/>
      <sheetName val="HEADCOUNT WORKSHEET"/>
      <sheetName val="Mat'l Pareto"/>
      <sheetName val="Summary"/>
      <sheetName val="Download"/>
      <sheetName val="VCP"/>
      <sheetName val="Intro&gt;&gt;"/>
      <sheetName val="Disclaimer"/>
      <sheetName val="ch-rev trends"/>
      <sheetName val="ch-op marg trends"/>
      <sheetName val="exh-bs"/>
      <sheetName val="ch-fy05 rev by cust"/>
      <sheetName val="ch-fy06 rev by cust"/>
      <sheetName val="ch-fy05 rev by tech"/>
      <sheetName val="ch-fy06 rev by tech"/>
      <sheetName val="ch data"/>
      <sheetName val="ch-rev map"/>
      <sheetName val="exh-tech"/>
      <sheetName val="exh-cust"/>
      <sheetName val="ch-customer"/>
      <sheetName val="ch-rev migr"/>
      <sheetName val="exh-intangible sum"/>
      <sheetName val="exh-tradename"/>
      <sheetName val="exh-noncomp"/>
      <sheetName val="exh-iprd"/>
      <sheetName val="Control Sheet"/>
      <sheetName val="Issue Log"/>
      <sheetName val="Inputs"/>
      <sheetName val="Model&gt;&gt;"/>
      <sheetName val="Docpharm Group DCF"/>
      <sheetName val="Income Stmt Generics"/>
      <sheetName val="Income Stmt OTC"/>
      <sheetName val="Income Stmt Trading"/>
      <sheetName val="Income Stmt Med Dev"/>
      <sheetName val="Income Stmt Cons'd"/>
      <sheetName val="BS Forecast"/>
      <sheetName val="Balance Sht"/>
      <sheetName val="Stmt of Cash Flow"/>
      <sheetName val="NOL"/>
      <sheetName val="WACC"/>
      <sheetName val="Tax Amort Benefit-IPR&amp;D"/>
      <sheetName val="Tax Amort Benefit-DevProd"/>
      <sheetName val="Tax Amort Benefit-MedSup"/>
      <sheetName val="Tax Amort Benefit-OTC"/>
      <sheetName val="Tax Amort Benefit-Trading"/>
      <sheetName val="Prod Rev Contrib"/>
      <sheetName val="Cust Rev Contrib - Trading "/>
      <sheetName val="Cust. Attrition-Trading"/>
      <sheetName val="Customer Relationships -Trading"/>
      <sheetName val="Trading-ANALYSIS"/>
      <sheetName val="Supplier Agreements - OTC"/>
      <sheetName val="OTC-ProbabilityFactor"/>
      <sheetName val="Cust Rev Contrib - MD"/>
      <sheetName val="WARA"/>
      <sheetName val="APO Trade Mark"/>
      <sheetName val="DOC.be Trade Mark"/>
      <sheetName val="Trade Mark Contribution margin"/>
      <sheetName val="Rate - Market"/>
      <sheetName val="Workforce Generics"/>
      <sheetName val="Workforce OTC"/>
      <sheetName val="Workforce Trading"/>
      <sheetName val="Workforce Medical Devices"/>
      <sheetName val="Non-Comp. Summary"/>
      <sheetName val="No Competition"/>
      <sheetName val="Compete Year 1"/>
      <sheetName val="Compete Year 2"/>
      <sheetName val="Compete Year 3"/>
      <sheetName val="Compete Year 4"/>
      <sheetName val="Compete Year 5"/>
      <sheetName val="Workforce Total"/>
      <sheetName val="Employees"/>
      <sheetName val="Cust. Attrition"/>
      <sheetName val="Contrib Charges"/>
      <sheetName val="DP - EE - Docaciclo"/>
      <sheetName val="DP - EE - Docalprazo"/>
      <sheetName val="DP - EE - Docbisopro"/>
      <sheetName val="DP - EE - Doccaptopri"/>
      <sheetName val="DP - EE - Desorelle"/>
      <sheetName val="DP - EE - Docfluconazol"/>
      <sheetName val="DP - EE - Doclormeta"/>
      <sheetName val="DP - EE - Docomepra"/>
      <sheetName val="DP - EE - Doccefuroxime"/>
      <sheetName val="DP - EE - Docraniti"/>
      <sheetName val="DP - EE - Docsimvasta"/>
      <sheetName val="DP - EE - Doctrazodone"/>
      <sheetName val="DP - EE - Docpravastatine"/>
      <sheetName val="DP - EE - Docallopu"/>
      <sheetName val="DP - EE  - Docamoxici"/>
      <sheetName val="IPR&amp;D - EE"/>
      <sheetName val="Report exhibits&gt;&gt;"/>
      <sheetName val="ch-hist rev growth"/>
      <sheetName val="exh- closing BS"/>
      <sheetName val="ch-revenue trend"/>
      <sheetName val="ch-operating margin trend"/>
      <sheetName val="exh-fv&amp;tran sum"/>
      <sheetName val="ch-historical rev"/>
      <sheetName val="exh-tang asset sum"/>
      <sheetName val="ch-FY 2005 Cus Pie"/>
      <sheetName val="ch-FY 2006 Cus Pie"/>
      <sheetName val="ch-FY 2006 Tech Pie"/>
      <sheetName val="ch-FY 2005 Tech Pie"/>
      <sheetName val="chart data sheet"/>
      <sheetName val="exh-Trade Name "/>
      <sheetName val="exh-Cust R"/>
      <sheetName val="exh-Tech "/>
      <sheetName val="exh-covenants"/>
      <sheetName val="exh-IP&amp;R"/>
      <sheetName val="ch-tech rev map"/>
      <sheetName val="프로젝트목록"/>
      <sheetName val="인원계획-미화"/>
      <sheetName val="Template"/>
      <sheetName val="CASHFLOW"/>
      <sheetName val="***********************00"/>
      <sheetName val="코드"/>
      <sheetName val="Sheet3"/>
      <sheetName val="수출가격"/>
      <sheetName val="교통대책내역"/>
      <sheetName val="Inout"/>
      <sheetName val="평가대조표"/>
      <sheetName val="부서별"/>
      <sheetName val="96월별PL"/>
      <sheetName val="단가현황"/>
      <sheetName val="Assumption"/>
      <sheetName val="공사현황"/>
      <sheetName val="일위대가"/>
      <sheetName val="소비자가"/>
      <sheetName val="건물대사"/>
      <sheetName val="0407 A3.4 SGA"/>
      <sheetName val="H12入居面積・平均賃料"/>
      <sheetName val="Main Assumptions"/>
      <sheetName val="VISTA"/>
      <sheetName val="____ar"/>
      <sheetName val="A-General"/>
      <sheetName val="手元比準表"/>
      <sheetName val="入力用リスト"/>
      <sheetName val="(Monthly)"/>
      <sheetName val="Closing Costs"/>
      <sheetName val="JOB一覧表"/>
      <sheetName val="IRR (Annual) (Output)"/>
      <sheetName val="H12入居面積_平均賃料"/>
      <sheetName val="BP Summary"/>
      <sheetName val="NOI"/>
      <sheetName val="Variables"/>
      <sheetName val="CF cap"/>
      <sheetName val="Actual NOI"/>
      <sheetName val="マスタ"/>
      <sheetName val="入力用(家賃)"/>
      <sheetName val="入力用(駐車)"/>
      <sheetName val="BOTM"/>
      <sheetName val="P&amp;L"/>
      <sheetName val="Ｃ１表"/>
      <sheetName val="Title"/>
      <sheetName val="レントロール"/>
      <sheetName val="Macro_Codes1"/>
      <sheetName val="Yen_Economics1"/>
      <sheetName val="Yen_Economics_(ｻﾌﾞﾘｰｽ解除)1"/>
      <sheetName val="Yen_Economics_(ｻﾌﾞﾘｰｽ解除、信託)1"/>
      <sheetName val="$US_Economics1"/>
      <sheetName val="Deal_Structure1"/>
      <sheetName val="Property_Econ1"/>
      <sheetName val="Cash_Flow_Split1"/>
      <sheetName val="JV_Acctg1"/>
      <sheetName val="CRE_Accounting_1"/>
      <sheetName val="ROI_and_IRR1"/>
      <sheetName val="CR_Pages1"/>
      <sheetName val="Suppl_Calc1"/>
      <sheetName val="IRR_Lookback1"/>
      <sheetName val="Worksheet_21"/>
      <sheetName val="Worksheet_31"/>
      <sheetName val="Macro_Codes"/>
      <sheetName val="Yen_Economics"/>
      <sheetName val="Yen_Economics_(ｻﾌﾞﾘｰｽ解除)"/>
      <sheetName val="Yen_Economics_(ｻﾌﾞﾘｰｽ解除、信託)"/>
      <sheetName val="$US_Economics"/>
      <sheetName val="Deal_Structure"/>
      <sheetName val="Property_Econ"/>
      <sheetName val="Cash_Flow_Split"/>
      <sheetName val="JV_Acctg"/>
      <sheetName val="CRE_Accounting_"/>
      <sheetName val="ROI_and_IRR"/>
      <sheetName val="CR_Pages"/>
      <sheetName val="Suppl_Calc"/>
      <sheetName val="IRR_Lookback"/>
      <sheetName val="Worksheet_2"/>
      <sheetName val="Worksheet_3"/>
      <sheetName val="Sum"/>
      <sheetName val="RESUL106"/>
      <sheetName val="土地建物"/>
      <sheetName val="Assump"/>
      <sheetName val="西麻布"/>
      <sheetName val="Sheet"/>
      <sheetName val="Revenue Assumptions"/>
      <sheetName val="etc"/>
      <sheetName val="HA行"/>
      <sheetName val="KA行"/>
      <sheetName val="NA行"/>
      <sheetName val="RA行"/>
      <sheetName val="SA行"/>
      <sheetName val="TA行"/>
      <sheetName val="WA行"/>
      <sheetName val="YA行"/>
      <sheetName val="LIST"/>
      <sheetName val="浜松プラザ年次予算_2005_02__"/>
      <sheetName val="目次"/>
      <sheetName val="SP飯田橋I下限"/>
      <sheetName val="飯田橋ⅠAug05減賃後鳥かご"/>
      <sheetName val="SP飯田橋II下限"/>
      <sheetName val="飯田橋ⅡAug05減賃後鳥かご"/>
      <sheetName val="MA行"/>
      <sheetName val="Consolidation"/>
      <sheetName val="CF"/>
      <sheetName val="物件概要"/>
      <sheetName val="k"/>
      <sheetName val="Prop"/>
      <sheetName val="TASSEI"/>
      <sheetName val="Expense Schedule (4)"/>
      <sheetName val="1P"/>
      <sheetName val="VALUE"/>
      <sheetName val="Budget"/>
      <sheetName val="Fire02"/>
      <sheetName val="合計"/>
      <sheetName val="ADR"/>
      <sheetName val="Capital Input"/>
      <sheetName val="総括表"/>
      <sheetName val="ops tb"/>
      <sheetName val="平残連結"/>
      <sheetName val="Macro1"/>
      <sheetName val="CGLprimary"/>
      <sheetName val="NAD Rollup"/>
      <sheetName val="Summary Market Segmentation"/>
      <sheetName val="F"/>
      <sheetName val="受注申請書"/>
      <sheetName val="Expense Schedule _4_"/>
      <sheetName val="データ入力"/>
      <sheetName val="鑑定評価額等"/>
      <sheetName val="Fire"/>
      <sheetName val="KoyoFire"/>
      <sheetName val="浜松プラザ年次予算(2005.02～）"/>
      <sheetName val="ON総収益"/>
      <sheetName val="0407_A3_4_SGA"/>
      <sheetName val="ASP"/>
      <sheetName val="RT1"/>
      <sheetName val="Sales Comp 1"/>
      <sheetName val="←"/>
      <sheetName val="Misc Data"/>
      <sheetName val="Deal_Str_x0002__x0000__x0000__x0000_Ø_x000a_2"/>
      <sheetName val=""/>
      <sheetName val="説明（変更）"/>
      <sheetName val="Pricing(Contractual)"/>
      <sheetName val="SGH"/>
      <sheetName val="SPH"/>
      <sheetName val="会員権"/>
      <sheetName val="鴨川SWH"/>
      <sheetName val="黒観"/>
      <sheetName val="UH仙台ANNEX"/>
      <sheetName val="UH仙台本館"/>
      <sheetName val="苫小牧"/>
      <sheetName val="aa13"/>
      <sheetName val="aa14"/>
      <sheetName val="aa159"/>
      <sheetName val="aa15"/>
      <sheetName val="2.대외공문"/>
      <sheetName val="상가매매0115"/>
      <sheetName val="상가임대0115"/>
      <sheetName val="총투자비산정"/>
      <sheetName val="ROE(FI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03"/>
      <sheetName val="Apr 03"/>
      <sheetName val="Mar 03"/>
      <sheetName val="Sheet3"/>
      <sheetName val="Macro Codes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Inputs"/>
      <sheetName val="Help Sheets"/>
      <sheetName val="Building"/>
      <sheetName val="Savings analysis"/>
      <sheetName val="Finances Summary"/>
      <sheetName val="Est. OE LOOP Cost"/>
      <sheetName val="Est. Full Project LOOP costs "/>
      <sheetName val="ROI analysis "/>
      <sheetName val="Ton-hr simulation"/>
      <sheetName val="CO2 lbs"/>
      <sheetName val="Profiles"/>
      <sheetName val="WB averages"/>
      <sheetName val="Pre kWperton"/>
      <sheetName val="BAF"/>
    </sheetNames>
    <sheetDataSet>
      <sheetData sheetId="0">
        <row r="22">
          <cell r="J22" t="str">
            <v>3 years</v>
          </cell>
        </row>
      </sheetData>
      <sheetData sheetId="1" refreshError="1"/>
      <sheetData sheetId="2">
        <row r="6">
          <cell r="O6" t="str">
            <v>Yes</v>
          </cell>
        </row>
        <row r="7">
          <cell r="O7" t="str">
            <v>No</v>
          </cell>
        </row>
      </sheetData>
      <sheetData sheetId="3">
        <row r="4">
          <cell r="O4">
            <v>3.0153039439709568</v>
          </cell>
        </row>
      </sheetData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자산"/>
      <sheetName val="흐름도"/>
      <sheetName val="Portfolio"/>
      <sheetName val="운용방안"/>
      <sheetName val="NOI"/>
      <sheetName val="공실현황"/>
      <sheetName val="관리계약"/>
      <sheetName val="수도광열비"/>
      <sheetName val="수선내역"/>
      <sheetName val="Sheet1"/>
      <sheetName val="여의도1"/>
      <sheetName val="양재1"/>
      <sheetName val="가락1"/>
      <sheetName val="사당1"/>
      <sheetName val="인천1"/>
      <sheetName val="대전1"/>
      <sheetName val="전주1"/>
      <sheetName val="광주1"/>
      <sheetName val="울산1"/>
      <sheetName val="임대가격"/>
      <sheetName val="기초데이타1"/>
      <sheetName val="DATA_Total"/>
      <sheetName val="DATA_Yoido"/>
      <sheetName val="DATA_Yangjae"/>
      <sheetName val="DATA_Yangjae_All"/>
      <sheetName val="DATA_Garak"/>
      <sheetName val="DATA_Sadang"/>
      <sheetName val="DATA_Incheon"/>
      <sheetName val="DATA_Daejeon"/>
      <sheetName val="DATA_Jeonju"/>
      <sheetName val="DATA_Kwangju"/>
      <sheetName val="DATA_Ulsan"/>
      <sheetName val="Chart1"/>
      <sheetName val="사옥별 월 에너지 사용"/>
      <sheetName val="(Monthly)"/>
      <sheetName val="인원계획-미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F1" t="str">
            <v>4월</v>
          </cell>
        </row>
      </sheetData>
      <sheetData sheetId="23">
        <row r="26">
          <cell r="F26">
            <v>77217</v>
          </cell>
        </row>
      </sheetData>
      <sheetData sheetId="24">
        <row r="26">
          <cell r="F26">
            <v>85383</v>
          </cell>
        </row>
      </sheetData>
      <sheetData sheetId="25" refreshError="1"/>
      <sheetData sheetId="26">
        <row r="26">
          <cell r="F26">
            <v>252651</v>
          </cell>
        </row>
      </sheetData>
      <sheetData sheetId="27">
        <row r="26">
          <cell r="F26">
            <v>80995</v>
          </cell>
        </row>
      </sheetData>
      <sheetData sheetId="28">
        <row r="26">
          <cell r="F26">
            <v>29030</v>
          </cell>
        </row>
      </sheetData>
      <sheetData sheetId="29">
        <row r="26">
          <cell r="F26">
            <v>94363</v>
          </cell>
        </row>
      </sheetData>
      <sheetData sheetId="30">
        <row r="26">
          <cell r="F26">
            <v>16583</v>
          </cell>
        </row>
      </sheetData>
      <sheetData sheetId="31">
        <row r="26">
          <cell r="F26">
            <v>13693</v>
          </cell>
        </row>
      </sheetData>
      <sheetData sheetId="32">
        <row r="26">
          <cell r="F26">
            <v>5890</v>
          </cell>
        </row>
      </sheetData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본사 계 (보고)-재무관리제외"/>
      <sheetName val="임원실"/>
      <sheetName val="기획 &amp; 시그마"/>
      <sheetName val="재무관리팀"/>
      <sheetName val="철수사업관리"/>
      <sheetName val="본사 계"/>
      <sheetName val="본사 계 (보고)"/>
      <sheetName val="임원실(보고)"/>
      <sheetName val="기획&amp;시그마(보고)"/>
      <sheetName val="재무관리팀(보고)"/>
      <sheetName val="Sheet1"/>
      <sheetName val="내부거래 추정 (본사)"/>
      <sheetName val="내부거래 계획 (본사) "/>
      <sheetName val="내부거래조정,추가"/>
      <sheetName val="Sheet2"/>
      <sheetName val="본사 추이(조직변경반영)"/>
      <sheetName val="인원비교"/>
      <sheetName val="본사 비교"/>
      <sheetName val="Sheet3"/>
      <sheetName val="사업부"/>
      <sheetName val="종합쇼핑"/>
      <sheetName val="ORM"/>
      <sheetName val="이자비용"/>
      <sheetName val="수수료값복사"/>
      <sheetName val="수수료금액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프랜트면허"/>
      <sheetName val="실행대비"/>
      <sheetName val="케이블수량재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科目ﾘｽﾄ"/>
      <sheetName val="7月請求書に基づくリスト"/>
      <sheetName val="貼付用（ﾘｽﾄ）"/>
      <sheetName val="修正1"/>
      <sheetName val="貼付用（修正1）"/>
      <sheetName val="修正2･5"/>
      <sheetName val="修正9（歌代さん作成）"/>
      <sheetName val="貼付用（2･5･9）"/>
      <sheetName val="ｱｸｻ精算"/>
      <sheetName val="ｱｸｻ→GE"/>
      <sheetName val="ﾘｽﾄ"/>
      <sheetName val="貼付用"/>
      <sheetName val="Sheet3"/>
      <sheetName val="Sheet1"/>
      <sheetName val="修正1･8"/>
      <sheetName val="貼付用（修正1･8）"/>
      <sheetName val="修正2･5（ﾘｽﾄ反映済）"/>
      <sheetName val="貼付用ｲﾚ交水"/>
      <sheetName val="ｲﾚｷﾞｭﾗｰと交互精算"/>
      <sheetName val="Sheet4"/>
      <sheetName val="貼付用1Rent"/>
      <sheetName val="貼付用2ｲﾚ5交と水"/>
      <sheetName val="準備ｼｰ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정공정표-99년도"/>
      <sheetName val="예정공정표 -99년 7월분"/>
      <sheetName val="집계표"/>
      <sheetName val="공종별예산조서"/>
      <sheetName val="Sheet1"/>
      <sheetName val="Sheet2"/>
      <sheetName val="Sheet3"/>
      <sheetName val="ﾘｽﾄ"/>
      <sheetName val="인원계획-미화"/>
      <sheetName val="準備ｼｰﾄ"/>
      <sheetName val="1Month+Sheet2!"/>
      <sheetName val="노무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uality"/>
      <sheetName val="People"/>
      <sheetName val="Risk"/>
      <sheetName val="Training"/>
      <sheetName val="General"/>
      <sheetName val="Instructions"/>
      <sheetName val="ﾘｽﾄ"/>
      <sheetName val="노무비"/>
      <sheetName val="식음료"/>
      <sheetName val="Cash receipt"/>
      <sheetName val="데이타"/>
      <sheetName val="단가"/>
      <sheetName val="인원계획-미화"/>
      <sheetName val="노임단가"/>
      <sheetName val="단가조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양재"/>
      <sheetName val="여의도"/>
      <sheetName val="가락"/>
      <sheetName val="사당"/>
      <sheetName val="인천"/>
      <sheetName val="광주"/>
      <sheetName val="전주"/>
      <sheetName val="대전"/>
      <sheetName val="동원텔"/>
      <sheetName val="S&amp;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내역"/>
      <sheetName val="내역서"/>
      <sheetName val="주차(현행)"/>
      <sheetName val="경비(현행)"/>
      <sheetName val="안내도우미(현행)"/>
      <sheetName val="시설(현행)"/>
      <sheetName val="인원계획-미화"/>
      <sheetName val="간접경상비"/>
      <sheetName val="장비당단가 (1)"/>
      <sheetName val="간 지1"/>
      <sheetName val="실행철강하도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주요기준"/>
      <sheetName val="매출"/>
      <sheetName val="경상이익"/>
      <sheetName val="전사"/>
      <sheetName val="편의점"/>
      <sheetName val="SM"/>
      <sheetName val="FS"/>
      <sheetName val="개발(임대)"/>
      <sheetName val="개발(빌딩)"/>
      <sheetName val="EC"/>
      <sheetName val="물류"/>
      <sheetName val="인화원"/>
      <sheetName val="철수사업"/>
      <sheetName val="본사"/>
      <sheetName val="개발"/>
      <sheetName val="Sheet4"/>
      <sheetName val="Sheet5"/>
      <sheetName val="표준"/>
      <sheetName val="지표추이"/>
      <sheetName val="총괄"/>
      <sheetName val="사업별"/>
      <sheetName val="사업별-추정"/>
      <sheetName val="2005PL"/>
      <sheetName val="리츠"/>
      <sheetName val="인원계획-미화"/>
      <sheetName val="자재단가"/>
      <sheetName val="1차 내역서"/>
      <sheetName val="건축"/>
      <sheetName val="익산"/>
      <sheetName val="采购商信息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리츠"/>
      <sheetName val="예산(한화)"/>
      <sheetName val="Front Cover"/>
      <sheetName val="노무비"/>
      <sheetName val="시설장비"/>
      <sheetName val="재무가정"/>
      <sheetName val="조직및_인원계획"/>
      <sheetName val="견적내역-미화_(2)"/>
      <sheetName val="견적내역-보안_(2)"/>
      <sheetName val="Front_Cover"/>
      <sheetName val="0103"/>
      <sheetName val="Sheet1"/>
      <sheetName val="지분법(AK) (2)"/>
      <sheetName val="한일자야(감액손실) (2)"/>
      <sheetName val="부관맨홀조서"/>
      <sheetName val="S&amp;R"/>
      <sheetName val="대차대조표"/>
      <sheetName val="차액보증"/>
      <sheetName val="2공구산출내역"/>
      <sheetName val="Data&amp;Result"/>
      <sheetName val="현금"/>
      <sheetName val="영업.일1"/>
      <sheetName val="10월 (2)"/>
      <sheetName val="종합-임현"/>
      <sheetName val="목록"/>
      <sheetName val="중기"/>
      <sheetName val="인원계획_미화"/>
      <sheetName val="Training"/>
      <sheetName val="Facility Information"/>
      <sheetName val="General"/>
      <sheetName val="Instructions"/>
      <sheetName val="People"/>
      <sheetName val="Quality"/>
      <sheetName val="Risk"/>
      <sheetName val="주요기준"/>
      <sheetName val="내역1"/>
      <sheetName val="공사설계서"/>
      <sheetName val="서식시트"/>
      <sheetName val="이우(hd)"/>
      <sheetName val="분양금할인"/>
      <sheetName val="현장"/>
      <sheetName val="기본사항"/>
      <sheetName val="07-Bud"/>
      <sheetName val="조직및_인원계획1"/>
      <sheetName val="견적내역-미화_(2)1"/>
      <sheetName val="견적내역-보안_(2)1"/>
      <sheetName val="Front_Cover1"/>
      <sheetName val="지분법(AK)_(2)"/>
      <sheetName val="한일자야(감액손실)_(2)"/>
      <sheetName val="부동산세금"/>
      <sheetName val="Template"/>
      <sheetName val="단가"/>
      <sheetName val="업무용유지비실적"/>
      <sheetName val="현장관리비"/>
      <sheetName val="9GNG운반"/>
      <sheetName val="영업_일1"/>
      <sheetName val="10월_(2)"/>
      <sheetName val="Facility_Information"/>
      <sheetName val="유가증권미수"/>
      <sheetName val="백호우계수"/>
      <sheetName val="유림골조"/>
      <sheetName val="이자율"/>
      <sheetName val="한국오키"/>
      <sheetName val="노임"/>
      <sheetName val="2.대외공문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2.Summary-cash"/>
      <sheetName val="빌딩코드"/>
      <sheetName val="갑지(추정)"/>
      <sheetName val="분당임차변경"/>
      <sheetName val="Sheet11"/>
      <sheetName val="직노"/>
      <sheetName val="조직및_인원계획2"/>
      <sheetName val="견적내역-미화_(2)2"/>
      <sheetName val="견적내역-보안_(2)2"/>
      <sheetName val="Front_Cover2"/>
      <sheetName val="지분법(AK)_(2)1"/>
      <sheetName val="한일자야(감액손실)_(2)1"/>
      <sheetName val="일반경비"/>
      <sheetName val="도기류"/>
      <sheetName val="Assumptions"/>
      <sheetName val="N賃率-職"/>
      <sheetName val="영업_일11"/>
      <sheetName val="10월_(2)1"/>
      <sheetName val="Facility_Information1"/>
      <sheetName val="2_Summary-cash"/>
      <sheetName val="#REF"/>
      <sheetName val="설직재-1"/>
      <sheetName val="조직도 빽업"/>
      <sheetName val="받을어음"/>
      <sheetName val="Initial Input Variable"/>
      <sheetName val="Development"/>
      <sheetName val="Income"/>
      <sheetName val="Total"/>
      <sheetName val="001"/>
      <sheetName val="Customer Databas"/>
      <sheetName val="공사개요"/>
      <sheetName val="MOTOR"/>
      <sheetName val="일위대가목차"/>
      <sheetName val="익월작업계힉"/>
      <sheetName val="2004SS"/>
      <sheetName val="2004CJ"/>
      <sheetName val="ASP"/>
      <sheetName val="1 Cash Flow Analysis"/>
      <sheetName val="Initial_Input_Variable"/>
      <sheetName val="Customer_Databas"/>
      <sheetName val="Budget 2005(DW)"/>
      <sheetName val="Area"/>
      <sheetName val="2. Summary-cash"/>
      <sheetName val="Id"/>
      <sheetName val="Summary"/>
      <sheetName val="갑지"/>
      <sheetName val="기본가정 및 요약"/>
      <sheetName val="2005년 예산"/>
      <sheetName val="연간수입추정(요약)"/>
      <sheetName val="수입 추정(임대료)"/>
      <sheetName val="수입 추정(관리비)"/>
      <sheetName val="수입 추정(보증금)"/>
      <sheetName val="월별 Rentroll"/>
      <sheetName val="2004년 실제 수입"/>
      <sheetName val="자본적 지출"/>
      <sheetName val="Intro2"/>
      <sheetName val="품셈TABLE"/>
      <sheetName val="Parameter"/>
      <sheetName val="1Month+Sheet2!"/>
      <sheetName val="Expense Schedule (4)"/>
      <sheetName val="D1300 자삽"/>
      <sheetName val="Journal"/>
      <sheetName val="1.0"/>
      <sheetName val="로담코총괄제안견적3"/>
      <sheetName val="회사정보"/>
      <sheetName val="상품입고집계"/>
      <sheetName val="データ"/>
      <sheetName val="시나리오"/>
      <sheetName val="상가매매0115"/>
      <sheetName val="상가임대0115"/>
      <sheetName val="토지가격산출기초"/>
      <sheetName val="공시지가"/>
      <sheetName val="Data Sheet"/>
      <sheetName val="Valuation"/>
      <sheetName val="내역"/>
      <sheetName val="0.1keyAssumption"/>
      <sheetName val="0.0ControlSheet"/>
      <sheetName val="98년매출액및매출원가"/>
      <sheetName val="손익계산서(가로)"/>
      <sheetName val="견적과실행예산"/>
      <sheetName val="เงินกู้ MGC"/>
      <sheetName val="เงินกู้ธนชาติ"/>
      <sheetName val="Trial Balance"/>
      <sheetName val="GenLedger BalSht"/>
      <sheetName val="A-4"/>
      <sheetName val="Sens&amp;Anal"/>
      <sheetName val="ROE(FI)"/>
      <sheetName val="총투자비산정"/>
      <sheetName val="정부노임단가"/>
      <sheetName val="XL4Poppy"/>
      <sheetName val="품의서"/>
      <sheetName val="빌딩리스트"/>
      <sheetName val="빌딩경영보고서"/>
      <sheetName val="リスト"/>
      <sheetName val="98지급계획"/>
      <sheetName val="현금흐름Ⅰ"/>
      <sheetName val="총무팀"/>
      <sheetName val="마포-임현"/>
      <sheetName val="전체손익"/>
      <sheetName val="LIST"/>
      <sheetName val="管理見積(ｶﾅｻﾞﾜ)"/>
      <sheetName val="지급어음(일별)"/>
      <sheetName val="요율"/>
      <sheetName val="기준정보"/>
      <sheetName val="1ST"/>
      <sheetName val="controll"/>
      <sheetName val="가격표"/>
      <sheetName val="VA요약(가정 및 배당)"/>
      <sheetName val="건물대사"/>
      <sheetName val="Macro1"/>
      <sheetName val="OPREV(대한)"/>
      <sheetName val="세금과공과"/>
      <sheetName val="賃料等一覧"/>
      <sheetName val="본관내역서"/>
      <sheetName val="7 (2)"/>
      <sheetName val=" 토목 처리장도급내역서 "/>
      <sheetName val="국내"/>
      <sheetName val="3본사"/>
      <sheetName val="Project_CF"/>
      <sheetName val="직원자료입력"/>
      <sheetName val="최종"/>
      <sheetName val="공통"/>
      <sheetName val="소비자가"/>
      <sheetName val="99판매상세"/>
      <sheetName val="nr030112"/>
      <sheetName val="제품수불"/>
      <sheetName val="외화금융(97-03)"/>
      <sheetName val="산업은행 경영지표"/>
      <sheetName val="기타수익"/>
      <sheetName val="SCH03"/>
      <sheetName val="내역서 제출"/>
      <sheetName val="入力用(家賃)"/>
      <sheetName val="入力用(駐車)"/>
      <sheetName val="실행철강하도"/>
      <sheetName val="출자한도"/>
      <sheetName val="BOJUNGGM"/>
      <sheetName val="시화점실행"/>
      <sheetName val="BS"/>
      <sheetName val="***********************00"/>
      <sheetName val="UW_A"/>
      <sheetName val="2월"/>
      <sheetName val="Data(인원)"/>
      <sheetName val="구분"/>
      <sheetName val="F"/>
      <sheetName val="Table"/>
      <sheetName val="2 Harajuku Jimusho"/>
      <sheetName val="Input Screen"/>
      <sheetName val="Ⅰ-3"/>
      <sheetName val="Assumption"/>
      <sheetName val="Occupancy Scenario"/>
      <sheetName val="품명"/>
      <sheetName val="종합"/>
      <sheetName val="점코드"/>
      <sheetName val="산수(hd-0)"/>
      <sheetName val="산수(hd-1)"/>
      <sheetName val="Cash Flow"/>
      <sheetName val="Source"/>
      <sheetName val="임대료산정(자동계산)"/>
      <sheetName val="수지차(년)"/>
      <sheetName val="인건비"/>
      <sheetName val="FX Rates"/>
      <sheetName val=" 견적서"/>
      <sheetName val="argl(1)"/>
      <sheetName val="Baby일위대가"/>
      <sheetName val="설-원가"/>
      <sheetName val="설치자재"/>
      <sheetName val="단중"/>
      <sheetName val="개요"/>
      <sheetName val="입력변수"/>
      <sheetName val="원가계산서"/>
      <sheetName val="간접경상비"/>
      <sheetName val="3.빌딩손익_6년차"/>
      <sheetName val="3.4.수도광열비"/>
      <sheetName val="내역서"/>
      <sheetName val="101동"/>
      <sheetName val="손익"/>
      <sheetName val="일위대가목록"/>
      <sheetName val="Customer_Databas1"/>
      <sheetName val="Initial_Input_Variable1"/>
      <sheetName val="1_Cash_Flow_Analysis"/>
      <sheetName val="Budget_2005(DW)"/>
      <sheetName val="2__Summary-cash"/>
      <sheetName val="Office only Letup"/>
      <sheetName val="품목명"/>
      <sheetName val="Assumptions "/>
      <sheetName val="GenLedger_BalSht"/>
      <sheetName val="0_1keyAssumption"/>
      <sheetName val="0_0ControlSheet"/>
      <sheetName val="เงินกู้_MGC"/>
      <sheetName val="Trial_Balance"/>
      <sheetName val="1_0"/>
      <sheetName val="2_Harajuku_Jimusho"/>
      <sheetName val="_견적서"/>
      <sheetName val="Tenants"/>
      <sheetName val="FX_Rates"/>
      <sheetName val="관람석제출"/>
      <sheetName val="ｂｌｕｅ"/>
      <sheetName val="CostData"/>
      <sheetName val="IncomeData"/>
      <sheetName val="PropertyData"/>
      <sheetName val="WFGInfo"/>
      <sheetName val="96수출"/>
      <sheetName val="VL"/>
      <sheetName val="TEL"/>
      <sheetName val="WBS98"/>
      <sheetName val="anaysis_sheet"/>
      <sheetName val="담보명세"/>
      <sheetName val="추가시설-시설팀"/>
      <sheetName val="Budget 2004(DW)"/>
      <sheetName val="Collateral"/>
      <sheetName val="Utility Usage 한솔엠닷컴"/>
      <sheetName val="II. Assumptions"/>
      <sheetName val="시설총괄"/>
      <sheetName val="K1자재(3차등)"/>
      <sheetName val="교비지출"/>
      <sheetName val="전선 및 전선관"/>
      <sheetName val="연구인원내역"/>
      <sheetName val="BSD (2)"/>
      <sheetName val="CT"/>
      <sheetName val="주요가정"/>
      <sheetName val="2F 회의실견적(5_14 일대)"/>
      <sheetName val="wall"/>
      <sheetName val="조회총괄"/>
      <sheetName val="6월실적"/>
      <sheetName val="SETUP"/>
      <sheetName val="조도계산서 (도서)"/>
      <sheetName val="RM목표&amp;실적"/>
      <sheetName val="일위대가"/>
      <sheetName val="96수표어음"/>
      <sheetName val="물건조서"/>
      <sheetName val="안산기계장치"/>
      <sheetName val="견적정보"/>
      <sheetName val="1,2"/>
      <sheetName val="9,10"/>
      <sheetName val="11,12"/>
      <sheetName val="13,14"/>
      <sheetName val="15,16"/>
      <sheetName val="17,18"/>
      <sheetName val="19,20"/>
      <sheetName val="23,24"/>
      <sheetName val="25,26"/>
      <sheetName val="27,28"/>
      <sheetName val="29,30"/>
      <sheetName val="3,4"/>
      <sheetName val="31,32"/>
      <sheetName val="33,34"/>
      <sheetName val="5,6"/>
      <sheetName val="56"/>
      <sheetName val="7,8"/>
      <sheetName val="수목단가"/>
      <sheetName val="자재단가"/>
      <sheetName val="노임단가"/>
      <sheetName val="Work"/>
      <sheetName val="tsuga"/>
      <sheetName val="CostApp."/>
      <sheetName val="Lookup"/>
      <sheetName val="Data_Sheet"/>
      <sheetName val="Occupancy_Scenario"/>
      <sheetName val="FOOD&amp;BEVERAGE"/>
      <sheetName val="Dental City 가정"/>
      <sheetName val="사업예산내역"/>
      <sheetName val="사업예산품의서"/>
      <sheetName val="95WBS"/>
      <sheetName val="단가산출"/>
      <sheetName val="식음료"/>
      <sheetName val="結果（２年後１億円振り替え）"/>
      <sheetName val="데이터유효성검사자료"/>
      <sheetName val="VA요약(가정_및_배당)"/>
      <sheetName val="내역서_제출"/>
      <sheetName val="정산표"/>
      <sheetName val="반포2차"/>
      <sheetName val="Tax"/>
      <sheetName val="데이타"/>
      <sheetName val="구로점"/>
      <sheetName val="전기내역서(총계)"/>
      <sheetName val="선급비용"/>
      <sheetName val="1 자원총괄"/>
      <sheetName val="약품공급2"/>
      <sheetName val="건축내역"/>
      <sheetName val="요약&amp;결과"/>
      <sheetName val="효용적수"/>
      <sheetName val="관리부동산 목록"/>
      <sheetName val="범어"/>
      <sheetName val="_토목_처리장도급내역서_"/>
      <sheetName val="7_(2)"/>
      <sheetName val="산업은행_경영지표"/>
      <sheetName val="Cash_Flow"/>
      <sheetName val="관리부동산_목록"/>
      <sheetName val="명세"/>
      <sheetName val="Convert"/>
      <sheetName val="첨부1"/>
      <sheetName val="이익잉여금처분계산서"/>
      <sheetName val="재무상태변동표"/>
      <sheetName val="제조원가명세서"/>
      <sheetName val="현금흐름표"/>
      <sheetName val="대림경상68억"/>
      <sheetName val="DATA"/>
      <sheetName val="임대현황"/>
      <sheetName val="3.총괄_Fund"/>
      <sheetName val="주차"/>
      <sheetName val="불법주정차"/>
      <sheetName val="소유임차부동산(원본)"/>
      <sheetName val="SALE"/>
      <sheetName val="업무분장 "/>
      <sheetName val="재료"/>
      <sheetName val="별제권_정리담보권1"/>
      <sheetName val="시멘트"/>
      <sheetName val="A"/>
      <sheetName val="BOK차입"/>
      <sheetName val="APT"/>
      <sheetName val="콘크리트타설집계표"/>
      <sheetName val="운동장 (2)"/>
      <sheetName val="전력"/>
      <sheetName val="(Monthly)"/>
      <sheetName val="임대수익"/>
      <sheetName val="base"/>
      <sheetName val="비용산식"/>
      <sheetName val="Label"/>
      <sheetName val="명세표참조"/>
      <sheetName val="의뢰건 (2)"/>
      <sheetName val="과"/>
      <sheetName val="임대관리수익"/>
      <sheetName val="카"/>
      <sheetName val="을-ATYPE"/>
      <sheetName val="물량"/>
      <sheetName val="Assumpt(Grand Hotel)"/>
      <sheetName val="경비"/>
      <sheetName val="물가변동대가세부내역서"/>
      <sheetName val="検針表"/>
      <sheetName val="총괄"/>
      <sheetName val="추원 상가(1)"/>
      <sheetName val="투찰추정"/>
      <sheetName val="단위단가"/>
      <sheetName val="전신환매도율"/>
      <sheetName val="단가조사"/>
      <sheetName val="산출-설비"/>
      <sheetName val="급여대장출력"/>
      <sheetName val="단위량"/>
      <sheetName val="재료집계표2"/>
      <sheetName val="토적집계표"/>
      <sheetName val="결재란"/>
      <sheetName val="3.공통공사대비"/>
      <sheetName val="选择报表"/>
      <sheetName val="DB"/>
      <sheetName val="16년일별매출실적"/>
      <sheetName val="자료입력(부문별)-原"/>
      <sheetName val="1000 DB구축 부표"/>
      <sheetName val="단기차입금(200006)"/>
      <sheetName val="시방서"/>
      <sheetName val="95하U$가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양재"/>
      <sheetName val="여의도"/>
      <sheetName val="가락"/>
      <sheetName val="사당"/>
      <sheetName val="인천"/>
      <sheetName val="광주"/>
      <sheetName val="전주"/>
      <sheetName val="대전"/>
      <sheetName val="동원텔"/>
      <sheetName val="인원계획-미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目次"/>
      <sheetName val="物件概要"/>
      <sheetName val="入居状況"/>
      <sheetName val="賃料等一覧"/>
      <sheetName val="損益計算書"/>
      <sheetName val="実績･予算（年間予算表）"/>
      <sheetName val="市場概要"/>
      <sheetName val="新規契約"/>
      <sheetName val="類似比較"/>
      <sheetName val="契約改定"/>
      <sheetName val="解約"/>
      <sheetName val="管理概要"/>
      <sheetName val="修繕"/>
      <sheetName val="工事･改修"/>
      <sheetName val="委託業者"/>
      <sheetName val="管理作業"/>
      <sheetName val="委託手数料"/>
      <sheetName val="手数料明細"/>
      <sheetName val="未払・滞納"/>
      <sheetName val="敷金"/>
      <sheetName val="領収明細"/>
      <sheetName val="費用明細"/>
      <sheetName val="相場賃料算出"/>
      <sheetName val="상가매매0115"/>
      <sheetName val="상가임대0115"/>
      <sheetName val="업무용유지비실적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A5">
            <v>201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t roll for Print out"/>
      <sheetName val="Rent roll AO"/>
      <sheetName val="가정"/>
      <sheetName val="NOI Month"/>
      <sheetName val="NOI Quater"/>
      <sheetName val="BO PRINT OUT"/>
      <sheetName val="Rent roll 2"/>
      <sheetName val="Rent roll 2 PR"/>
      <sheetName val="AO PRINT OUT"/>
      <sheetName val="AO PRINT OUT (2)"/>
      <sheetName val="Rent roll original"/>
      <sheetName val="NOI Quater (적용안함)"/>
      <sheetName val="임료 구성안(적용안함)"/>
      <sheetName val="Sheet1"/>
      <sheetName val="Sheet1 (2)"/>
      <sheetName val="賃料等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민감도분석"/>
      <sheetName val="창업비"/>
      <sheetName val="Sheet1"/>
      <sheetName val="Sheet2"/>
      <sheetName val="보고서"/>
      <sheetName val="S&amp;R"/>
      <sheetName val="재무가정"/>
      <sheetName val="매각가(한화)"/>
      <sheetName val="매각가(대아)"/>
      <sheetName val="매각가(대한)"/>
      <sheetName val="대아-대한비교"/>
      <sheetName val="CAPEX(합계)"/>
      <sheetName val="CAPEX(한화)"/>
      <sheetName val="CAPEX(대아)"/>
      <sheetName val="CAPEX(대한)"/>
      <sheetName val="FCF"/>
      <sheetName val="IS(연간)"/>
      <sheetName val="CF(연간)"/>
      <sheetName val="BS(연간)"/>
      <sheetName val="RE"/>
      <sheetName val="IS(월간)"/>
      <sheetName val="CF(월간)"/>
      <sheetName val="BS(월간)"/>
      <sheetName val="OPEX(합계)"/>
      <sheetName val="OPEX(한화)"/>
      <sheetName val="OPEX(대아)"/>
      <sheetName val="OPEX(대한)"/>
      <sheetName val="OPEX부속(한화)"/>
      <sheetName val="OPEX부속(대아)"/>
      <sheetName val="OPEX부속(대한)"/>
      <sheetName val="OPREV(합계)"/>
      <sheetName val="OPREV(한화)"/>
      <sheetName val="OPREV(대아)"/>
      <sheetName val="OPREV(대한)"/>
      <sheetName val="OPREV부속"/>
      <sheetName val="재원조달(월-합계)"/>
      <sheetName val="재원조달(월-한화)"/>
      <sheetName val="재원조달(월-대아)"/>
      <sheetName val="재원조달(월-대한)"/>
      <sheetName val="재원조달(연간)"/>
      <sheetName val="TAX"/>
      <sheetName val="BS부속(합계)"/>
      <sheetName val="BS부속(한화)"/>
      <sheetName val="BS부속(대아)"/>
      <sheetName val="BS부속(대한)"/>
      <sheetName val="Index"/>
      <sheetName val="부동산현황"/>
      <sheetName val="내역"/>
      <sheetName val="노무비"/>
      <sheetName val="요약BS"/>
      <sheetName val="상가매매0115"/>
      <sheetName val="상가임대0115"/>
      <sheetName val="95WBS"/>
      <sheetName val="CostApp."/>
      <sheetName val="Lookup"/>
      <sheetName val="인원계획-미화"/>
      <sheetName val="賃料等一覧"/>
      <sheetName val="0.1keyAssumption"/>
      <sheetName val="0.0ControlSheet"/>
      <sheetName val="업무용유지비실적"/>
      <sheetName val="설-원가"/>
      <sheetName val="설치자재"/>
      <sheetName val="단중"/>
      <sheetName val="Budget을 위한 SAC사업분석- 작업중"/>
      <sheetName val="MOTOR"/>
      <sheetName val="GenLedger BalSht"/>
      <sheetName val="목록"/>
      <sheetName val="중기"/>
      <sheetName val="XLUTIL"/>
      <sheetName val="차액보증"/>
      <sheetName val="간접비계산"/>
      <sheetName val="CostApp_"/>
      <sheetName val="0_1keyAssumption"/>
      <sheetName val="0_0ControlSheet"/>
      <sheetName val="Global Assumption"/>
      <sheetName val="Budget을_위한_SAC사업분석-_작업중"/>
      <sheetName val="anaysis_sheet"/>
      <sheetName val="CostApp_1"/>
      <sheetName val="0_1keyAssumption1"/>
      <sheetName val="0_0ControlSheet1"/>
      <sheetName val="GenLedger_BalSht"/>
      <sheetName val="Data Sheet"/>
      <sheetName val="빌딩코드"/>
      <sheetName val="RM목표&amp;실적"/>
      <sheetName val="리츠"/>
      <sheetName val="Total"/>
      <sheetName val="Template"/>
      <sheetName val="Daten_ME"/>
      <sheetName val="Assumptions"/>
      <sheetName val="이우(hd)"/>
      <sheetName val="2004SS"/>
      <sheetName val="2004CJ"/>
      <sheetName val="Customer Databas"/>
      <sheetName val="Area"/>
      <sheetName val="Input Screen"/>
      <sheetName val="회사정보"/>
      <sheetName val="식재수량표"/>
      <sheetName val="수익률"/>
      <sheetName val="Sim"/>
      <sheetName val="가정 및 결과"/>
      <sheetName val="배당"/>
      <sheetName val="수익"/>
      <sheetName val="Sheet5"/>
      <sheetName val="EQUIP-H"/>
      <sheetName val="건재양식"/>
      <sheetName val="견적기준"/>
      <sheetName val="본관내역서"/>
      <sheetName val="@RISK Correlations"/>
      <sheetName val="CostApp_2"/>
      <sheetName val="0_1keyAssumption2"/>
      <sheetName val="0_0ControlSheet2"/>
      <sheetName val="Budget을_위한_SAC사업분석-_작업중1"/>
      <sheetName val="GenLedger_BalSht1"/>
      <sheetName val="Global_Assumption"/>
      <sheetName val="Data_Sheet"/>
      <sheetName val="2월가격표"/>
      <sheetName val="광주운남을"/>
      <sheetName val="수량산출서 (2)"/>
      <sheetName val="보일러"/>
      <sheetName val="RE9604"/>
      <sheetName val="Cost bd-&quot;A&quot;"/>
      <sheetName val="Assumption"/>
      <sheetName val="Secured Master"/>
      <sheetName val="수익01"/>
      <sheetName val="Customer_Databas"/>
      <sheetName val="Input_Screen"/>
      <sheetName val="가정_및_결과"/>
      <sheetName val="Utility Usage엠닷컴 26"/>
      <sheetName val="Operational Activities"/>
      <sheetName val="Operational_Activities"/>
      <sheetName val="Jupiter"/>
      <sheetName val="시설총괄"/>
      <sheetName val="Office only Letup"/>
      <sheetName val="대차대조표"/>
      <sheetName val="추가시설-시설팀"/>
      <sheetName val="issued"/>
      <sheetName val="util"/>
      <sheetName val="매출"/>
      <sheetName val="Input_Screen1"/>
      <sheetName val="Operational_Activities1"/>
      <sheetName val="Customer_Databas1"/>
      <sheetName val="Office_only_Letup"/>
      <sheetName val="6호기"/>
      <sheetName val="실행(ALT1)"/>
      <sheetName val="TEL"/>
      <sheetName val="NH농협캐피탈_임, 관리비 수익추정 '14 05 ~ '1"/>
      <sheetName val="Initial Input Variable"/>
      <sheetName val="Customer_Databas2"/>
      <sheetName val="Input_Screen2"/>
      <sheetName val="Operational_Activities2"/>
      <sheetName val="Office_only_Letup1"/>
      <sheetName val="년간손익실적"/>
      <sheetName val="공통가설"/>
      <sheetName val="건물현황"/>
      <sheetName val="차수"/>
      <sheetName val="Cash Flows"/>
      <sheetName val="CostData"/>
      <sheetName val="IncomeData"/>
      <sheetName val="Summary"/>
      <sheetName val="PropertyData"/>
      <sheetName val="감가상각"/>
      <sheetName val="1Month+Sheet2!"/>
      <sheetName val="Training"/>
      <sheetName val="총무팀"/>
      <sheetName val="마포-임현"/>
      <sheetName val="98지급계획"/>
      <sheetName val="3본사"/>
      <sheetName val="익월작업계힉"/>
      <sheetName val="국내"/>
      <sheetName val="10. 임차사 재무건전성 분석"/>
      <sheetName val="품셈TABLE"/>
      <sheetName val="임대료산정(자동계산)"/>
      <sheetName val="VA요약(가정 및 배당)"/>
      <sheetName val="확약서"/>
      <sheetName val="賃貸条件"/>
      <sheetName val="転記用"/>
      <sheetName val="Cash Flow"/>
      <sheetName val="Source"/>
      <sheetName val="Collateral"/>
      <sheetName val="급여대장"/>
      <sheetName val="서울경제 신문 1,500평.xlsx"/>
      <sheetName val="CostApp_3"/>
      <sheetName val="0_1keyAssumption3"/>
      <sheetName val="0_0ControlSheet3"/>
      <sheetName val="Budget을_위한_SAC사업분석-_작업중2"/>
      <sheetName val="GenLedger_BalSht2"/>
      <sheetName val="Data_Sheet1"/>
      <sheetName val="Global_Assumption1"/>
      <sheetName val="수량산출"/>
      <sheetName val="NH농협캐피탈_임,_관리비_수익추정_'14_05_~_'1"/>
      <sheetName val="Initial_Input_Variable"/>
      <sheetName val="Cash_Flows"/>
      <sheetName val="평자재단가"/>
      <sheetName val="10__임차사_재무건전성_분석"/>
      <sheetName val="1월"/>
      <sheetName val="Work"/>
      <sheetName val="ML_LS Promote"/>
      <sheetName val="Japan"/>
      <sheetName val="내역서"/>
      <sheetName val="3.공통공사대비"/>
      <sheetName val="도급자재"/>
      <sheetName val="FCU (2)"/>
      <sheetName val="4-3. 냉수 사용량"/>
      <sheetName val="4-4. 온수 사용량"/>
      <sheetName val="4-5. 상하수도 사용량"/>
      <sheetName val="소방사항"/>
      <sheetName val="예총"/>
      <sheetName val="2분기 체크리스트.xlsx"/>
      <sheetName val="F"/>
      <sheetName val="Table"/>
      <sheetName val="Lists"/>
      <sheetName val="N賃率-職"/>
      <sheetName val="식음료"/>
      <sheetName val="수정분개"/>
      <sheetName val="견적서 N"/>
      <sheetName val="Foreclosure"/>
      <sheetName val="1"/>
      <sheetName val="sheets"/>
      <sheetName val="이자율"/>
      <sheetName val="1.표지"/>
      <sheetName val="현장"/>
      <sheetName val="Budget 2005(DW)"/>
      <sheetName val="1_當期시산표"/>
      <sheetName val="Utilities"/>
      <sheetName val="상환계획(선순위)(Q)"/>
      <sheetName val="요약&amp;결과"/>
      <sheetName val="Intro2"/>
      <sheetName val="실행내역"/>
      <sheetName val="준공내역(을)"/>
      <sheetName val="수지차(년)"/>
      <sheetName val="Replacement"/>
      <sheetName val="Rent Roll"/>
      <sheetName val="이익잉여금처분계산서"/>
      <sheetName val="재무상태변동표"/>
      <sheetName val="제조원가명세서"/>
      <sheetName val="현금흐름표"/>
      <sheetName val="Construction"/>
      <sheetName val="INFO"/>
      <sheetName val="Parameter"/>
      <sheetName val="値付くん"/>
      <sheetName val="설직재-1"/>
      <sheetName val="BID"/>
      <sheetName val="기본가정"/>
      <sheetName val="A1"/>
      <sheetName val="효용적수"/>
      <sheetName val="지급어음(일별)"/>
      <sheetName val="수입"/>
      <sheetName val="リスト"/>
      <sheetName val="I一般比"/>
      <sheetName val="데이타"/>
      <sheetName val="식재인부"/>
      <sheetName val="Situation"/>
      <sheetName val="산수(hd-0)"/>
      <sheetName val="산수(hd-1)"/>
      <sheetName val="상하차비용(기계상차)"/>
      <sheetName val="수간보호"/>
      <sheetName val="운반비"/>
      <sheetName val="대외공문"/>
      <sheetName val="개요"/>
      <sheetName val="건물대사"/>
      <sheetName val="한일자야(감액손실) (2)"/>
      <sheetName val="설 계"/>
      <sheetName val="신상자료"/>
      <sheetName val="공문"/>
      <sheetName val="첨부내역서"/>
      <sheetName val="계약첨부"/>
      <sheetName val="근태현황"/>
      <sheetName val="출근부"/>
      <sheetName val="실적 및계획"/>
      <sheetName val="업무계획표"/>
      <sheetName val="교육현황"/>
      <sheetName val="지도점검"/>
      <sheetName val="인적사항"/>
      <sheetName val="Macro Codes"/>
      <sheetName val="입찰안"/>
      <sheetName val="基本データ"/>
      <sheetName val="Control"/>
      <sheetName val=""/>
      <sheetName val="Id"/>
    </sheetNames>
    <sheetDataSet>
      <sheetData sheetId="0">
        <row r="13">
          <cell r="H13">
            <v>37256</v>
          </cell>
        </row>
      </sheetData>
      <sheetData sheetId="1">
        <row r="13">
          <cell r="H13">
            <v>37256</v>
          </cell>
        </row>
      </sheetData>
      <sheetData sheetId="2"/>
      <sheetData sheetId="3"/>
      <sheetData sheetId="4"/>
      <sheetData sheetId="5">
        <row r="13">
          <cell r="H13">
            <v>37256</v>
          </cell>
        </row>
      </sheetData>
      <sheetData sheetId="6">
        <row r="13">
          <cell r="H13">
            <v>37256</v>
          </cell>
        </row>
      </sheetData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stablishment Cost-Dec 05"/>
      <sheetName val="Establishment Cost-Nov 05"/>
      <sheetName val="외화비용 2005.11.22"/>
      <sheetName val="2005년 Legal fees"/>
      <sheetName val="Sheet2"/>
      <sheetName val="Sheet3"/>
      <sheetName val="Chart2"/>
      <sheetName val="Sheet3 (2)"/>
      <sheetName val="Utilities (2)"/>
      <sheetName val="Chart4"/>
      <sheetName val="Top 10"/>
      <sheetName val="TM Rentroll-rent+sc"/>
      <sheetName val="TM Rentroll-rental"/>
      <sheetName val="TM Rentroll (per PY)"/>
      <sheetName val="재무가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식음료"/>
      <sheetName val="식음료 MEMBER"/>
      <sheetName val="Sheet4"/>
      <sheetName val="Sheet5"/>
      <sheetName val="Sheet1"/>
      <sheetName val="사업부"/>
      <sheetName val="종합쇼핑"/>
      <sheetName val="ORM"/>
      <sheetName val="이자비용"/>
      <sheetName val="수수료값복사"/>
      <sheetName val="수수료금액"/>
      <sheetName val="Sheet2"/>
      <sheetName val="Sheet3"/>
      <sheetName val="TYPE-A"/>
      <sheetName val="기초코드"/>
      <sheetName val="주요기준"/>
      <sheetName val="작성전제"/>
      <sheetName val="Menu_Link"/>
      <sheetName val="현장관리비"/>
      <sheetName val="자재단가"/>
      <sheetName val="내역서"/>
      <sheetName val="TABLE DB"/>
      <sheetName val="쌍용 data base"/>
      <sheetName val="인원계획-미화"/>
      <sheetName val="공사"/>
      <sheetName val="code"/>
      <sheetName val="2.대외공문"/>
      <sheetName val="목록"/>
      <sheetName val="중기"/>
      <sheetName val="Major Shareholder"/>
      <sheetName val="과장"/>
      <sheetName val="재무가정"/>
      <sheetName val="노무비"/>
      <sheetName val="범한여행"/>
      <sheetName val="보험금"/>
      <sheetName val="식음료_MEMBER"/>
      <sheetName val="3팀회사군피벗"/>
      <sheetName val="중점영업대상 요약"/>
      <sheetName val="상세분류명"/>
      <sheetName val="생산 진행사항 집계표"/>
      <sheetName val="회사정보"/>
      <sheetName val="판가반영"/>
      <sheetName val="APT"/>
      <sheetName val="N賃率-職"/>
      <sheetName val="기준_국가명"/>
      <sheetName val="시화점실행"/>
      <sheetName val="IT-BAT"/>
      <sheetName val="간 지1"/>
      <sheetName val="세부추진"/>
      <sheetName val="상용보강"/>
      <sheetName val="소상 &quot;1&quot;"/>
      <sheetName val="2공구산출내역"/>
      <sheetName val="건설실행"/>
      <sheetName val="신규식재수량"/>
      <sheetName val="울산자동제어"/>
      <sheetName val="산수(hd-0)"/>
      <sheetName val="산수(hd-1)"/>
      <sheetName val="이우(hd)"/>
      <sheetName val="데이타"/>
      <sheetName val="식재인부"/>
      <sheetName val="Total"/>
      <sheetName val="Initial Input Variable"/>
      <sheetName val="직재"/>
      <sheetName val="일위"/>
      <sheetName val="식음료_MEMBER1"/>
      <sheetName val="TABLE_DB"/>
      <sheetName val="쌍용_data_base"/>
      <sheetName val="2_대외공문"/>
      <sheetName val="Major_Shareholder"/>
      <sheetName val="중점영업대상_요약"/>
      <sheetName val="생산_진행사항_집계표"/>
      <sheetName val="간_지1"/>
      <sheetName val="소상_&quot;1&quot;"/>
      <sheetName val="Initial_Input_Variable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갑지"/>
      <sheetName val="기본가정 및 요약"/>
      <sheetName val="2005년 예산"/>
      <sheetName val="연간수입추정(요약)"/>
      <sheetName val="수입 추정(임대료)"/>
      <sheetName val="수입 추정(관리비)"/>
      <sheetName val="수입 추정(보증금)"/>
      <sheetName val="월별 Rentroll"/>
      <sheetName val="2004년 실제 수입"/>
      <sheetName val="자본적 지출"/>
      <sheetName val="내역서"/>
      <sheetName val="식음료"/>
      <sheetName val="노무비"/>
      <sheetName val="Initial Input Variable"/>
      <sheetName val="을지"/>
      <sheetName val="MEMORY"/>
      <sheetName val="98지급계획"/>
      <sheetName val="로담코총괄제안견적3"/>
      <sheetName val="2공구산출내역"/>
      <sheetName val="재무가정"/>
      <sheetName val="Summary"/>
      <sheetName val="리츠"/>
      <sheetName val="차액보증"/>
      <sheetName val="영업.일"/>
      <sheetName val="Sheet1"/>
      <sheetName val="울산"/>
      <sheetName val="D01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&amp;YD"/>
      <sheetName val="Tax"/>
      <sheetName val="표지"/>
      <sheetName val="별첨표지"/>
      <sheetName val="목차"/>
      <sheetName val="Summary"/>
      <sheetName val="Summary (2)"/>
      <sheetName val="대비(실적,통합)"/>
      <sheetName val="대비(실적,한화)"/>
      <sheetName val="대비(실적,대아)"/>
      <sheetName val="대비(실적,대한)"/>
      <sheetName val="대비(계획,통합)"/>
      <sheetName val="대비(계획,한화)"/>
      <sheetName val="대비(계획,대아)"/>
      <sheetName val="대비(계획,대한)"/>
      <sheetName val="차이1"/>
      <sheetName val="차이2"/>
      <sheetName val="가정1"/>
      <sheetName val="가정2"/>
      <sheetName val="가정3"/>
      <sheetName val="가정4"/>
      <sheetName val="예산(통합)"/>
      <sheetName val="예산(한화)"/>
      <sheetName val="예산(대아)"/>
      <sheetName val="예산(대한)"/>
      <sheetName val="CF"/>
      <sheetName val="CF chart"/>
      <sheetName val="BS"/>
      <sheetName val="RE"/>
      <sheetName val="면적계획(한화)"/>
      <sheetName val="면적계획(대아,대한)"/>
      <sheetName val="OPREV(한화)"/>
      <sheetName val="OPREV(대아)"/>
      <sheetName val="OPREV(대한)"/>
      <sheetName val="기타수익(통합)"/>
      <sheetName val="회입(한화)"/>
      <sheetName val="회입(대아)"/>
      <sheetName val="회입(대한)"/>
      <sheetName val="용역비"/>
      <sheetName val="Utility(한화)"/>
      <sheetName val="utility(대아)"/>
      <sheetName val="utility(대한)"/>
      <sheetName val="제세공과"/>
      <sheetName val="Opex"/>
      <sheetName val="Capex"/>
      <sheetName val="Opex부속"/>
      <sheetName val="용역(한화)"/>
      <sheetName val="용역(대아)"/>
      <sheetName val="용역(대한)"/>
      <sheetName val="감가"/>
      <sheetName val="G&amp;A산정"/>
      <sheetName val="Summary 2"/>
      <sheetName val="Info"/>
      <sheetName val="2003예산(통합)"/>
      <sheetName val="2003예산(한화)"/>
      <sheetName val="2003예산(대아)"/>
      <sheetName val="2003예산(대한)"/>
      <sheetName val="2004실적(통합)"/>
      <sheetName val="2004실적(한화)"/>
      <sheetName val="2004실적(대아)"/>
      <sheetName val="2004실적(대한)"/>
      <sheetName val="사업계획(통합)"/>
      <sheetName val="사업계획(대한)"/>
      <sheetName val="사업계획(한화)"/>
      <sheetName val="사업계획(대아)"/>
      <sheetName val="인원계획-미화"/>
      <sheetName val="건물대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식음료 MEMBER"/>
      <sheetName val="Sheet4"/>
      <sheetName val="Sheet5"/>
      <sheetName val="식음료"/>
      <sheetName val="IT-BAT"/>
      <sheetName val="간 지1"/>
      <sheetName val="2공구산출내역"/>
      <sheetName val="자재단가"/>
      <sheetName val="건설실행"/>
      <sheetName val="작성전제"/>
      <sheetName val="b_balju"/>
      <sheetName val="VXXXXXXX"/>
      <sheetName val="2.대외공문"/>
      <sheetName val="세부추진"/>
      <sheetName val="상용보강"/>
      <sheetName val="소상 &quot;1&quot;"/>
      <sheetName val="Sheet1"/>
      <sheetName val="Code"/>
      <sheetName val="#5"/>
      <sheetName val="#3"/>
      <sheetName val="Data(인원)"/>
      <sheetName val="OPREV(대한)"/>
      <sheetName val="인원계획-미화"/>
      <sheetName val="엘지엠알오"/>
      <sheetName val="여과지동"/>
      <sheetName val="부진점(10.09)"/>
      <sheetName val="내역서"/>
      <sheetName val="급여대장출력"/>
      <sheetName val="주요기준"/>
      <sheetName val="목록"/>
      <sheetName val="賃料等一覧"/>
      <sheetName val="실행철강하도"/>
      <sheetName val="실행비교"/>
      <sheetName val="건물대사"/>
      <sheetName val="재무가정"/>
      <sheetName val="리스트"/>
      <sheetName val="N賃率-職"/>
      <sheetName val="확약서"/>
      <sheetName val="상가매매0115"/>
      <sheetName val="상가임대0115"/>
      <sheetName val="익월작업계힉"/>
      <sheetName val="중기"/>
      <sheetName val="견적서 N"/>
      <sheetName val="1차 내역서"/>
      <sheetName val="만년달력"/>
      <sheetName val="금융비용"/>
      <sheetName val="추가예산"/>
      <sheetName val="BOOK4"/>
      <sheetName val="본실행경비"/>
      <sheetName val="빌딩코드"/>
      <sheetName val="업무용유지비실적"/>
      <sheetName val="20_10_100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入力用(家賃)"/>
      <sheetName val="入力用(駐車)"/>
      <sheetName val="Cover"/>
      <sheetName val="Contents"/>
      <sheetName val="Outline"/>
      <sheetName val="Stacking Plan"/>
      <sheetName val="Property Status"/>
      <sheetName val="Rent roll"/>
      <sheetName val="Security Deposit"/>
      <sheetName val="Variance Report"/>
      <sheetName val="CAPEX"/>
      <sheetName val="CAPEX Tracking"/>
      <sheetName val="Market Analysis"/>
      <sheetName val="Leasing Status"/>
      <sheetName val="Lease Abstract701"/>
      <sheetName val="Lease Abstract601"/>
      <sheetName val="Lease Abstract501"/>
      <sheetName val="Lease Abstract401"/>
      <sheetName val="Lease Abstract402"/>
      <sheetName val="Lease Abstract301"/>
      <sheetName val="Lease Abstract302"/>
      <sheetName val="Lease Abstract101"/>
      <sheetName val="Aged delinquency"/>
      <sheetName val="Maintenance Schedule"/>
      <sheetName val="Fee Summary"/>
      <sheetName val="식음료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익월작업계힉"/>
      <sheetName val="リスト"/>
      <sheetName val="회사정보"/>
      <sheetName val="98지급계획"/>
      <sheetName val="Sheet1"/>
      <sheetName val="총무팀"/>
      <sheetName val="마포-임현"/>
      <sheetName val="노무비"/>
      <sheetName val="Template"/>
      <sheetName val="전체손익"/>
      <sheetName val="LIST"/>
      <sheetName val="Data&amp;Result"/>
      <sheetName val="管理見積(ｶﾅｻﾞﾜ)"/>
      <sheetName val="지급어음(일별)"/>
      <sheetName val="현금흐름Ⅰ"/>
      <sheetName val="요율"/>
      <sheetName val="기준정보"/>
      <sheetName val="controll"/>
      <sheetName val="목록"/>
      <sheetName val="중기"/>
      <sheetName val="상가매매0115"/>
      <sheetName val="상가임대0115"/>
      <sheetName val="1ST"/>
      <sheetName val="2. Summary-cash"/>
      <sheetName val="VA요약(가정 및 배당)"/>
      <sheetName val="업무용유지비실적"/>
      <sheetName val="가격표"/>
      <sheetName val="로담코총괄제안견적3"/>
      <sheetName val="건물대사"/>
      <sheetName val="내역서 제출"/>
      <sheetName val="Data(인원)"/>
      <sheetName val="실행철강하도"/>
      <sheetName val="入力用(家賃)"/>
      <sheetName val="入力用(駐車)"/>
      <sheetName val="입력변수"/>
      <sheetName val="원가계산서"/>
      <sheetName val="OPREV(대한)"/>
      <sheetName val="종합"/>
      <sheetName val="점코드"/>
      <sheetName val="재무가정"/>
      <sheetName val="리츠"/>
      <sheetName val="산수(hd-0)"/>
      <sheetName val="산수(hd-1)"/>
      <sheetName val="N賃率-職"/>
      <sheetName val="구분"/>
      <sheetName val="1Month+Sheet2!"/>
      <sheetName val="101동"/>
      <sheetName val="2공구산출내역"/>
      <sheetName val="식음료"/>
      <sheetName val="손익"/>
      <sheetName val="Tax"/>
      <sheetName val="데이터유효성검사자료"/>
      <sheetName val="주요기준"/>
      <sheetName val="전기내역서(총계)"/>
      <sheetName val="이우(hd)"/>
      <sheetName val="조직및_인원계획"/>
      <sheetName val="견적내역-미화_(2)"/>
      <sheetName val="견적내역-보안_(2)"/>
      <sheetName val="VA요약(가정_및_배당)"/>
      <sheetName val="2__Summary-cash"/>
      <sheetName val="내역서_제출"/>
      <sheetName val="#REF"/>
      <sheetName val="結果（２年後１億円振り替え）"/>
      <sheetName val="정산표"/>
      <sheetName val="반포2차"/>
      <sheetName val="데이타"/>
      <sheetName val="약품공급2"/>
      <sheetName val="구로점"/>
      <sheetName val="S&amp;R"/>
      <sheetName val="자료"/>
      <sheetName val="2003정규직(1년이상)"/>
      <sheetName val="선급비용"/>
      <sheetName val="건축내역"/>
      <sheetName val="소비자가"/>
      <sheetName val="賃料等一覧"/>
      <sheetName val="1 자원총괄"/>
      <sheetName val="DB"/>
      <sheetName val="조사시트"/>
      <sheetName val="조직및_인원계획1"/>
      <sheetName val="견적내역-미화_(2)1"/>
      <sheetName val="견적내역-보안_(2)1"/>
      <sheetName val="2__Summary-cash1"/>
      <sheetName val="VA요약(가정_및_배당)1"/>
      <sheetName val="내역서_제출1"/>
      <sheetName val="요약&amp;결과"/>
      <sheetName val="자재단가"/>
      <sheetName val="받을어음"/>
      <sheetName val="현장"/>
      <sheetName val="Initial Input Variable"/>
      <sheetName val="Journal"/>
      <sheetName val="1.0"/>
      <sheetName val="Summary"/>
      <sheetName val="1 Cash Flow Analysis"/>
      <sheetName val="2004SS"/>
      <sheetName val="2004CJ"/>
      <sheetName val="상품입고집계"/>
      <sheetName val="データ"/>
      <sheetName val="시나리오"/>
      <sheetName val="토지가격산출기초"/>
      <sheetName val="공시지가"/>
      <sheetName val="Data Sheet"/>
      <sheetName val="Valuation"/>
      <sheetName val="인원계획_미화"/>
      <sheetName val="001"/>
      <sheetName val="Assumptions"/>
      <sheetName val="Customer Databas"/>
      <sheetName val="공사개요"/>
      <sheetName val="일위대가목차"/>
      <sheetName val="MOTOR"/>
      <sheetName val="Instructions"/>
      <sheetName val="Initial_Input_Variable"/>
      <sheetName val="Customer_Databas"/>
      <sheetName val="ASP"/>
      <sheetName val="Budget 2005(DW)"/>
      <sheetName val="Id"/>
      <sheetName val="Area"/>
      <sheetName val="차액보증"/>
      <sheetName val="내역"/>
      <sheetName val="0.1keyAssumption"/>
      <sheetName val="0.0ControlSheet"/>
      <sheetName val="98년매출액및매출원가"/>
      <sheetName val="손익계산서(가로)"/>
      <sheetName val="견적과실행예산"/>
      <sheetName val="Intro2"/>
      <sheetName val="เงินกู้ MGC"/>
      <sheetName val="เงินกู้ธนชาติ"/>
      <sheetName val="Trial Balance"/>
      <sheetName val="GenLedger BalSht"/>
      <sheetName val="A-4"/>
      <sheetName val="Sens&amp;Anal"/>
      <sheetName val="ROE(FI)"/>
      <sheetName val="총투자비산정"/>
      <sheetName val="정부노임단가"/>
      <sheetName val="XL4Poppy"/>
      <sheetName val="품의서"/>
      <sheetName val="갑지"/>
      <sheetName val="기본가정 및 요약"/>
      <sheetName val="2005년 예산"/>
      <sheetName val="연간수입추정(요약)"/>
      <sheetName val="수입 추정(임대료)"/>
      <sheetName val="수입 추정(관리비)"/>
      <sheetName val="수입 추정(보증금)"/>
      <sheetName val="월별 Rentroll"/>
      <sheetName val="2004년 실제 수입"/>
      <sheetName val="자본적 지출"/>
      <sheetName val="빌딩리스트"/>
      <sheetName val="빌딩경영보고서"/>
      <sheetName val="예산(한화)"/>
      <sheetName val="Front Cover"/>
      <sheetName val="Front_Cover"/>
      <sheetName val="시설장비"/>
      <sheetName val="지분법(AK) (2)"/>
      <sheetName val="한일자야(감액손실) (2)"/>
      <sheetName val="부관맨홀조서"/>
      <sheetName val="대차대조표"/>
      <sheetName val="현금"/>
      <sheetName val="품셈TABLE"/>
      <sheetName val="Parameter"/>
      <sheetName val="Macro1"/>
      <sheetName val="세금과공과"/>
      <sheetName val="이자율"/>
      <sheetName val="본관내역서"/>
      <sheetName val="7 (2)"/>
      <sheetName val=" 토목 처리장도급내역서 "/>
      <sheetName val="국내"/>
      <sheetName val="3본사"/>
      <sheetName val="Project_CF"/>
      <sheetName val="직원자료입력"/>
      <sheetName val="2.Summary-cash"/>
      <sheetName val="최종"/>
      <sheetName val="공통"/>
      <sheetName val="99판매상세"/>
      <sheetName val="nr030112"/>
      <sheetName val="제품수불"/>
      <sheetName val="0103"/>
      <sheetName val="외화금융(97-03)"/>
      <sheetName val="산업은행 경영지표"/>
      <sheetName val="Expense Schedule (4)"/>
      <sheetName val="현장관리비"/>
      <sheetName val="기타수익"/>
      <sheetName val="SCH03"/>
      <sheetName val="Development"/>
      <sheetName val="Income"/>
      <sheetName val="Total"/>
      <sheetName val="BS"/>
      <sheetName val="***********************00"/>
      <sheetName val="UW_A"/>
      <sheetName val="2월"/>
      <sheetName val="Quality"/>
      <sheetName val="People"/>
      <sheetName val="Risk"/>
      <sheetName val="Training"/>
      <sheetName val="10월 (2)"/>
      <sheetName val="General"/>
      <sheetName val="종합-임현"/>
      <sheetName val="anaysis_sheet"/>
      <sheetName val="일위"/>
      <sheetName val="LD TX"/>
      <sheetName val="단가비교"/>
      <sheetName val="자재단가비교표"/>
      <sheetName val="조사방식"/>
      <sheetName val="조사방법 참조"/>
      <sheetName val="조사번호"/>
      <sheetName val="argl(1)"/>
      <sheetName val="F"/>
      <sheetName val="Table"/>
      <sheetName val="개요"/>
      <sheetName val="CASHFLOW"/>
      <sheetName val="ARDEBT"/>
      <sheetName val="SALE"/>
      <sheetName val="소유임차부동산(원본)"/>
      <sheetName val="업무분장 "/>
      <sheetName val="영업.일1"/>
      <sheetName val="Cash Flow"/>
      <sheetName val="Source"/>
      <sheetName val="임대료산정(자동계산)"/>
      <sheetName val="단가"/>
      <sheetName val="2 Harajuku Jimusho"/>
      <sheetName val="Assumption"/>
      <sheetName val="Occupancy Scenario"/>
      <sheetName val="품명"/>
      <sheetName val="수지차(년)"/>
      <sheetName val="Ⅰ-3"/>
      <sheetName val="인건비"/>
      <sheetName val="FX Rates"/>
      <sheetName val=" 견적서"/>
      <sheetName val="Facility Information"/>
      <sheetName val="내역1"/>
      <sheetName val="분양금할인"/>
      <sheetName val="간접경상비"/>
      <sheetName val="D1300 자삽"/>
      <sheetName val="Input Screen"/>
      <sheetName val="설-원가"/>
      <sheetName val="설치자재"/>
      <sheetName val="단중"/>
      <sheetName val="Baby일위대가"/>
      <sheetName val="Office only Letup"/>
      <sheetName val="Tenants"/>
      <sheetName val="Customer_Databas1"/>
      <sheetName val="Initial_Input_Variable1"/>
      <sheetName val="1_Cash_Flow_Analysis"/>
      <sheetName val="Budget_2005(DW)"/>
      <sheetName val="GenLedger_BalSht"/>
      <sheetName val="0_1keyAssumption"/>
      <sheetName val="0_0ControlSheet"/>
      <sheetName val="เงินกู้_MGC"/>
      <sheetName val="Trial_Balance"/>
      <sheetName val="1_0"/>
      <sheetName val="2_Harajuku_Jimusho"/>
      <sheetName val="_견적서"/>
      <sheetName val="FX_Rates"/>
      <sheetName val="품목명"/>
      <sheetName val="Collateral"/>
      <sheetName val="일위대가목록"/>
      <sheetName val="Assumptions "/>
      <sheetName val="관람석제출"/>
      <sheetName val="추가시설-시설팀"/>
      <sheetName val="Budget 2004(DW)"/>
      <sheetName val="VL"/>
      <sheetName val="TEL"/>
      <sheetName val="96수출"/>
      <sheetName val="K1자재(3차등)"/>
      <sheetName val="교비지출"/>
      <sheetName val="내역서"/>
      <sheetName val="WFGInfo"/>
      <sheetName val="07-Bud"/>
      <sheetName val="서식시트"/>
      <sheetName val="Front_Cover1"/>
      <sheetName val="지분법(AK)_(2)"/>
      <sheetName val="한일자야(감액손실)_(2)"/>
      <sheetName val="영업_일1"/>
      <sheetName val="10월_(2)"/>
      <sheetName val="Facility_Information"/>
      <sheetName val="기본사항"/>
      <sheetName val="유가증권미수"/>
      <sheetName val="부동산세금"/>
      <sheetName val="공사설계서"/>
      <sheetName val="한국오키"/>
      <sheetName val="CostApp."/>
      <sheetName val="Lookup"/>
      <sheetName val="Data_Sheet"/>
      <sheetName val="Occupancy_Scenario"/>
      <sheetName val="빌딩코드"/>
      <sheetName val="95WBS"/>
      <sheetName val="Work"/>
      <sheetName val="tsuga"/>
      <sheetName val="수목단가"/>
      <sheetName val="노임단가"/>
      <sheetName val="원가서"/>
      <sheetName val="효용적수"/>
      <sheetName val="관리부동산 목록"/>
      <sheetName val="_토목_처리장도급내역서_"/>
      <sheetName val="7_(2)"/>
      <sheetName val="2_Summary-cash"/>
      <sheetName val="산업은행_경영지표"/>
      <sheetName val="Cash_Flow"/>
      <sheetName val="관리부동산_목록"/>
      <sheetName val="설직재-1"/>
      <sheetName val="범어"/>
      <sheetName val="명세"/>
      <sheetName val="Convert"/>
      <sheetName val="첨부1"/>
      <sheetName val="이익잉여금처분계산서"/>
      <sheetName val="재무상태변동표"/>
      <sheetName val="제조원가명세서"/>
      <sheetName val="현금흐름표"/>
      <sheetName val="CostData"/>
      <sheetName val="IncomeData"/>
      <sheetName val="PropertyData"/>
      <sheetName val="시설총괄"/>
      <sheetName val="Utility Usage 한솔엠닷컴"/>
      <sheetName val="II. Assumptions"/>
      <sheetName val="ｂｌｕｅ"/>
      <sheetName val="연구인원내역"/>
      <sheetName val="wall"/>
      <sheetName val="WBS98"/>
      <sheetName val="담보명세"/>
      <sheetName val="BSD (2)"/>
      <sheetName val="백호우계수"/>
      <sheetName val="유림골조"/>
      <sheetName val="노임"/>
      <sheetName val="3.총괄_Fund"/>
      <sheetName val="2.대외공문"/>
      <sheetName val="DATA"/>
      <sheetName val="대림경상68억"/>
      <sheetName val="주차"/>
      <sheetName val="Deal Assumptions"/>
      <sheetName val="Köpfe"/>
      <sheetName val="전선 및 전선관"/>
      <sheetName val="조회총괄"/>
      <sheetName val="6월실적"/>
      <sheetName val="2F 회의실견적(5_14 일대)"/>
      <sheetName val="불법주정차"/>
      <sheetName val="시화점실행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FOOD&amp;BEVERAGE"/>
      <sheetName val="Dental City 가정"/>
      <sheetName val="사업예산내역"/>
      <sheetName val="사업예산품의서"/>
      <sheetName val="9GNG운반"/>
      <sheetName val="일반경비"/>
      <sheetName val="도기류"/>
      <sheetName val="단가산출"/>
      <sheetName val="임대현황"/>
      <sheetName val="출자한도"/>
      <sheetName val="BOJUNGGM"/>
      <sheetName val="재료"/>
      <sheetName val="별제권_정리담보권1"/>
      <sheetName val="RM목표&amp;실적"/>
      <sheetName val="conclusion"/>
      <sheetName val="결정단가"/>
      <sheetName val="comparables"/>
      <sheetName val="Deduction"/>
      <sheetName val="other"/>
      <sheetName val="Cash receipt"/>
      <sheetName val="대비"/>
      <sheetName val="직노"/>
      <sheetName val="Calendar"/>
      <sheetName val="일위대가"/>
      <sheetName val="3.빌딩손익_6년차"/>
      <sheetName val="3.4.수도광열비"/>
      <sheetName val="CT"/>
      <sheetName val="주요가정"/>
      <sheetName val="SETUP"/>
      <sheetName val="조도계산서 (도서)"/>
      <sheetName val="96수표어음"/>
      <sheetName val="물건조서"/>
      <sheetName val="안산기계장치"/>
      <sheetName val="견적정보"/>
      <sheetName val="1,2"/>
      <sheetName val="9,10"/>
      <sheetName val="11,12"/>
      <sheetName val="13,14"/>
      <sheetName val="15,16"/>
      <sheetName val="17,18"/>
      <sheetName val="19,20"/>
      <sheetName val="23,24"/>
      <sheetName val="25,26"/>
      <sheetName val="27,28"/>
      <sheetName val="29,30"/>
      <sheetName val="3,4"/>
      <sheetName val="31,32"/>
      <sheetName val="33,34"/>
      <sheetName val="5,6"/>
      <sheetName val="56"/>
      <sheetName val="7,8"/>
      <sheetName val="갑지(추정)"/>
      <sheetName val="분당임차변경"/>
      <sheetName val="Sheet11"/>
      <sheetName val="시멘트"/>
      <sheetName val="A"/>
      <sheetName val="BOK차입"/>
      <sheetName val="APT"/>
      <sheetName val="콘크리트타설집계표"/>
      <sheetName val="운동장 (2)"/>
      <sheetName val="전력"/>
      <sheetName val="(Monthly)"/>
      <sheetName val="GAAP Pru"/>
      <sheetName val="조명율표"/>
      <sheetName val="옥외외등집계표"/>
      <sheetName val="도급자재"/>
      <sheetName val="Assp_BS"/>
      <sheetName val="손익분석"/>
      <sheetName val="영업.일"/>
      <sheetName val="조직및_인원계획2"/>
      <sheetName val="견적내역-미화_(2)2"/>
      <sheetName val="견적내역-보안_(2)2"/>
      <sheetName val="Initial_Input_Variable2"/>
      <sheetName val="Customer_Databas2"/>
      <sheetName val="1_Cash_Flow_Analysis1"/>
      <sheetName val="Budget_2005(DW)1"/>
      <sheetName val="เงินกู้_MGC1"/>
      <sheetName val="Trial_Balance1"/>
      <sheetName val="GenLedger_BalSht1"/>
      <sheetName val="0_1keyAssumption1"/>
      <sheetName val="0_0ControlSheet1"/>
      <sheetName val="1_01"/>
      <sheetName val="2_Harajuku_Jimusho1"/>
      <sheetName val="_견적서1"/>
      <sheetName val="FX_Rates1"/>
      <sheetName val="Office_only_Letup"/>
      <sheetName val="Assumptions_"/>
      <sheetName val="Budget_2004(DW)"/>
      <sheetName val="돈암사업"/>
      <sheetName val="범용개발순소요비용"/>
      <sheetName val="JUCKEYK"/>
      <sheetName val="CA"/>
      <sheetName val="금융"/>
      <sheetName val="은행"/>
      <sheetName val="리스"/>
      <sheetName val="보험"/>
      <sheetName val="Funding"/>
      <sheetName val="CF(M)"/>
      <sheetName val="IS(FY)"/>
      <sheetName val="ﾘｽﾄ"/>
      <sheetName val="準備ｼｰﾄ"/>
      <sheetName val="Inve. &amp; Income Assum."/>
      <sheetName val="이익영"/>
      <sheetName val="세목별"/>
      <sheetName val="Front_Cover2"/>
      <sheetName val="지분법(AK)_(2)1"/>
      <sheetName val="한일자야(감액손실)_(2)1"/>
      <sheetName val="영업_일11"/>
      <sheetName val="10월_(2)1"/>
      <sheetName val="Facility_Information1"/>
      <sheetName val="조직도 빽업"/>
      <sheetName val="_토목_처리장도급내역서_1"/>
      <sheetName val="7_(2)1"/>
      <sheetName val="2_Summary-cash1"/>
      <sheetName val="산업은행_경영지표1"/>
      <sheetName val="Cash_Flow1"/>
      <sheetName val="관리부동산_목록1"/>
      <sheetName val="2_대외공문"/>
      <sheetName val="3_총괄_Fund"/>
      <sheetName val="20관리비율"/>
      <sheetName val="15"/>
      <sheetName val="민감도"/>
      <sheetName val="물량"/>
      <sheetName val="매출"/>
      <sheetName val="목차"/>
      <sheetName val="표지"/>
      <sheetName val="PROJECT BRIEF(EX.NEW)"/>
      <sheetName val="17.채용자명단"/>
      <sheetName val="분전함신설"/>
      <sheetName val="접지1종"/>
      <sheetName val="감사일어"/>
      <sheetName val="9.Utilities"/>
      <sheetName val="95-96매출액등"/>
      <sheetName val="단가표"/>
      <sheetName val="붙임2-1  지급조서명세서(2001년분)"/>
      <sheetName val="SIMULATION"/>
      <sheetName val="구리토평1전기"/>
      <sheetName val="생산직"/>
      <sheetName val="Sheet2"/>
      <sheetName val="결재방연결"/>
      <sheetName val="실적"/>
      <sheetName val="관리비계산서"/>
      <sheetName val="1.2"/>
      <sheetName val="업무분장_"/>
      <sheetName val="소방사항"/>
      <sheetName val="이름표"/>
      <sheetName val="일반수량총괄집계"/>
      <sheetName val="Accrued Interest income"/>
      <sheetName val="ﾄﾞﾛｯﾌﾟﾀﾞｳﾝﾒﾆｭｰ"/>
      <sheetName val="외상매출금현황-수정분 A2"/>
      <sheetName val="Data_Sheet1"/>
      <sheetName val="Occupancy_Scenario1"/>
      <sheetName val="CostApp_"/>
      <sheetName val="Dental_City_가정"/>
      <sheetName val="I一般比"/>
      <sheetName val="전선_및_전선관"/>
      <sheetName val="Tier 1"/>
      <sheetName val="PLD"/>
      <sheetName val="수량계산"/>
      <sheetName val="일위산출"/>
      <sheetName val="CF Case1(메인)"/>
      <sheetName val="순수통장"/>
      <sheetName val="적립수신"/>
      <sheetName val="직재"/>
      <sheetName val="재집"/>
      <sheetName val="3-4현"/>
      <sheetName val="3-3현"/>
      <sheetName val="Menu_Link"/>
      <sheetName val="근린생활"/>
      <sheetName val="COVER"/>
      <sheetName val="영업사양"/>
      <sheetName val="DATE"/>
      <sheetName val="조사자료"/>
      <sheetName val="스포회원매출"/>
      <sheetName val="실행내역"/>
      <sheetName val="공사원가계산서"/>
      <sheetName val="INFORM"/>
      <sheetName val="단가대비표"/>
      <sheetName val="CIP"/>
      <sheetName val="완성차 미수금"/>
      <sheetName val="区分"/>
      <sheetName val="수량산출서 (2)"/>
      <sheetName val="Utilities"/>
      <sheetName val="Utility Usage YTN TOWER"/>
      <sheetName val="제직재"/>
      <sheetName val="제-노임"/>
      <sheetName val="설계조건"/>
      <sheetName val="비용산식"/>
      <sheetName val="MEMORY"/>
      <sheetName val="D01"/>
      <sheetName val="간접재료비산출표-27-30"/>
      <sheetName val="을지"/>
      <sheetName val="비용자료"/>
      <sheetName val="비용예산자료"/>
      <sheetName val="수익자료"/>
      <sheetName val="수익예산자료"/>
      <sheetName val="현금경비중역"/>
      <sheetName val="신상자료"/>
      <sheetName val="g. Rent Roll"/>
      <sheetName val="임대수익"/>
      <sheetName val="base"/>
      <sheetName val="Label"/>
      <sheetName val="의뢰건 (2)"/>
      <sheetName val="손익계산서(管理)"/>
      <sheetName val="Bilanz zum_06_12_30"/>
      <sheetName val="契約状況一覧"/>
      <sheetName val="物件概要"/>
      <sheetName val="定期巡回報告書"/>
      <sheetName val=" 目次"/>
      <sheetName val="Macro Codes"/>
      <sheetName val="その他ローン差額"/>
      <sheetName val="Utility Usage엠닷컴 26"/>
      <sheetName val="현금흐름"/>
      <sheetName val="과"/>
      <sheetName val="기본가정"/>
      <sheetName val="총투자비"/>
      <sheetName val="총투자비(총괄)"/>
      <sheetName val="EACT10"/>
      <sheetName val="SRC-B3U2"/>
      <sheetName val="견적세부내역_보안미화_5%"/>
      <sheetName val="식재인부"/>
      <sheetName val="울산"/>
      <sheetName val="일반관리비"/>
      <sheetName val="집계표"/>
      <sheetName val="J直材4"/>
      <sheetName val="LANGUAGE"/>
      <sheetName val="8"/>
      <sheetName val="10"/>
      <sheetName val="12"/>
      <sheetName val="9"/>
      <sheetName val="11"/>
      <sheetName val="2"/>
      <sheetName val="강재"/>
      <sheetName val="출금실적"/>
      <sheetName val="여과지동"/>
      <sheetName val="기초자료"/>
      <sheetName val="상환계획(선순위)(Q)"/>
      <sheetName val="CABLE SIZE-1"/>
      <sheetName val="일위대가표"/>
      <sheetName val="운영비"/>
      <sheetName val="10.익월 업무 계획-전기,방재"/>
      <sheetName val="준공내역(을)"/>
      <sheetName val="ASSUM"/>
      <sheetName val="Current"/>
      <sheetName val="Budget"/>
      <sheetName val="외주가공"/>
      <sheetName val="해외법인"/>
      <sheetName val="부하계산서"/>
      <sheetName val="'94자산"/>
      <sheetName val="충주"/>
      <sheetName val="PROJECT BRIEF"/>
      <sheetName val="일반변동비청구내역"/>
      <sheetName val="실비정산청구내역"/>
      <sheetName val="재정비직인"/>
      <sheetName val="재정비내역"/>
      <sheetName val="지적고시내역"/>
      <sheetName val="정화조동내역"/>
      <sheetName val="절대지우지말것"/>
      <sheetName val="연결임시"/>
      <sheetName val="기존단가 (2)"/>
      <sheetName val="임시"/>
      <sheetName val="기자재비"/>
      <sheetName val="일위대가(가설)"/>
      <sheetName val="lendor"/>
      <sheetName val="총사업비명세"/>
      <sheetName val="재무조건"/>
      <sheetName val="CF(양식23)"/>
      <sheetName val="차입금상환계획"/>
      <sheetName val="총투자비(총괄)재원조달"/>
      <sheetName val="10월"/>
      <sheetName val="Linelev4"/>
      <sheetName val="수입"/>
      <sheetName val="Rent(Old)"/>
      <sheetName val="작업본"/>
      <sheetName val="공통부대비"/>
      <sheetName val="Gangbo"/>
      <sheetName val="간접비계산"/>
      <sheetName val="금호"/>
      <sheetName val="누호"/>
      <sheetName val="sch"/>
      <sheetName val="富士見積"/>
      <sheetName val="SpQ"/>
      <sheetName val="사용자정의"/>
      <sheetName val="제품표준규격"/>
      <sheetName val="관급자재"/>
      <sheetName val="임대관리수익"/>
      <sheetName val="익산"/>
      <sheetName val="을-ATYPE"/>
      <sheetName val="Physical Description"/>
      <sheetName val="HBCT"/>
      <sheetName val="쌍용건설"/>
      <sheetName val="Taxes"/>
      <sheetName val="9-1차이내역"/>
      <sheetName val="2000년1차"/>
      <sheetName val="2000전체분"/>
      <sheetName val="Details"/>
      <sheetName val="공사현황"/>
      <sheetName val="1.우편집중내역서"/>
      <sheetName val="検針表"/>
      <sheetName val="마포토정"/>
      <sheetName val="전신환매도율"/>
      <sheetName val="disposition"/>
      <sheetName val="TB"/>
      <sheetName val="명세표참조"/>
      <sheetName val="설치공사비"/>
      <sheetName val="당초"/>
      <sheetName val="계정"/>
      <sheetName val="Code"/>
      <sheetName val="#5"/>
      <sheetName val="#3"/>
      <sheetName val="全国"/>
      <sheetName val="월별 판관비"/>
      <sheetName val="총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주요기준"/>
      <sheetName val="매출"/>
      <sheetName val="경상이익"/>
      <sheetName val="전사"/>
      <sheetName val="편의점"/>
      <sheetName val="SM"/>
      <sheetName val="FS"/>
      <sheetName val="개발(임대)"/>
      <sheetName val="개발(빌딩)"/>
      <sheetName val="EC"/>
      <sheetName val="물류"/>
      <sheetName val="인화원"/>
      <sheetName val="철수사업"/>
      <sheetName val="본사"/>
      <sheetName val="개발"/>
      <sheetName val="Sheet4"/>
      <sheetName val="Sheet5"/>
      <sheetName val="표준"/>
      <sheetName val="지표추이"/>
      <sheetName val="총괄"/>
      <sheetName val="사업별"/>
      <sheetName val="사업별-추정"/>
      <sheetName val="인원계획-미화"/>
      <sheetName val="제목"/>
      <sheetName val="1월"/>
      <sheetName val="중기집계 "/>
      <sheetName val="식음료"/>
    </sheetNames>
    <sheetDataSet>
      <sheetData sheetId="0"/>
      <sheetData sheetId="1">
        <row r="4">
          <cell r="A4" t="str">
            <v>사업부지급이자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Month+Sheet2!"/>
      <sheetName val="인원계획-미화"/>
      <sheetName val="내역서"/>
      <sheetName val="수지차(년)"/>
      <sheetName val="1Month_Sheet2_"/>
      <sheetName val="Template"/>
      <sheetName val="공사비총괄표"/>
      <sheetName val="주요기준"/>
      <sheetName val="Sheet1"/>
      <sheetName val="총무팀"/>
      <sheetName val="마포-임현"/>
      <sheetName val="익월작업계힉"/>
      <sheetName val="노무비"/>
      <sheetName val="3본사"/>
      <sheetName val="내역"/>
      <sheetName val="보험금"/>
      <sheetName val="98지급계획"/>
      <sheetName val="내역총괄"/>
      <sheetName val="용역참가자보안각서"/>
      <sheetName val="실행철강하도"/>
      <sheetName val="중기"/>
      <sheetName val="요율"/>
      <sheetName val="Data(인원)"/>
      <sheetName val="재무가정"/>
      <sheetName val="참조.지연이자_총괄"/>
      <sheetName val="管理見積(ｶﾅｻﾞﾜ)"/>
      <sheetName val="직접노무"/>
      <sheetName val="직접재료"/>
      <sheetName val="산수(hd-0)"/>
      <sheetName val="산수(hd-1)"/>
      <sheetName val="전체손익"/>
      <sheetName val="구로점"/>
      <sheetName val="지급어음(일별)"/>
      <sheetName val="당초"/>
      <sheetName val="BASE"/>
      <sheetName val="#REF"/>
      <sheetName val="조명율표"/>
      <sheetName val="N賃率-職"/>
      <sheetName val="건내용"/>
      <sheetName val="Sheet2"/>
      <sheetName val="기준정보"/>
      <sheetName val="건물대사"/>
      <sheetName val="入力用(家賃)"/>
      <sheetName val="入力用(駐車)"/>
      <sheetName val="조사시트"/>
      <sheetName val="OPREV(대한)"/>
      <sheetName val="데이타"/>
      <sheetName val="식재인부"/>
      <sheetName val="선급비용"/>
      <sheetName val="2.대외공문"/>
      <sheetName val="설직재-1"/>
      <sheetName val="정산표"/>
      <sheetName val="구분"/>
      <sheetName val="일위"/>
      <sheetName val="GAAP Pru"/>
      <sheetName val="단가대비표"/>
      <sheetName val="연환"/>
      <sheetName val="직노"/>
      <sheetName val="リスト"/>
      <sheetName val="A３新収益"/>
      <sheetName val="옥외외등집계표"/>
      <sheetName val="Assp_BS"/>
      <sheetName val="Calendar"/>
      <sheetName val="가격표"/>
      <sheetName val="I一般比"/>
      <sheetName val="효용적수"/>
      <sheetName val="적용토목"/>
      <sheetName val="수량산출서 (2)"/>
      <sheetName val="총투자비(총괄)"/>
      <sheetName val="요약&amp;결과"/>
      <sheetName val="회사정보"/>
      <sheetName val="区分"/>
      <sheetName val="빌딩코드"/>
      <sheetName val="식음료"/>
      <sheetName val="설계명세"/>
      <sheetName val="월별 판관비"/>
      <sheetName val="list"/>
      <sheetName val="현장"/>
      <sheetName val="조사번호"/>
      <sheetName val="data"/>
      <sheetName val="자금입금"/>
      <sheetName val="절대지우지말것"/>
      <sheetName val="한일자야(감액손실) (2)"/>
      <sheetName val="계정"/>
      <sheetName val="총괄"/>
      <sheetName val="반포2차"/>
      <sheetName val="직재"/>
      <sheetName val="일위대가표"/>
      <sheetName val="DATA_Daejeon"/>
      <sheetName val="보증수수료산출"/>
      <sheetName val="全国"/>
      <sheetName val="基本データ"/>
      <sheetName val="Hardclose TB and schedules"/>
      <sheetName val="Assumptions"/>
      <sheetName val="입력변수"/>
      <sheetName val="Assumption"/>
      <sheetName val="재정비내역"/>
      <sheetName val="지적고시내역"/>
      <sheetName val="200"/>
      <sheetName val="부대공ⅱ"/>
      <sheetName val="15"/>
      <sheetName val="データ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견적"/>
      <sheetName val="견적서"/>
      <sheetName val="견적내역"/>
      <sheetName val="산출기준"/>
      <sheetName val="인건"/>
      <sheetName val="근무"/>
      <sheetName val="인원계획-미화"/>
      <sheetName val="Intro2"/>
      <sheetName val="Id"/>
      <sheetName val="리츠"/>
      <sheetName val="1Month+Sheet2!"/>
      <sheetName val="이자율"/>
      <sheetName val="수지차(년)"/>
      <sheetName val="Parameter"/>
      <sheetName val="품셈TABLE"/>
      <sheetName val="Initial Input Variable"/>
      <sheetName val="Area"/>
      <sheetName val="Budget 2005(DW)"/>
      <sheetName val="Assumptions"/>
      <sheetName val="98지급계획"/>
      <sheetName val="賃料等一覧"/>
      <sheetName val="3본사"/>
      <sheetName val="경율산정.XLS"/>
      <sheetName val="노임이"/>
      <sheetName val="주요기준"/>
      <sheetName val="Sheet1"/>
      <sheetName val="익월작업계힉"/>
      <sheetName val="산업은행 경영지표"/>
      <sheetName val="총무팀"/>
      <sheetName val="마포-임현"/>
      <sheetName val="재무가정"/>
      <sheetName val="목록"/>
      <sheetName val="중기"/>
      <sheetName val="회사정보"/>
      <sheetName val="경율산정_XLS"/>
      <sheetName val="Initial_Input_Variable"/>
      <sheetName val="Budget_2005(DW)"/>
      <sheetName val="산업은행_경영지표"/>
      <sheetName val="국내"/>
      <sheetName val="2004SS"/>
      <sheetName val="2004CJ"/>
      <sheetName val="S&amp;R"/>
      <sheetName val="실행내역"/>
      <sheetName val="갑지"/>
      <sheetName val="기본가정 및 요약"/>
      <sheetName val="2005년 예산"/>
      <sheetName val="연간수입추정(요약)"/>
      <sheetName val="수입 추정(임대료)"/>
      <sheetName val="수입 추정(관리비)"/>
      <sheetName val="수입 추정(보증금)"/>
      <sheetName val="월별 Rentroll"/>
      <sheetName val="2004년 실제 수입"/>
      <sheetName val="자본적 지출"/>
      <sheetName val="차액보증"/>
      <sheetName val="I. Assumptions"/>
      <sheetName val="실행대비"/>
      <sheetName val="10월"/>
      <sheetName val="Sheet5"/>
      <sheetName val="15.Op. Activities"/>
      <sheetName val="Situation"/>
      <sheetName val="SLIDES"/>
      <sheetName val="Cash Flow"/>
      <sheetName val="Source"/>
      <sheetName val="#REF"/>
      <sheetName val="0101시산표"/>
      <sheetName val="oct"/>
      <sheetName val="sep"/>
      <sheetName val="미지급금"/>
      <sheetName val="선급금"/>
      <sheetName val="선수금"/>
      <sheetName val="aug"/>
      <sheetName val="단기차입금"/>
      <sheetName val="외화보통예금"/>
      <sheetName val="외회외상매입금"/>
      <sheetName val="외화외상매출금"/>
      <sheetName val="장기차입금"/>
      <sheetName val="Lookup"/>
      <sheetName val="0.0ControlSheet"/>
      <sheetName val="기준시가"/>
      <sheetName val="기본가정_및_요약"/>
      <sheetName val="2005년_예산"/>
      <sheetName val="수입_추정(임대료)"/>
      <sheetName val="수입_추정(관리비)"/>
      <sheetName val="수입_추정(보증금)"/>
      <sheetName val="월별_Rentroll"/>
      <sheetName val="2004년_실제_수입"/>
      <sheetName val="자본적_지출"/>
      <sheetName val="I__Assumptions"/>
      <sheetName val="Cash_Flow"/>
      <sheetName val="15_Op__Activities"/>
      <sheetName val="지급어음(일별)"/>
      <sheetName val="직접비"/>
      <sheetName val="Sheet1 (2)"/>
      <sheetName val="삼성전기"/>
      <sheetName val="한국중공업시설"/>
      <sheetName val="Ext. Stone-P"/>
      <sheetName val="Balance"/>
      <sheetName val="P &amp;L"/>
      <sheetName val="PROJECT BRIEF(EX.NEW)"/>
      <sheetName val="2. Summary-cash"/>
      <sheetName val="OPREV(대한)"/>
      <sheetName val="Template"/>
      <sheetName val="붙임2-1  지급조서명세서(2001년분)"/>
      <sheetName val="상가매매0115"/>
      <sheetName val="상가임대0115"/>
      <sheetName val="업무용유지비실적"/>
      <sheetName val="1ST"/>
      <sheetName val="내역"/>
      <sheetName val="10월 급여"/>
      <sheetName val="주요가정"/>
      <sheetName val="민감도"/>
      <sheetName val="붙임2-1__지급조서명세서(2001년분)"/>
      <sheetName val="01AC"/>
      <sheetName val="Frame"/>
      <sheetName val="평당가_매매_유형별"/>
      <sheetName val="일위대가"/>
      <sheetName val="공사별5"/>
      <sheetName val="빌딩코드"/>
      <sheetName val="건재양식"/>
      <sheetName val="설-원가"/>
      <sheetName val="설치자재"/>
      <sheetName val="단중"/>
      <sheetName val="1.표지"/>
      <sheetName val="tsuga"/>
      <sheetName val="설 계"/>
      <sheetName val="단가"/>
      <sheetName val="효용적수"/>
      <sheetName val="원본"/>
      <sheetName val="인테리어견적(내역서)"/>
      <sheetName val="하자 Check"/>
      <sheetName val="산출내역서"/>
      <sheetName val="Valuation"/>
      <sheetName val="Assumption"/>
      <sheetName val="임대료산정(자동계산)"/>
      <sheetName val="リスト"/>
      <sheetName val="DATA"/>
      <sheetName val="설계"/>
      <sheetName val="Initial_Input_Variable1"/>
      <sheetName val="Budget_2005(DW)1"/>
      <sheetName val="경율산정_XLS1"/>
      <sheetName val="산업은행_경영지표1"/>
      <sheetName val="설치공사비"/>
      <sheetName val="조건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1월"/>
      <sheetName val="받을어음"/>
      <sheetName val="BID"/>
      <sheetName val="실행철강하도"/>
      <sheetName val="Pricing"/>
      <sheetName val="Debt Service Schedule"/>
      <sheetName val="Sales Proceeds"/>
      <sheetName val="Fin_Assumption"/>
      <sheetName val="건축내역"/>
      <sheetName val="マスタ"/>
      <sheetName val="품목"/>
      <sheetName val="anaysis_sheet"/>
      <sheetName val="Sheet2"/>
      <sheetName val="BSLA"/>
      <sheetName val="2.주요계수총괄"/>
      <sheetName val="בית השקעות"/>
      <sheetName val="내역서"/>
      <sheetName val="I. Assump"/>
      <sheetName val="CostData"/>
      <sheetName val="IncomeData"/>
      <sheetName val="Summary"/>
      <sheetName val="PropertyData"/>
      <sheetName val="지분법(지분수정전)"/>
      <sheetName val="Building 1"/>
      <sheetName val="Acquisition Costs- Base Case"/>
      <sheetName val="CASHFLOW"/>
      <sheetName val="BSD (2)"/>
      <sheetName val="ADJ - RATE"/>
      <sheetName val="시설장비"/>
      <sheetName val="인트라넷시스템근거"/>
      <sheetName val="Reversion Calcs"/>
      <sheetName val="Setup"/>
      <sheetName val="Sensitivity Analysis"/>
      <sheetName val="yakumo"/>
      <sheetName val="데이타"/>
      <sheetName val="식재인부"/>
      <sheetName val="(Monthly)"/>
      <sheetName val="손익"/>
      <sheetName val="Rent Roll"/>
      <sheetName val="Master List and Strats"/>
      <sheetName val="INPUT"/>
      <sheetName val="주차"/>
      <sheetName val="기타코드"/>
      <sheetName val="&lt;양식23_CF&gt;"/>
      <sheetName val="산출내역서집계표"/>
      <sheetName val="Quality"/>
      <sheetName val="People"/>
      <sheetName val="Risk"/>
      <sheetName val="Training"/>
      <sheetName val="General"/>
      <sheetName val="Instructions"/>
      <sheetName val="結果（２年後１億円振り替え）"/>
      <sheetName val="Summary-P"/>
      <sheetName val="BASE P.L OWNER"/>
      <sheetName val="INVEST CALC"/>
      <sheetName val="2000.05"/>
      <sheetName val="지출일정(4)"/>
      <sheetName val="별제권_정리담보권1"/>
      <sheetName val="I. Assumption"/>
      <sheetName val="Ⅲ.CF_5yr_Qtr"/>
      <sheetName val="기본가정_및_요약1"/>
      <sheetName val="2005년_예산1"/>
      <sheetName val="수입_추정(임대료)1"/>
      <sheetName val="수입_추정(관리비)1"/>
      <sheetName val="수입_추정(보증금)1"/>
      <sheetName val="월별_Rentroll1"/>
      <sheetName val="2004년_실제_수입1"/>
      <sheetName val="자본적_지출1"/>
      <sheetName val="Ext__Stone-P"/>
      <sheetName val="PROJECT_BRIEF(EX_NEW)"/>
      <sheetName val="I__Assumptions1"/>
      <sheetName val="15_Op__Activities1"/>
      <sheetName val="Cash_Flow1"/>
      <sheetName val="Sheet1_(2)"/>
      <sheetName val="0_0ControlSheet"/>
      <sheetName val="P_&amp;L"/>
      <sheetName val="2__Summary-cash"/>
      <sheetName val="Dental City 가정"/>
      <sheetName val="상환계획(선순위)(Q)"/>
      <sheetName val="요약&amp;결과"/>
      <sheetName val="단기차입금(200006)"/>
      <sheetName val="본관내역서"/>
      <sheetName val="MEM수율입고"/>
      <sheetName val="해외세목"/>
      <sheetName val="상세내역"/>
      <sheetName val="CHECK LIST"/>
      <sheetName val="YTD"/>
      <sheetName val="이우(hd)"/>
      <sheetName val="Elemental Breakdown-Original"/>
      <sheetName val="要旨"/>
      <sheetName val="DETBIL"/>
      <sheetName val="1 Cash Flow Analysis"/>
      <sheetName val="Sales_Proceeds"/>
      <sheetName val="Debt_Service_Schedule"/>
      <sheetName val="2_주요계수총괄"/>
      <sheetName val="Reversion_Calcs"/>
      <sheetName val="Sensitivity_Analysis"/>
      <sheetName val="I__Assumption"/>
      <sheetName val="Ⅲ_CF_5yr_Qtr"/>
      <sheetName val="2000_05"/>
      <sheetName val="Building_1"/>
      <sheetName val="Acquisition_Costs-_Base_Case"/>
      <sheetName val="Tenants"/>
      <sheetName val="Data(인원)"/>
      <sheetName val="0.1keyAssumption"/>
      <sheetName val="등록자료"/>
      <sheetName val="Data&amp;Result"/>
      <sheetName val="차수"/>
      <sheetName val="일위대가(가설)"/>
      <sheetName val="철탑공사"/>
      <sheetName val="명단"/>
      <sheetName val="2.Summary-cash"/>
      <sheetName val="점수계산1-2"/>
      <sheetName val="energy 8.18"/>
      <sheetName val="Facility Information"/>
      <sheetName val="ROE(FI)"/>
      <sheetName val="총투자비산정"/>
      <sheetName val="기본가정"/>
      <sheetName val="총투자비"/>
      <sheetName val="@RISK Correlations"/>
      <sheetName val="급여대장(관리)"/>
      <sheetName val="예산(한화)"/>
      <sheetName val="COVERSHEET"/>
      <sheetName val="MGT OFFICE"/>
      <sheetName val="g. Rent Roll"/>
      <sheetName val="붙임2-1__지급조서명세서(2001년분)1"/>
      <sheetName val="10월_급여"/>
      <sheetName val="BSD_(2)"/>
      <sheetName val="ADJ_-_RATE"/>
      <sheetName val="Dental_City_가정"/>
      <sheetName val="10월 (2)"/>
      <sheetName val="종합-임현"/>
      <sheetName val="2공구산출내역"/>
      <sheetName val="사업예산내역"/>
      <sheetName val="사업예산품의서"/>
      <sheetName val="Main"/>
      <sheetName val="CABLE SIZE-1"/>
      <sheetName val="총사업비"/>
      <sheetName val="Sens&amp;Anal"/>
      <sheetName val="Baby일위대가"/>
      <sheetName val="2.대외공문"/>
      <sheetName val="설직재-1"/>
      <sheetName val="업무분장 "/>
      <sheetName val="현장"/>
      <sheetName val="1_표지"/>
      <sheetName val="설_계"/>
      <sheetName val="Utility Usage YTN TOWER"/>
      <sheetName val="공사기성"/>
      <sheetName val="Cover Sheet"/>
      <sheetName val="Property Information Summary"/>
      <sheetName val="Sys Config"/>
      <sheetName val="총괄표"/>
      <sheetName val="Cash Flow "/>
      <sheetName val="지장물"/>
      <sheetName val="점별(추정)"/>
      <sheetName val="일위_파일"/>
      <sheetName val="자재(원원+원대)"/>
      <sheetName val="day"/>
      <sheetName val="DB구축"/>
      <sheetName val="I__Assump"/>
      <sheetName val="Rent_Roll"/>
      <sheetName val="N賃率-職"/>
      <sheetName val="入力用(家賃)"/>
      <sheetName val="入力用(駐車)"/>
      <sheetName val="Budget 2004(DW)"/>
      <sheetName val="분양금할인"/>
      <sheetName val="산수(hd-0)"/>
      <sheetName val="산수(hd-1)"/>
      <sheetName val="Calendar"/>
      <sheetName val="EXRATE"/>
      <sheetName val="Ex - FRFsp"/>
      <sheetName val="Forecloser"/>
      <sheetName val="Identity"/>
      <sheetName val="Price Level"/>
      <sheetName val="Location"/>
      <sheetName val="Comment"/>
      <sheetName val="Physical"/>
      <sheetName val="A-Property"/>
      <sheetName val="A-UW1"/>
      <sheetName val="A-General"/>
      <sheetName val="Total"/>
      <sheetName val="적용환율"/>
      <sheetName val="Aｸﾗｽ空室率DB"/>
      <sheetName val="대차대조표"/>
      <sheetName val="B (Controls)"/>
      <sheetName val="Set-Up"/>
      <sheetName val="A (Calcs)"/>
      <sheetName val="Multi-Iteration"/>
      <sheetName val="실행예산"/>
      <sheetName val="일반관리비"/>
      <sheetName val="완성차 미수금"/>
      <sheetName val="D01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붙임2-1__지급조서명세서(2001년분)2"/>
      <sheetName val="Sheet1_(2)1"/>
      <sheetName val="10월_급여1"/>
      <sheetName val="BSD_(2)1"/>
      <sheetName val="ADJ_-_RATE1"/>
      <sheetName val="Dental_City_가정1"/>
      <sheetName val="10월_(2)"/>
      <sheetName val="0_1keyAssumption"/>
      <sheetName val="Carepaq"/>
      <sheetName val="OPT"/>
      <sheetName val="1_當期시산표"/>
      <sheetName val="BS(기초자료)"/>
      <sheetName val="PL(기초자료)"/>
      <sheetName val="TBT(PR+수정분개)"/>
      <sheetName val="DATE"/>
      <sheetName val="영업.일1"/>
      <sheetName val="Config"/>
      <sheetName val="기본가정_및_요약2"/>
      <sheetName val="2005년_예산2"/>
      <sheetName val="수입_추정(임대료)2"/>
      <sheetName val="수입_추정(관리비)2"/>
      <sheetName val="수입_추정(보증금)2"/>
      <sheetName val="월별_Rentroll2"/>
      <sheetName val="2004년_실제_수입2"/>
      <sheetName val="자본적_지출2"/>
      <sheetName val="I__Assumptions2"/>
      <sheetName val="15_Op__Activities2"/>
      <sheetName val="Cash_Flow2"/>
      <sheetName val="Ext__Stone-P1"/>
      <sheetName val="0_0ControlSheet1"/>
      <sheetName val="PROJECT_BRIEF(EX_NEW)1"/>
      <sheetName val="P_&amp;L1"/>
      <sheetName val="2__Summary-cash1"/>
      <sheetName val="Sales_Proceeds1"/>
      <sheetName val="Debt_Service_Schedule1"/>
      <sheetName val="2_주요계수총괄1"/>
      <sheetName val="Reversion_Calcs1"/>
      <sheetName val="Sensitivity_Analysis1"/>
      <sheetName val="I__Assumption1"/>
      <sheetName val="Ⅲ_CF_5yr_Qtr1"/>
      <sheetName val="2000_051"/>
      <sheetName val="1_Cash_Flow_Analysis"/>
      <sheetName val="Elemental_Breakdown-Original"/>
      <sheetName val="energy_8_18"/>
      <sheetName val="Facility_Information"/>
      <sheetName val="בית_השקעות"/>
      <sheetName val="Master_List_and_Strats"/>
      <sheetName val="Ⅰ-3.1"/>
      <sheetName val="Rent Roll_py"/>
      <sheetName val="인건비"/>
      <sheetName val="급여표"/>
      <sheetName val="호텔부담분 산정식"/>
      <sheetName val="요율"/>
      <sheetName val="2001년12월"/>
      <sheetName val="base"/>
      <sheetName val="9-1차이내역"/>
      <sheetName val="Project Brief"/>
      <sheetName val=" 견적서"/>
      <sheetName val="공사현황"/>
      <sheetName val="주관사업"/>
      <sheetName val="기준자료"/>
      <sheetName val="g__Rent_Roll"/>
      <sheetName val="GAAP Pru"/>
      <sheetName val="2016년07월"/>
      <sheetName val="식대견적"/>
      <sheetName val="사직서"/>
      <sheetName val="간접재료비산출표-27-30"/>
      <sheetName val="입찰안"/>
      <sheetName val="기타자료"/>
      <sheetName val="TEL"/>
      <sheetName val="I一般比"/>
      <sheetName val="ﾘｽﾄ"/>
      <sheetName val="準備ｼｰﾄ"/>
      <sheetName val="현장관리비"/>
      <sheetName val="단가표"/>
      <sheetName val="C"/>
      <sheetName val="Control"/>
      <sheetName val="Xaxis"/>
      <sheetName val="B"/>
      <sheetName val="A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 201501_MMR_Olive Tower.xlsx"/>
      <sheetName val="DB"/>
      <sheetName val="Data Sheet"/>
      <sheetName val="광-단가"/>
      <sheetName val="대-단가"/>
      <sheetName val="설치수량"/>
      <sheetName val="준공내역(을)"/>
      <sheetName val="건물대사"/>
      <sheetName val="시설총괄"/>
      <sheetName val="CodeTable"/>
      <sheetName val="위치조서"/>
      <sheetName val="2000전체분"/>
      <sheetName val="2000년1차"/>
      <sheetName val="comparables"/>
      <sheetName val="Deduction"/>
      <sheetName val="other"/>
      <sheetName val="conclusion"/>
      <sheetName val="결정단가"/>
      <sheetName val="XXXXXXXX"/>
      <sheetName val="투찰(하수)"/>
      <sheetName val="공통"/>
      <sheetName val="기계경비(시간당)"/>
      <sheetName val="램머"/>
      <sheetName val="이익잉여금처분계산서"/>
      <sheetName val="재무상태변동표"/>
      <sheetName val="제조원가명세서"/>
      <sheetName val="현금흐름표"/>
      <sheetName val="최종"/>
      <sheetName val="분석통계"/>
      <sheetName val="Cash receipt"/>
      <sheetName val="유동자산"/>
      <sheetName val="12.수도광열비"/>
      <sheetName val="Operational Activities"/>
      <sheetName val="RECIEPT&amp;PAYMENT"/>
      <sheetName val="WREK자산임대현황-1(2월06일) "/>
      <sheetName val="본부별매출"/>
      <sheetName val="97년추정손익계산서"/>
      <sheetName val="ASP"/>
      <sheetName val="위스키3"/>
      <sheetName val="주류전체2"/>
      <sheetName val="입찰보고"/>
      <sheetName val="Budget"/>
      <sheetName val="Ex_-_FRFsp"/>
      <sheetName val="Price_Level"/>
      <sheetName val="2_Summary-cash"/>
      <sheetName val="손익계산서"/>
      <sheetName val="管理見積(ｶﾅｻﾞﾜ)"/>
      <sheetName val="wall"/>
      <sheetName val="Front"/>
      <sheetName val="値付くん"/>
      <sheetName val="현금흐름"/>
      <sheetName val="인사자료총집계"/>
      <sheetName val="예총"/>
      <sheetName val="경상비내역"/>
      <sheetName val="Utility Usage 한솔엠닷컴"/>
      <sheetName val="FS"/>
      <sheetName val="Basic_Information"/>
      <sheetName val="Cases"/>
      <sheetName val="Control Page"/>
      <sheetName val="DCF Input"/>
      <sheetName val="Earnings"/>
      <sheetName val="퇴직금추계ot"/>
      <sheetName val="식음료"/>
      <sheetName val="Code"/>
      <sheetName val="#5"/>
      <sheetName val="#3"/>
      <sheetName val="부문손익"/>
      <sheetName val="ｸﾚｰﾑﾘｽﾄ"/>
      <sheetName val="내역서(갑지)"/>
      <sheetName val="부서실적"/>
      <sheetName val="명세참조"/>
      <sheetName val="집계표"/>
      <sheetName val="Macro Codes"/>
      <sheetName val="App7.0"/>
      <sheetName val="도급FORM"/>
      <sheetName val="전선 및 전선관"/>
      <sheetName val="RM목표&amp;실적"/>
      <sheetName val="물량"/>
      <sheetName val="2015년11월"/>
      <sheetName val="디앤엠3월+연말"/>
      <sheetName val="pivot"/>
      <sheetName val="연결임시"/>
      <sheetName val="価格変動率"/>
      <sheetName val="관계회사거래내역및 채권채무잔액 99"/>
      <sheetName val="프랜트면허"/>
      <sheetName val="노임단가"/>
      <sheetName val="총괄"/>
      <sheetName val="SIMULATION"/>
      <sheetName val="SRC-B3U2"/>
      <sheetName val="대차,손익"/>
      <sheetName val="Menu"/>
      <sheetName val="NM-LEVMODEL"/>
      <sheetName val="LevModel"/>
      <sheetName val="NM-Financial"/>
      <sheetName val="Financial"/>
      <sheetName val="Rent Roll Summary"/>
      <sheetName val="Tax"/>
      <sheetName val="Cover"/>
      <sheetName val="CAPEX(3yrs)"/>
      <sheetName val="도급자재"/>
      <sheetName val="월별손익"/>
      <sheetName val="完了通知"/>
      <sheetName val="공제"/>
      <sheetName val="Leasing"/>
      <sheetName val="Disclosure"/>
      <sheetName val="Int-Invst"/>
      <sheetName val="수익률검증"/>
      <sheetName val="util"/>
      <sheetName val="자재단가"/>
      <sheetName val="단체(2)"/>
      <sheetName val="Daily Banking"/>
      <sheetName val="청구및회입"/>
      <sheetName val="수정시산표"/>
      <sheetName val="운용지시서"/>
      <sheetName val="BV BalSht"/>
      <sheetName val="BV CashFlow"/>
      <sheetName val="BV P&amp;L"/>
      <sheetName val="GenLedger BalSht"/>
      <sheetName val="GenLedger P&amp;L"/>
      <sheetName val="Sensitivity_Analysi沅ࡢ"/>
      <sheetName val="Sensitivity_Analysi샅"/>
      <sheetName val="신상자료"/>
      <sheetName val="한일자야(감액손실) (2)"/>
      <sheetName val="본사인상전"/>
      <sheetName val=""/>
      <sheetName val="직노"/>
      <sheetName val="Sensitivity_Analysi³땇"/>
      <sheetName val="Sensitivity_Analysi悳ß"/>
      <sheetName val="07-Bud"/>
      <sheetName val="5-6.전기(회입분)"/>
      <sheetName val="누적성과"/>
      <sheetName val="공정"/>
      <sheetName val="Dash Board"/>
      <sheetName val="CMD"/>
      <sheetName val="CMD H"/>
      <sheetName val="Coating"/>
      <sheetName val="Coating H"/>
      <sheetName val="Gases"/>
      <sheetName val="Gases H"/>
      <sheetName val="Pharm"/>
      <sheetName val="Pharm H"/>
      <sheetName val="Vacuum"/>
      <sheetName val="Vacuum H"/>
      <sheetName val="VTC"/>
      <sheetName val="VTC H"/>
      <sheetName val="Workings"/>
      <sheetName val="Supplement"/>
      <sheetName val="Payment Schedule"/>
      <sheetName val="BS_임대료"/>
      <sheetName val="BS_보증금"/>
      <sheetName val="매출세금계산서합계"/>
      <sheetName val="매출계산서합계"/>
      <sheetName val="현금영수증"/>
      <sheetName val="비용"/>
      <sheetName val="IS"/>
      <sheetName val="TB"/>
      <sheetName val="미수금"/>
      <sheetName val="간주부가세"/>
      <sheetName val="SD"/>
      <sheetName val="Statistuc"/>
      <sheetName val="BS(기초沅ࡢ䠁"/>
      <sheetName val="정리"/>
      <sheetName val="Development"/>
      <sheetName val="Income"/>
      <sheetName val="Assumptions "/>
      <sheetName val="BP Summary"/>
      <sheetName val="Summery"/>
      <sheetName val="사업자현황"/>
      <sheetName val="터파기및재료"/>
      <sheetName val="BOJUNGGM"/>
      <sheetName val="Matrix"/>
      <sheetName val="J直材4"/>
      <sheetName val="Customer Databas"/>
      <sheetName val="소유주(원)"/>
      <sheetName val="부대대비"/>
      <sheetName val="냉연집계"/>
      <sheetName val="미납중도금후납시"/>
      <sheetName val="공정회의자료(월요일 10시까지)"/>
      <sheetName val="XL4Poppy"/>
      <sheetName val="选择报表"/>
      <sheetName val="12月二级试算表"/>
      <sheetName val="납부서"/>
      <sheetName val="기본입력사항"/>
      <sheetName val="TEMP2"/>
      <sheetName val="TEMP"/>
      <sheetName val="JA"/>
      <sheetName val="금융"/>
      <sheetName val="은행"/>
      <sheetName val="리스"/>
      <sheetName val="보험"/>
      <sheetName val="입력항목"/>
      <sheetName val="감가상각"/>
      <sheetName val="US Codes"/>
      <sheetName val=" 2013년 우체국사 관리지원 업무위탁 기본계약(안) 금"/>
      <sheetName val="5-1.본관동건축(전체집계표포함)"/>
      <sheetName val="5-3.음수대"/>
      <sheetName val="자료"/>
      <sheetName val="BREP Share Working"/>
      <sheetName val="1.物件概要"/>
      <sheetName val="ARP"/>
      <sheetName val="Mapping"/>
      <sheetName val="F"/>
      <sheetName val="Table"/>
      <sheetName val="인건-측정"/>
      <sheetName val="분전함신설"/>
      <sheetName val="접지1종"/>
      <sheetName val="자재사용내역"/>
      <sheetName val="대외공문"/>
      <sheetName val="갑지(추정)"/>
      <sheetName val="프로젝트코드"/>
      <sheetName val="전체손익"/>
      <sheetName val="SYD PL data"/>
      <sheetName val="Import_FX"/>
      <sheetName val="Sensitivity_Analysi倶儇"/>
      <sheetName val="Sensitivity_Analysiᶎ"/>
      <sheetName val="Sensitivity_Analysi肱➍"/>
      <sheetName val="Sensitivity_Analysi耶➍"/>
      <sheetName val="범용개발순소요비용"/>
      <sheetName val="Project_CF"/>
      <sheetName val="Sensitivity_Analysi_x0000_稀"/>
      <sheetName val="직원자료입력"/>
      <sheetName val="Reversion_Ca刀_x0010__x0000__x0000_"/>
      <sheetName val="견적을지"/>
      <sheetName val="FX"/>
      <sheetName val="Tenancy Schedule"/>
      <sheetName val="建物概要"/>
      <sheetName val="物件概要"/>
      <sheetName val="ASSUM"/>
      <sheetName val="Initial_Input_Variable2"/>
      <sheetName val="Budget_2005(DW)2"/>
      <sheetName val="경율산정_XLS2"/>
      <sheetName val="산업은행_경영지표2"/>
      <sheetName val="기본가정_및_요약3"/>
      <sheetName val="2005년_예산3"/>
      <sheetName val="수입_추정(임대료)3"/>
      <sheetName val="수입_추정(관리비)3"/>
      <sheetName val="수입_추정(보증금)3"/>
      <sheetName val="월별_Rentroll3"/>
      <sheetName val="2004년_실제_수입3"/>
      <sheetName val="자본적_지출3"/>
      <sheetName val="I__Assumptions3"/>
      <sheetName val="15_Op__Activities3"/>
      <sheetName val="Cash_Flow3"/>
      <sheetName val="0_0ControlSheet2"/>
      <sheetName val="Sheet1_(2)2"/>
      <sheetName val="Ext__Stone-P2"/>
      <sheetName val="P_&amp;L2"/>
      <sheetName val="PROJECT_BRIEF(EX_NEW)2"/>
      <sheetName val="2__Summary-cash2"/>
      <sheetName val="붙임2-1__지급조서명세서(2001년분)3"/>
      <sheetName val="10월_급여2"/>
      <sheetName val="1_표지1"/>
      <sheetName val="설_계1"/>
      <sheetName val="하자_Check"/>
      <sheetName val="Debt_Service_Schedule2"/>
      <sheetName val="Sales_Proceeds2"/>
      <sheetName val="2_주요계수총괄2"/>
      <sheetName val="בית_השקעות1"/>
      <sheetName val="I__Assump1"/>
      <sheetName val="Building_11"/>
      <sheetName val="Acquisition_Costs-_Base_Case1"/>
      <sheetName val="BSD_(2)2"/>
      <sheetName val="ADJ_-_RATE2"/>
      <sheetName val="Reversion_Calcs2"/>
      <sheetName val="Sensitivity_Analysis2"/>
      <sheetName val="Rent_Roll1"/>
      <sheetName val="Master_List_and_Strats1"/>
      <sheetName val="BASE_P_L_OWNER"/>
      <sheetName val="INVEST_CALC"/>
      <sheetName val="2000_052"/>
      <sheetName val="I__Assumption2"/>
      <sheetName val="Ⅲ_CF_5yr_Qtr2"/>
      <sheetName val="Dental_City_가정2"/>
      <sheetName val="CHECK_LIST"/>
      <sheetName val="Elemental_Breakdown-Original1"/>
      <sheetName val="1_Cash_Flow_Analysis1"/>
      <sheetName val="0_1keyAssumption1"/>
      <sheetName val="2_Summary-cash1"/>
      <sheetName val="energy_8_181"/>
      <sheetName val="Facility_Information1"/>
      <sheetName val="@RISK_Correlations"/>
      <sheetName val="MGT_OFFICE"/>
      <sheetName val="g__Rent_Roll1"/>
      <sheetName val="10월_(2)1"/>
      <sheetName val="CABLE_SIZE-1"/>
      <sheetName val="2_대외공문"/>
      <sheetName val="업무분장_"/>
      <sheetName val="Utility_Usage_YTN_TOWER"/>
      <sheetName val="Cover_Sheet"/>
      <sheetName val="Property_Information_Summary"/>
      <sheetName val="Sys_Config"/>
      <sheetName val="Cash_Flow_"/>
      <sheetName val="Budget_2004(DW)"/>
      <sheetName val="Ex_-_FRFsp1"/>
      <sheetName val="Price_Level1"/>
      <sheetName val="B_(Controls)"/>
      <sheetName val="A_(Calcs)"/>
      <sheetName val="완성차_미수금"/>
      <sheetName val="영업_일1"/>
      <sheetName val="Ⅰ-3_1"/>
      <sheetName val="Rent_Roll_py"/>
      <sheetName val="호텔부담분_산정식"/>
      <sheetName val="Project_Brief"/>
      <sheetName val="_견적서"/>
      <sheetName val="GAAP_Pru"/>
      <sheetName val="_201501_MMR_Olive_Tower_xlsx"/>
      <sheetName val="Data_Sheet"/>
      <sheetName val="Cash_receipt"/>
      <sheetName val="12_수도광열비"/>
      <sheetName val="Operational_Activities"/>
      <sheetName val="WREK자산임대현황-1(2월06일)_"/>
      <sheetName val="Utility_Usage_한솔엠닷컴"/>
      <sheetName val="Control_Page"/>
      <sheetName val="DCF_Input"/>
      <sheetName val="Macro_Codes"/>
      <sheetName val="App7_0"/>
      <sheetName val="전선_및_전선관"/>
      <sheetName val="관계회사거래내역및_채권채무잔액_99"/>
      <sheetName val="Rent_Roll_Summary"/>
      <sheetName val="Daily_Banking"/>
      <sheetName val="BV_BalSht"/>
      <sheetName val="BV_CashFlow"/>
      <sheetName val="BV_P&amp;L"/>
      <sheetName val="GenLedger_BalSht"/>
      <sheetName val="GenLedger_P&amp;L"/>
      <sheetName val="한일자야(감액손실)_(2)"/>
      <sheetName val="5-6_전기(회입분)"/>
      <sheetName val="Dash_Board"/>
      <sheetName val="CMD_H"/>
      <sheetName val="Coating_H"/>
      <sheetName val="Gases_H"/>
      <sheetName val="Pharm_H"/>
      <sheetName val="Vacuum_H"/>
      <sheetName val="VTC_H"/>
      <sheetName val="Payment_Schedule"/>
      <sheetName val="Assumptions_"/>
      <sheetName val="BP_Summary"/>
      <sheetName val="Customer_Databas"/>
      <sheetName val="공정회의자료(월요일_10시까지)"/>
      <sheetName val="US_Codes"/>
      <sheetName val="_2013년_우체국사_관리지원_업무위탁_기본계약(안)_금"/>
      <sheetName val="5-1_본관동건축(전체집계표포함)"/>
      <sheetName val="5-3_음수대"/>
      <sheetName val="BREP_Share_Working"/>
      <sheetName val="1_物件概要"/>
      <sheetName val="SYD_PL_data"/>
      <sheetName val="Reversion_Ca刀"/>
      <sheetName val="투자비"/>
      <sheetName val="Sensitivity_Analysi䣱꽿"/>
      <sheetName val="운동장 (2)"/>
      <sheetName val="빌딩 안내"/>
      <sheetName val="안산기계장치"/>
      <sheetName val="환산매출"/>
      <sheetName val="급여대장(입력)"/>
      <sheetName val="P.M 별"/>
      <sheetName val="단가대비표"/>
      <sheetName val="Summ"/>
      <sheetName val="Reversion_Ca裱澃찀澃"/>
      <sheetName val="수입"/>
      <sheetName val="손익계산서(管理)"/>
      <sheetName val="간접경상비"/>
      <sheetName val="(C)원내역"/>
      <sheetName val="내역서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근무"/>
      <sheetName val="견적"/>
      <sheetName val="견적서"/>
      <sheetName val="견적내역"/>
      <sheetName val="산출기준"/>
      <sheetName val="인건"/>
      <sheetName val="소모품"/>
      <sheetName val="인원계획-미화"/>
      <sheetName val="재무가정"/>
      <sheetName val="1Month+Sheet2!"/>
      <sheetName val="98지급계획"/>
      <sheetName val="Training"/>
      <sheetName val="총무팀"/>
      <sheetName val="마포-임현"/>
      <sheetName val="3본사"/>
      <sheetName val="VA요약(가정 및 배당)"/>
      <sheetName val="Sheet1"/>
      <sheetName val="목록"/>
      <sheetName val="중기"/>
      <sheetName val="VA요약(가정_및_배당)"/>
      <sheetName val="수지차(년)"/>
      <sheetName val="국내"/>
      <sheetName val="Sheet2"/>
      <sheetName val="익월작업계힉"/>
      <sheetName val="Intro2"/>
      <sheetName val="Id"/>
      <sheetName val="이자율"/>
      <sheetName val="이익잉여금처분계산서"/>
      <sheetName val="재무상태변동표"/>
      <sheetName val="제조원가명세서"/>
      <sheetName val="현금흐름표"/>
      <sheetName val="Budget 2005(DW)"/>
      <sheetName val="PROJECT BRIEF(EX.NEW)"/>
      <sheetName val="Elemental Breakdown-Original"/>
      <sheetName val="Assumptions"/>
      <sheetName val="PJ_Import"/>
      <sheetName val="Prop_Summary"/>
      <sheetName val="I. Assumptions"/>
      <sheetName val="완성차 미수금"/>
      <sheetName val="Sheet5"/>
      <sheetName val="Area"/>
      <sheetName val="Situation"/>
      <sheetName val="Ext. Stone-P"/>
      <sheetName val="15.Op. Activities"/>
      <sheetName val="13.Op. Activities"/>
      <sheetName val="한국중공업보안"/>
      <sheetName val="Balance"/>
      <sheetName val="DETBIL"/>
      <sheetName val="9-1차이내역"/>
      <sheetName val="General"/>
      <sheetName val="조명율표"/>
      <sheetName val="Prices"/>
      <sheetName val="Basic_Information"/>
      <sheetName val="Cash Flow"/>
      <sheetName val="Source"/>
      <sheetName val="Variable"/>
      <sheetName val="2.Summary-cash"/>
      <sheetName val="Total-STALLION"/>
      <sheetName val="PROJECT_BRIEF(EX_NEW)"/>
      <sheetName val="Elemental_Breakdown-Original"/>
      <sheetName val="I__Assumptions"/>
      <sheetName val="완성차_미수금"/>
      <sheetName val="Ext__Stone-P"/>
      <sheetName val="15_Op__Activities"/>
      <sheetName val="13_Op__Activities"/>
      <sheetName val="Master Sheet"/>
      <sheetName val="C_Sum(2)"/>
      <sheetName val="P1 Br Overall KPI"/>
      <sheetName val="yakumo"/>
      <sheetName val="내역"/>
      <sheetName val="2.주요계수총괄"/>
      <sheetName val="Sales"/>
      <sheetName val="APOD"/>
      <sheetName val="BP Summary"/>
      <sheetName val="Initial Input Variable"/>
      <sheetName val="간선계산"/>
      <sheetName val="Fin_Assumption"/>
      <sheetName val="anaysis_sheet"/>
      <sheetName val="Data(인원)"/>
      <sheetName val="2004SS"/>
      <sheetName val="2004CJ"/>
      <sheetName val="RBFC-BS"/>
      <sheetName val="S&amp;R"/>
      <sheetName val="제세금외"/>
      <sheetName val="ControlBox"/>
      <sheetName val="매각가치"/>
      <sheetName val="건축면적"/>
      <sheetName val="Unit"/>
      <sheetName val="적용률"/>
      <sheetName val="BS"/>
      <sheetName val="건설"/>
      <sheetName val="2000.05"/>
      <sheetName val="Journal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Data"/>
      <sheetName val="Shell"/>
      <sheetName val="PROJECT_BRIEF(EX_NEW)1"/>
      <sheetName val="Ext__Stone-P1"/>
      <sheetName val="I__Assumptions1"/>
      <sheetName val="Elemental_Breakdown-Original1"/>
      <sheetName val="완성차_미수금1"/>
      <sheetName val="15_Op__Activities1"/>
      <sheetName val="13_Op__Activities1"/>
      <sheetName val="Cash_Flow"/>
      <sheetName val="2_Summary-cash"/>
      <sheetName val="Master_Sheet"/>
      <sheetName val="P1_Br_Overall_KPI"/>
      <sheetName val="리츠"/>
      <sheetName val="2. Summary-cash"/>
      <sheetName val="현금"/>
      <sheetName val="Assumption"/>
      <sheetName val="임대료산정(자동계산)"/>
      <sheetName val="설 계"/>
      <sheetName val="설계"/>
      <sheetName val="품셈TABLE"/>
      <sheetName val="접속도로1"/>
      <sheetName val="VA요약(가정_및_배당)1"/>
      <sheetName val="入力用(家賃)"/>
      <sheetName val="入力用(駐車)"/>
      <sheetName val="マスタ"/>
      <sheetName val="Facility Information"/>
      <sheetName val="Risk"/>
      <sheetName val="People"/>
      <sheetName val="Instructions"/>
      <sheetName val="Quality"/>
      <sheetName val="1"/>
      <sheetName val="BP_Summary"/>
      <sheetName val="2_주요계수총괄"/>
      <sheetName val="Initial_Input_Variable"/>
      <sheetName val="2__Summary-cash"/>
      <sheetName val="2000_05"/>
      <sheetName val="내역서"/>
      <sheetName val="Simulation"/>
      <sheetName val="남양시작동자105노65기1.3화1.2"/>
      <sheetName val="내역서(갑지)"/>
      <sheetName val="차수"/>
      <sheetName val="2002.1~2003.10월(1)"/>
      <sheetName val="설직재-1"/>
      <sheetName val="수입"/>
      <sheetName val="TOT"/>
      <sheetName val="energy 7.15"/>
      <sheetName val="ROE(FI)"/>
      <sheetName val="총투자비산정"/>
      <sheetName val="기본가정"/>
      <sheetName val="총투자비"/>
      <sheetName val="요약&amp;결과"/>
      <sheetName val="총투자비(총괄)"/>
      <sheetName val="산업은행 경영지표"/>
      <sheetName val="시화점실행"/>
      <sheetName val="97계획(96.11"/>
      <sheetName val="실행철강하도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A (Calcs)"/>
      <sheetName val="B (Controls)"/>
      <sheetName val="Set-Up"/>
      <sheetName val="Multi-Iteration"/>
      <sheetName val="YOEMAGUM"/>
      <sheetName val="Rückstände-rent arrears"/>
      <sheetName val="BID"/>
      <sheetName val="지급어음(일별)"/>
      <sheetName val="식음료"/>
      <sheetName val="현장"/>
      <sheetName val="출자한도"/>
      <sheetName val="Template"/>
      <sheetName val="단기차입금(200006)"/>
      <sheetName val="OPREV(대한)"/>
      <sheetName val="#REF"/>
      <sheetName val="CostApp."/>
      <sheetName val="Lookup"/>
      <sheetName val="RM목표&amp;실적"/>
      <sheetName val="Secured Master"/>
      <sheetName val="SRC-B3U2"/>
      <sheetName val="차액보증"/>
      <sheetName val="한국중공업보안.XLS"/>
      <sheetName val="%ED%95%9C%EA%B5%AD%EC%A4%91%EA%"/>
      <sheetName val="Foreclosure"/>
      <sheetName val="노임단가"/>
      <sheetName val="단가조사"/>
      <sheetName val="연습"/>
      <sheetName val="매출"/>
      <sheetName val="1.0"/>
      <sheetName val="Current"/>
      <sheetName val="CostData"/>
      <sheetName val="IncomeData"/>
      <sheetName val="Summary"/>
      <sheetName val="PropertyData"/>
      <sheetName val="CAP EXP"/>
      <sheetName val="MOTOR"/>
      <sheetName val="XLUTIL"/>
      <sheetName val="PROJECT_BRIEF(EX_NEW)2"/>
      <sheetName val="I__Assumptions2"/>
      <sheetName val="Elemental_Breakdown-Original2"/>
      <sheetName val="Ext__Stone-P2"/>
      <sheetName val="완성차_미수금2"/>
      <sheetName val="15_Op__Activities2"/>
      <sheetName val="13_Op__Activities2"/>
      <sheetName val="2_Summary-cash1"/>
      <sheetName val="Master_Sheet1"/>
      <sheetName val="P1_Br_Overall_KPI1"/>
      <sheetName val="Cash_Flow1"/>
      <sheetName val="BP_Summary1"/>
      <sheetName val="2_주요계수총괄1"/>
      <sheetName val="Initial_Input_Variable1"/>
      <sheetName val="2000_051"/>
      <sheetName val="2__Summary-cash1"/>
      <sheetName val="Facility_Information"/>
      <sheetName val="energy_7_15"/>
      <sheetName val="남양시작동자105노65기1_3화1_2"/>
      <sheetName val="2002_1~2003_10월(1)"/>
      <sheetName val="지수"/>
      <sheetName val="9GNG운반"/>
      <sheetName val="GenLedger BalSht"/>
      <sheetName val="지급보증금74"/>
      <sheetName val="부대대비"/>
      <sheetName val="냉연집계"/>
      <sheetName val="10월 (2)"/>
      <sheetName val="종합-임현"/>
      <sheetName val="OHU"/>
      <sheetName val="2분기 체크리스트.xlsx"/>
      <sheetName val="Budget 2004(DW)"/>
      <sheetName val="공용시설내역"/>
      <sheetName val="주차"/>
      <sheetName val="신우"/>
      <sheetName val="'94자산"/>
      <sheetName val="인원"/>
      <sheetName val="민감도"/>
      <sheetName val="품종별월계"/>
      <sheetName val="Section 1.3"/>
      <sheetName val="INMD1198"/>
      <sheetName val="Control"/>
      <sheetName val="Cover"/>
      <sheetName val="5.2-1Tenancy Schedule "/>
      <sheetName val="N賃率-職"/>
      <sheetName val="회사정보"/>
      <sheetName val="1.표지"/>
      <sheetName val="현금흐름"/>
      <sheetName val="준공내역(을)"/>
      <sheetName val="종합"/>
      <sheetName val="CodeTable"/>
      <sheetName val="교각1"/>
      <sheetName val="Data&amp;Result"/>
      <sheetName val="건물대사"/>
      <sheetName val="구분"/>
      <sheetName val="일위대가"/>
      <sheetName val="인테리어견적(내역서)"/>
      <sheetName val="전신환매도율"/>
      <sheetName val="공통"/>
      <sheetName val="원효펌프교체020812"/>
      <sheetName val="정부노임단가"/>
      <sheetName val="공정"/>
      <sheetName val="간접경상비"/>
      <sheetName val="본관내역서"/>
      <sheetName val="입력변수"/>
      <sheetName val="2002매출"/>
      <sheetName val="963인원"/>
      <sheetName val="효용적수"/>
      <sheetName val="설치공사비"/>
      <sheetName val="손익계산"/>
      <sheetName val="자재단가비교표"/>
      <sheetName val="OO사옥 청소"/>
      <sheetName val="OO사옥 경비"/>
      <sheetName val="OO사옥 주차"/>
      <sheetName val="1ST"/>
      <sheetName val="213"/>
      <sheetName val="여과지동"/>
      <sheetName val="기초자료"/>
      <sheetName val="노임이"/>
      <sheetName val="Summery"/>
      <sheetName val="1 Cash Flow Analysis"/>
      <sheetName val="FX Rates"/>
      <sheetName val="賃料等一覧"/>
      <sheetName val="학교기부"/>
      <sheetName val="직접인원"/>
      <sheetName val="J直材4"/>
      <sheetName val="참조2"/>
      <sheetName val="건축내역"/>
      <sheetName val="입찰보고"/>
      <sheetName val="Reversion Calcs"/>
      <sheetName val="Setup"/>
      <sheetName val="Sensitivity Analysis"/>
      <sheetName val="ｸﾚｰﾑﾘｽﾄ"/>
      <sheetName val="k"/>
      <sheetName val="Prop"/>
      <sheetName val="갑지(추정)"/>
      <sheetName val="GAEYO"/>
      <sheetName val="1_0"/>
      <sheetName val="CostApp_"/>
      <sheetName val="CAP_EXP"/>
      <sheetName val="Secured_Master"/>
      <sheetName val="Sensitivity"/>
      <sheetName val="옥외외등집계표"/>
      <sheetName val="평자재단가"/>
      <sheetName val="신상자료"/>
      <sheetName val="경율산정.XLS"/>
      <sheetName val="Cash receipt"/>
      <sheetName val="시설총괄"/>
      <sheetName val="Collateral"/>
      <sheetName val="빌딩코드"/>
      <sheetName val="P &amp;L"/>
      <sheetName val="개업비"/>
      <sheetName val="수정분개"/>
      <sheetName val="day"/>
      <sheetName val="PL"/>
      <sheetName val="급여대장(관리)"/>
      <sheetName val="2.대외공문"/>
      <sheetName val="표지"/>
      <sheetName val="Hunt Mud-Trucking $4.99 Units"/>
      <sheetName val="간접재료비산출표-27-30"/>
      <sheetName val="0.0ControlSheet"/>
      <sheetName val="수정사항"/>
      <sheetName val="임테블"/>
      <sheetName val="DurationCalc"/>
      <sheetName val="Reinv"/>
      <sheetName val="영업.일1"/>
      <sheetName val="Ownership Percentages"/>
      <sheetName val="주요기준"/>
      <sheetName val="_94자산"/>
      <sheetName val="Validation"/>
      <sheetName val="機械設備"/>
      <sheetName val="Import_FX"/>
      <sheetName val="한일자야(감액손실) (2)"/>
      <sheetName val="범용개발순소요비용"/>
      <sheetName val="Project_CF"/>
      <sheetName val="투자비"/>
      <sheetName val="소비자가"/>
      <sheetName val="月次請求・入金（Billing  &amp; Collection)"/>
      <sheetName val="月次支払明細（AP)"/>
      <sheetName val="Tenancy Schedule"/>
      <sheetName val="ippd1B_old"/>
      <sheetName val="VA요약(가정_및_배당)2"/>
      <sheetName val="Budget_2005(DW)"/>
      <sheetName val="PROJECT_BRIEF(EX_NEW)3"/>
      <sheetName val="Elemental_Breakdown-Original3"/>
      <sheetName val="I__Assumptions3"/>
      <sheetName val="완성차_미수금3"/>
      <sheetName val="Ext__Stone-P3"/>
      <sheetName val="15_Op__Activities3"/>
      <sheetName val="13_Op__Activities3"/>
      <sheetName val="Cash_Flow2"/>
      <sheetName val="2_Summary-cash2"/>
      <sheetName val="Master_Sheet2"/>
      <sheetName val="P1_Br_Overall_KPI2"/>
      <sheetName val="2_주요계수총괄2"/>
      <sheetName val="BP_Summary2"/>
      <sheetName val="Initial_Input_Variable2"/>
      <sheetName val="2000_052"/>
      <sheetName val="2__Summary-cash2"/>
      <sheetName val="설_계"/>
      <sheetName val="Facility_Information1"/>
      <sheetName val="남양시작동자105노65기1_3화1_21"/>
      <sheetName val="2002_1~2003_10월(1)1"/>
      <sheetName val="energy_7_151"/>
      <sheetName val="산업은행_경영지표"/>
      <sheetName val="97계획(96_11"/>
      <sheetName val="A_(Calcs)"/>
      <sheetName val="B_(Controls)"/>
      <sheetName val="Rückstände-rent_arrears"/>
      <sheetName val="CostApp_1"/>
      <sheetName val="Secured_Master1"/>
      <sheetName val="한국중공업보안_XLS"/>
      <sheetName val="1_01"/>
      <sheetName val="CAP_EXP1"/>
      <sheetName val="GenLedger_BalSht"/>
      <sheetName val="10월_(2)"/>
      <sheetName val="2분기_체크리스트_xlsx"/>
      <sheetName val="Budget_2004(DW)"/>
      <sheetName val="Section_1_3"/>
      <sheetName val="5_2-1Tenancy_Schedule_"/>
      <sheetName val="1_표지"/>
      <sheetName val="OO사옥_청소"/>
      <sheetName val="OO사옥_경비"/>
      <sheetName val="OO사옥_주차"/>
      <sheetName val="1_Cash_Flow_Analysis"/>
      <sheetName val="FX_Rates"/>
      <sheetName val="Reversion_Calcs"/>
      <sheetName val="Sensitivity_Analysis"/>
      <sheetName val="경율산정_XLS"/>
      <sheetName val="Cash_receipt"/>
      <sheetName val="P_&amp;L"/>
      <sheetName val="2_대외공문"/>
      <sheetName val="Hunt_Mud-Trucking_$4_99_Units"/>
      <sheetName val="0_0ControlSheet"/>
      <sheetName val="영업_일1"/>
      <sheetName val="Ownership_Percentages"/>
      <sheetName val="한일자야(감액손실)_(2)"/>
      <sheetName val="Operating Summary"/>
      <sheetName val="Carepaq"/>
      <sheetName val="OPT"/>
      <sheetName val="XXXXXXXX"/>
      <sheetName val="빙장비사양"/>
      <sheetName val="장비사양"/>
      <sheetName val="Summ"/>
      <sheetName val="Sens&amp;A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민감도분석"/>
      <sheetName val="창업비"/>
      <sheetName val="Sheet1"/>
      <sheetName val="Sheet2"/>
      <sheetName val="보고서"/>
      <sheetName val="S&amp;R"/>
      <sheetName val="재무가정"/>
      <sheetName val="매각가(한화)"/>
      <sheetName val="매각가(대아)"/>
      <sheetName val="매각가(대한)"/>
      <sheetName val="대아-대한비교"/>
      <sheetName val="CAPEX(합계)"/>
      <sheetName val="CAPEX(한화)"/>
      <sheetName val="CAPEX(대아)"/>
      <sheetName val="CAPEX(대한)"/>
      <sheetName val="FCF"/>
      <sheetName val="IS(연간)"/>
      <sheetName val="CF(연간)"/>
      <sheetName val="BS(연간)"/>
      <sheetName val="RE"/>
      <sheetName val="IS(월간)"/>
      <sheetName val="CF(월간)"/>
      <sheetName val="BS(월간)"/>
      <sheetName val="OPEX(합계)"/>
      <sheetName val="OPEX(한화)"/>
      <sheetName val="OPEX(대아)"/>
      <sheetName val="OPEX(대한)"/>
      <sheetName val="OPEX부속(한화)"/>
      <sheetName val="OPEX부속(대아)"/>
      <sheetName val="OPEX부속(대한)"/>
      <sheetName val="OPREV(합계)"/>
      <sheetName val="OPREV(한화)"/>
      <sheetName val="OPREV(대아)"/>
      <sheetName val="OPREV(대한)"/>
      <sheetName val="OPREV부속"/>
      <sheetName val="재원조달(월-합계)"/>
      <sheetName val="재원조달(월-한화)"/>
      <sheetName val="재원조달(월-대아)"/>
      <sheetName val="재원조달(월-대한)"/>
      <sheetName val="재원조달(연간)"/>
      <sheetName val="TAX"/>
      <sheetName val="BS부속(합계)"/>
      <sheetName val="BS부속(한화)"/>
      <sheetName val="BS부속(대아)"/>
      <sheetName val="BS부속(대한)"/>
      <sheetName val="Index"/>
      <sheetName val="부동산현황"/>
      <sheetName val="노무비"/>
      <sheetName val="Area"/>
      <sheetName val="인원계획-미화"/>
      <sheetName val="1Month+Sheet2!"/>
      <sheetName val="Training"/>
      <sheetName val="총무팀"/>
      <sheetName val="마포-임현"/>
      <sheetName val="98지급계획"/>
      <sheetName val="3본사"/>
      <sheetName val="익월작업계힉"/>
      <sheetName val="Customer Databas"/>
      <sheetName val="Input Screen"/>
      <sheetName val="Operational Activities"/>
      <sheetName val="내역"/>
      <sheetName val="요약BS"/>
      <sheetName val="상가매매0115"/>
      <sheetName val="상가임대0115"/>
      <sheetName val="국내"/>
      <sheetName val="CostApp."/>
      <sheetName val="Lookup"/>
      <sheetName val="95WBS"/>
      <sheetName val="0.1keyAssumption"/>
      <sheetName val="0.0ControlSheet"/>
      <sheetName val="賃料等一覧"/>
      <sheetName val="품셈TABLE"/>
      <sheetName val="10. 임차사 재무건전성 분석"/>
      <sheetName val="VA요약(가정 및 배당)"/>
      <sheetName val="Customer_Databas"/>
      <sheetName val="Input_Screen"/>
      <sheetName val="Operational_Activities"/>
      <sheetName val="Budget을 위한 SAC사업분석- 작업중"/>
      <sheetName val="Assumption"/>
      <sheetName val="임대료산정(자동계산)"/>
      <sheetName val="CostApp_"/>
      <sheetName val="0_1keyAssumption"/>
      <sheetName val="0_0ControlSheet"/>
      <sheetName val="10__임차사_재무건전성_분석"/>
      <sheetName val="평자재단가"/>
      <sheetName val="Jupiter"/>
      <sheetName val="시설총괄"/>
      <sheetName val="Office only Letup"/>
      <sheetName val="추가시설-시설팀"/>
      <sheetName val="6호기"/>
      <sheetName val="실행(ALT1)"/>
      <sheetName val="issued"/>
      <sheetName val="util"/>
      <sheetName val="대차대조표"/>
      <sheetName val="매출"/>
      <sheetName val="Input_Screen1"/>
      <sheetName val="Operational_Activities1"/>
      <sheetName val="Customer_Databas1"/>
      <sheetName val="Office_only_Letup"/>
      <sheetName val="차수"/>
      <sheetName val="공통가설"/>
      <sheetName val="TEL"/>
      <sheetName val="건물현황"/>
      <sheetName val="NH농협캐피탈_임, 관리비 수익추정 '14 05 ~ '1"/>
      <sheetName val="Initial Input Variable"/>
      <sheetName val="년간손익실적"/>
      <sheetName val="Cash Flows"/>
      <sheetName val="Customer_Databas2"/>
      <sheetName val="Input_Screen2"/>
      <sheetName val="Operational_Activities2"/>
      <sheetName val="Budget을_위한_SAC사업분석-_작업중"/>
      <sheetName val="Office_only_Letup1"/>
      <sheetName val="업무용유지비실적"/>
      <sheetName val="간접비계산"/>
      <sheetName val="GenLedger BalSht"/>
      <sheetName val="XLUTIL"/>
      <sheetName val="목록"/>
      <sheetName val="중기"/>
      <sheetName val="차액보증"/>
      <sheetName val="설-원가"/>
      <sheetName val="설치자재"/>
      <sheetName val="단중"/>
      <sheetName val="MOTOR"/>
      <sheetName val="RM목표&amp;실적"/>
      <sheetName val="CostApp_1"/>
      <sheetName val="0_1keyAssumption1"/>
      <sheetName val="0_0ControlSheet1"/>
      <sheetName val="GenLedger_BalSht"/>
      <sheetName val="Data Sheet"/>
      <sheetName val="빌딩코드"/>
      <sheetName val="anaysis_sheet"/>
      <sheetName val="Global Assumption"/>
      <sheetName val="Template"/>
      <sheetName val="Total"/>
      <sheetName val="리츠"/>
      <sheetName val="Assumptions"/>
      <sheetName val="이우(hd)"/>
      <sheetName val="식재수량표"/>
      <sheetName val="Daten_ME"/>
      <sheetName val="2004SS"/>
      <sheetName val="2004CJ"/>
      <sheetName val="회사정보"/>
      <sheetName val="건재양식"/>
      <sheetName val="견적기준"/>
      <sheetName val="수익률"/>
      <sheetName val="Sim"/>
      <sheetName val="가정 및 결과"/>
      <sheetName val="배당"/>
      <sheetName val="수익"/>
      <sheetName val="Sheet5"/>
      <sheetName val="EQUIP-H"/>
      <sheetName val="CostData"/>
      <sheetName val="IncomeData"/>
      <sheetName val="Summary"/>
      <sheetName val="PropertyData"/>
      <sheetName val="감가상각"/>
      <sheetName val="2월가격표"/>
      <sheetName val="@RISK Correlations"/>
      <sheetName val="수익01"/>
      <sheetName val="광주운남을"/>
      <sheetName val="수량산출서 (2)"/>
      <sheetName val="보일러"/>
      <sheetName val="RE9604"/>
      <sheetName val="Cost bd-&quot;A&quot;"/>
      <sheetName val="CostApp_2"/>
      <sheetName val="0_1keyAssumption2"/>
      <sheetName val="0_0ControlSheet2"/>
      <sheetName val="Budget을_위한_SAC사업분석-_작업중1"/>
      <sheetName val="GenLedger_BalSht1"/>
      <sheetName val="Data_Sheet"/>
      <sheetName val="Global_Assumption"/>
      <sheetName val="설직재-1"/>
      <sheetName val="이자율"/>
      <sheetName val="Intro2"/>
      <sheetName val="실행내역"/>
      <sheetName val="1.표지"/>
      <sheetName val="준공내역(을)"/>
      <sheetName val="수지차(년)"/>
      <sheetName val="현장"/>
      <sheetName val="이익잉여금처분계산서"/>
      <sheetName val="재무상태변동표"/>
      <sheetName val="제조원가명세서"/>
      <sheetName val="현금흐름표"/>
      <sheetName val="Parameter"/>
      <sheetName val="値付くん"/>
      <sheetName val="BID"/>
      <sheetName val="설 계"/>
      <sheetName val="Cash Flow"/>
      <sheetName val="Source"/>
      <sheetName val="본관내역서"/>
      <sheetName val="서울경제 신문 1,500평.xlsx"/>
      <sheetName val="가정_및_결과"/>
      <sheetName val="N賃率-職"/>
      <sheetName val="기본가정"/>
      <sheetName val="Secured Master"/>
      <sheetName val="A1"/>
      <sheetName val="효용적수"/>
      <sheetName val="지급어음(일별)"/>
      <sheetName val="Utility Usage엠닷컴 26"/>
      <sheetName val="NH농협캐피탈_임,_관리비_수익추정_'14_05_~_'1"/>
      <sheetName val="Initial_Input_Variable"/>
      <sheetName val="Cash_Flows"/>
      <sheetName val="수량산출"/>
      <sheetName val="4-3. 냉수 사용량"/>
      <sheetName val="4-4. 온수 사용량"/>
      <sheetName val="4-5. 상하수도 사용량"/>
      <sheetName val="Foreclosure"/>
      <sheetName val="FCU (2)"/>
      <sheetName val="Collateral"/>
      <sheetName val="1"/>
      <sheetName val="賃貸条件"/>
      <sheetName val="転記用"/>
      <sheetName val="sheets"/>
      <sheetName val="Budget 2005(DW)"/>
      <sheetName val="1_當期시산표"/>
      <sheetName val="Utilities"/>
      <sheetName val="リスト"/>
      <sheetName val="간접경상비"/>
      <sheetName val="입찰보고"/>
      <sheetName val="내역서"/>
      <sheetName val="주차"/>
      <sheetName val="수입"/>
      <sheetName val="신상자료"/>
      <sheetName val="급여대장"/>
      <sheetName val="확약서"/>
      <sheetName val="Work"/>
      <sheetName val="도급자재"/>
      <sheetName val="CostApp_3"/>
      <sheetName val="0_1keyAssumption3"/>
      <sheetName val="0_0ControlSheet3"/>
      <sheetName val="Budget을_위한_SAC사업분석-_작업중2"/>
      <sheetName val="GenLedger_BalSht2"/>
      <sheetName val="Data_Sheet1"/>
      <sheetName val="Global_Assumption1"/>
      <sheetName val="ML_LS Promote"/>
      <sheetName val="1월"/>
      <sheetName val="건물대사"/>
      <sheetName val="Replacement"/>
      <sheetName val="Rent Roll"/>
      <sheetName val="Japan"/>
      <sheetName val="Construction"/>
      <sheetName val="INFO"/>
      <sheetName val="I一般比"/>
      <sheetName val="Lists"/>
      <sheetName val="2분기 체크리스트.xlsx"/>
      <sheetName val="데이타"/>
      <sheetName val="식재인부"/>
      <sheetName val="한일자야(감액손실) (2)"/>
      <sheetName val="입찰안"/>
      <sheetName val="상환계획(선순위)(Q)"/>
      <sheetName val="요약&amp;결과"/>
      <sheetName val="F"/>
      <sheetName val="Table"/>
      <sheetName val="소방사항"/>
      <sheetName val="수정분개"/>
      <sheetName val="인적사항"/>
      <sheetName val="산수(hd-0)"/>
      <sheetName val="산수(hd-1)"/>
      <sheetName val="Situation"/>
      <sheetName val="3.공통공사대비"/>
      <sheetName val="공문"/>
      <sheetName val="첨부내역서"/>
      <sheetName val="계약첨부"/>
      <sheetName val="근태현황"/>
      <sheetName val="출근부"/>
      <sheetName val="실적 및계획"/>
      <sheetName val="업무계획표"/>
      <sheetName val="교육현황"/>
      <sheetName val="지도점검"/>
      <sheetName val="Macro Codes"/>
      <sheetName val="상하차비용(기계상차)"/>
      <sheetName val="수간보호"/>
      <sheetName val="운반비"/>
      <sheetName val="대외공문"/>
      <sheetName val="基本データ"/>
      <sheetName val=" ｹ-ﾌﾞﾙ"/>
      <sheetName val="Import_FX"/>
      <sheetName val="범용개발순소요비용"/>
      <sheetName val="Project_CF"/>
    </sheetNames>
    <sheetDataSet>
      <sheetData sheetId="0">
        <row r="13">
          <cell r="H13">
            <v>37256</v>
          </cell>
        </row>
      </sheetData>
      <sheetData sheetId="1">
        <row r="13">
          <cell r="H13">
            <v>37256</v>
          </cell>
        </row>
      </sheetData>
      <sheetData sheetId="2"/>
      <sheetData sheetId="3"/>
      <sheetData sheetId="4"/>
      <sheetData sheetId="5">
        <row r="13">
          <cell r="H13">
            <v>37256</v>
          </cell>
        </row>
      </sheetData>
      <sheetData sheetId="6">
        <row r="13">
          <cell r="H13">
            <v>37256</v>
          </cell>
        </row>
      </sheetData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견적서"/>
      <sheetName val="주차"/>
      <sheetName val="감가상각"/>
      <sheetName val="재무가정"/>
      <sheetName val="노무비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685A-5B79-4F8E-9EFF-30012E1CCC84}">
  <dimension ref="B2:G59"/>
  <sheetViews>
    <sheetView showGridLines="0" workbookViewId="0">
      <selection activeCell="F35" sqref="F35"/>
    </sheetView>
  </sheetViews>
  <sheetFormatPr defaultRowHeight="17.399999999999999"/>
  <cols>
    <col min="2" max="2" width="2.5" customWidth="1"/>
    <col min="3" max="4" width="2.19921875" customWidth="1"/>
    <col min="6" max="6" width="73.69921875" customWidth="1"/>
    <col min="7" max="7" width="33.69921875" customWidth="1"/>
  </cols>
  <sheetData>
    <row r="2" spans="2:7" ht="20.399999999999999">
      <c r="B2" s="25" t="s">
        <v>52</v>
      </c>
    </row>
    <row r="4" spans="2:7">
      <c r="C4" s="14" t="s">
        <v>11</v>
      </c>
    </row>
    <row r="5" spans="2:7">
      <c r="D5" s="15" t="s">
        <v>13</v>
      </c>
    </row>
    <row r="6" spans="2:7">
      <c r="D6" s="15" t="s">
        <v>20</v>
      </c>
    </row>
    <row r="7" spans="2:7" ht="6" customHeight="1"/>
    <row r="8" spans="2:7">
      <c r="E8" s="16"/>
      <c r="F8" s="19" t="s">
        <v>17</v>
      </c>
      <c r="G8" s="19" t="s">
        <v>19</v>
      </c>
    </row>
    <row r="9" spans="2:7">
      <c r="E9" s="20" t="s">
        <v>14</v>
      </c>
      <c r="F9" s="17" t="s">
        <v>16</v>
      </c>
      <c r="G9" s="17" t="s">
        <v>24</v>
      </c>
    </row>
    <row r="10" spans="2:7" ht="45.6" customHeight="1">
      <c r="E10" s="20" t="s">
        <v>15</v>
      </c>
      <c r="F10" s="18" t="s">
        <v>18</v>
      </c>
      <c r="G10" s="17" t="s">
        <v>25</v>
      </c>
    </row>
    <row r="11" spans="2:7">
      <c r="E11" s="15"/>
    </row>
    <row r="12" spans="2:7">
      <c r="E12" s="15" t="s">
        <v>21</v>
      </c>
    </row>
    <row r="13" spans="2:7">
      <c r="E13" s="15" t="s">
        <v>22</v>
      </c>
    </row>
    <row r="14" spans="2:7">
      <c r="E14" s="22" t="s">
        <v>23</v>
      </c>
    </row>
    <row r="15" spans="2:7">
      <c r="E15" s="22" t="s">
        <v>27</v>
      </c>
    </row>
    <row r="16" spans="2:7" s="21" customFormat="1">
      <c r="E16" s="22"/>
    </row>
    <row r="18" spans="3:5">
      <c r="C18" s="14" t="s">
        <v>12</v>
      </c>
    </row>
    <row r="19" spans="3:5">
      <c r="D19" s="15" t="s">
        <v>47</v>
      </c>
    </row>
    <row r="20" spans="3:5">
      <c r="D20" s="15" t="s">
        <v>48</v>
      </c>
    </row>
    <row r="21" spans="3:5">
      <c r="D21" s="15" t="s">
        <v>26</v>
      </c>
    </row>
    <row r="22" spans="3:5">
      <c r="D22" s="15"/>
    </row>
    <row r="24" spans="3:5">
      <c r="C24" s="14" t="s">
        <v>79</v>
      </c>
    </row>
    <row r="25" spans="3:5">
      <c r="D25" s="15" t="s">
        <v>80</v>
      </c>
    </row>
    <row r="26" spans="3:5">
      <c r="D26" t="s">
        <v>38</v>
      </c>
    </row>
    <row r="29" spans="3:5">
      <c r="C29" s="14" t="s">
        <v>81</v>
      </c>
    </row>
    <row r="30" spans="3:5">
      <c r="D30" s="15" t="s">
        <v>82</v>
      </c>
    </row>
    <row r="31" spans="3:5">
      <c r="D31" t="s">
        <v>83</v>
      </c>
    </row>
    <row r="32" spans="3:5">
      <c r="E32" t="s">
        <v>84</v>
      </c>
    </row>
    <row r="33" spans="3:4">
      <c r="C33" s="14"/>
    </row>
    <row r="34" spans="3:4">
      <c r="C34" s="14" t="s">
        <v>85</v>
      </c>
      <c r="D34" s="15"/>
    </row>
    <row r="35" spans="3:4">
      <c r="D35" s="15" t="s">
        <v>86</v>
      </c>
    </row>
    <row r="36" spans="3:4">
      <c r="D36" s="15"/>
    </row>
    <row r="38" spans="3:4">
      <c r="C38" s="14" t="s">
        <v>33</v>
      </c>
    </row>
    <row r="39" spans="3:4">
      <c r="D39" s="15" t="s">
        <v>39</v>
      </c>
    </row>
    <row r="42" spans="3:4">
      <c r="C42" s="14" t="s">
        <v>32</v>
      </c>
    </row>
    <row r="43" spans="3:4">
      <c r="D43" s="15" t="s">
        <v>40</v>
      </c>
    </row>
    <row r="44" spans="3:4">
      <c r="D44" t="s">
        <v>28</v>
      </c>
    </row>
    <row r="47" spans="3:4">
      <c r="C47" s="14" t="s">
        <v>31</v>
      </c>
    </row>
    <row r="48" spans="3:4">
      <c r="D48" s="15" t="s">
        <v>29</v>
      </c>
    </row>
    <row r="51" spans="3:4">
      <c r="C51" s="14" t="s">
        <v>30</v>
      </c>
    </row>
    <row r="52" spans="3:4">
      <c r="D52" s="15" t="s">
        <v>53</v>
      </c>
    </row>
    <row r="53" spans="3:4">
      <c r="D53" s="15" t="s">
        <v>35</v>
      </c>
    </row>
    <row r="54" spans="3:4">
      <c r="D54" s="15" t="s">
        <v>34</v>
      </c>
    </row>
    <row r="55" spans="3:4">
      <c r="D55" s="15"/>
    </row>
    <row r="57" spans="3:4">
      <c r="C57" t="s">
        <v>36</v>
      </c>
    </row>
    <row r="58" spans="3:4">
      <c r="D58" s="15" t="s">
        <v>46</v>
      </c>
    </row>
    <row r="59" spans="3:4">
      <c r="D59" s="15" t="s">
        <v>37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9A10-4B8C-4C8D-AB1B-20D539ED48EA}">
  <sheetPr>
    <tabColor rgb="FFFFFF00"/>
    <pageSetUpPr fitToPage="1"/>
  </sheetPr>
  <dimension ref="B1:T46"/>
  <sheetViews>
    <sheetView showGridLines="0" tabSelected="1" topLeftCell="A16" zoomScaleNormal="100" workbookViewId="0">
      <selection activeCell="I23" sqref="I23"/>
    </sheetView>
  </sheetViews>
  <sheetFormatPr defaultColWidth="9" defaultRowHeight="13.8"/>
  <cols>
    <col min="1" max="1" width="2.3984375" style="35" customWidth="1"/>
    <col min="2" max="2" width="7" style="35" customWidth="1"/>
    <col min="3" max="3" width="2" style="35" customWidth="1"/>
    <col min="4" max="4" width="23.8984375" style="35" customWidth="1"/>
    <col min="5" max="5" width="16.59765625" style="35" customWidth="1"/>
    <col min="6" max="11" width="13.5" style="35" customWidth="1"/>
    <col min="12" max="12" width="13.59765625" style="35" bestFit="1" customWidth="1"/>
    <col min="13" max="13" width="38.19921875" style="36" customWidth="1"/>
    <col min="14" max="14" width="16.3984375" style="35" bestFit="1" customWidth="1"/>
    <col min="15" max="15" width="14.09765625" style="35" bestFit="1" customWidth="1"/>
    <col min="16" max="16" width="11.8984375" style="35" customWidth="1"/>
    <col min="17" max="17" width="14.3984375" style="35" customWidth="1"/>
    <col min="18" max="18" width="14.5" style="35" bestFit="1" customWidth="1"/>
    <col min="19" max="22" width="11.8984375" style="35" customWidth="1"/>
    <col min="23" max="16384" width="9" style="35"/>
  </cols>
  <sheetData>
    <row r="1" spans="2:20">
      <c r="G1" s="38">
        <v>200000</v>
      </c>
      <c r="H1" s="38">
        <f>G1*1.05</f>
        <v>210000</v>
      </c>
      <c r="I1" s="38">
        <f>H1*1.05</f>
        <v>220500</v>
      </c>
      <c r="J1" s="38">
        <f>I1*1.05</f>
        <v>231525</v>
      </c>
      <c r="K1" s="38">
        <f>J1*1.05</f>
        <v>243101.25</v>
      </c>
    </row>
    <row r="2" spans="2:20" ht="19.5" customHeight="1">
      <c r="B2" s="34" t="s">
        <v>87</v>
      </c>
      <c r="G2" s="38">
        <f>G1+100000</f>
        <v>300000</v>
      </c>
      <c r="H2" s="38">
        <f>H1+100000</f>
        <v>310000</v>
      </c>
      <c r="I2" s="38">
        <f>I1+100000</f>
        <v>320500</v>
      </c>
      <c r="J2" s="38">
        <f>J1+100000</f>
        <v>331525</v>
      </c>
      <c r="K2" s="38">
        <f>K1+100000</f>
        <v>343101.25</v>
      </c>
      <c r="S2" s="37"/>
    </row>
    <row r="3" spans="2:20" ht="19.5" customHeight="1" thickBot="1">
      <c r="G3" s="38"/>
      <c r="M3" s="1" t="s">
        <v>58</v>
      </c>
      <c r="O3" s="39"/>
      <c r="P3" s="40"/>
      <c r="Q3" s="40"/>
      <c r="R3" s="40"/>
      <c r="S3" s="37"/>
    </row>
    <row r="4" spans="2:20" ht="19.5" customHeight="1" thickTop="1">
      <c r="B4" s="41" t="s">
        <v>59</v>
      </c>
      <c r="C4" s="182" t="s">
        <v>60</v>
      </c>
      <c r="D4" s="183"/>
      <c r="E4" s="42" t="s">
        <v>61</v>
      </c>
      <c r="F4" s="2" t="s">
        <v>0</v>
      </c>
      <c r="G4" s="3" t="s">
        <v>1</v>
      </c>
      <c r="H4" s="4" t="s">
        <v>99</v>
      </c>
      <c r="I4" s="4"/>
      <c r="J4" s="4"/>
      <c r="K4" s="115"/>
      <c r="L4" s="6" t="s">
        <v>62</v>
      </c>
      <c r="M4" s="5" t="s">
        <v>54</v>
      </c>
      <c r="O4" s="7"/>
      <c r="P4" s="7"/>
      <c r="Q4" s="7"/>
      <c r="R4" s="40"/>
    </row>
    <row r="5" spans="2:20" ht="19.5" customHeight="1">
      <c r="B5" s="184" t="s">
        <v>63</v>
      </c>
      <c r="C5" s="187" t="s">
        <v>2</v>
      </c>
      <c r="D5" s="188"/>
      <c r="E5" s="189"/>
      <c r="F5" s="43"/>
      <c r="G5" s="44">
        <f t="shared" ref="G5:I5" si="0">SUM(G6:G10)</f>
        <v>26400</v>
      </c>
      <c r="H5" s="44"/>
      <c r="I5" s="44"/>
      <c r="J5" s="44"/>
      <c r="K5" s="44"/>
      <c r="L5" s="45">
        <f>SUM(G5:K5)</f>
        <v>26400</v>
      </c>
      <c r="M5" s="28"/>
      <c r="O5" s="8"/>
      <c r="P5" s="8"/>
      <c r="Q5" s="8"/>
      <c r="R5" s="40"/>
    </row>
    <row r="6" spans="2:20" ht="19.5" customHeight="1">
      <c r="B6" s="185"/>
      <c r="C6" s="46"/>
      <c r="D6" s="47" t="s">
        <v>64</v>
      </c>
      <c r="E6" s="116" t="s">
        <v>49</v>
      </c>
      <c r="F6" s="48"/>
      <c r="G6" s="49">
        <f>2200*12</f>
        <v>26400</v>
      </c>
      <c r="H6" s="49"/>
      <c r="I6" s="49"/>
      <c r="J6" s="49"/>
      <c r="K6" s="49"/>
      <c r="L6" s="50">
        <f>SUM(G6:K6)</f>
        <v>26400</v>
      </c>
      <c r="M6" s="51"/>
      <c r="O6" s="8"/>
      <c r="P6" s="8"/>
      <c r="Q6" s="8"/>
      <c r="R6" s="40"/>
    </row>
    <row r="7" spans="2:20" ht="19.5" customHeight="1">
      <c r="B7" s="185"/>
      <c r="C7" s="46"/>
      <c r="D7" s="47" t="s">
        <v>64</v>
      </c>
      <c r="E7" s="117" t="s">
        <v>50</v>
      </c>
      <c r="F7" s="48"/>
      <c r="G7" s="118"/>
      <c r="H7" s="118"/>
      <c r="I7" s="118"/>
      <c r="J7" s="118"/>
      <c r="K7" s="118"/>
      <c r="L7" s="119">
        <f>SUM(G7:K7)</f>
        <v>0</v>
      </c>
      <c r="M7" s="120"/>
      <c r="O7" s="40"/>
      <c r="P7" s="40"/>
      <c r="Q7" s="40"/>
      <c r="R7" s="40"/>
    </row>
    <row r="8" spans="2:20" ht="19.5" customHeight="1">
      <c r="B8" s="185"/>
      <c r="C8" s="46"/>
      <c r="D8" s="47" t="s">
        <v>64</v>
      </c>
      <c r="E8" s="117" t="s">
        <v>45</v>
      </c>
      <c r="F8" s="48"/>
      <c r="G8" s="118"/>
      <c r="H8" s="118"/>
      <c r="I8" s="118"/>
      <c r="J8" s="118"/>
      <c r="K8" s="118"/>
      <c r="L8" s="119"/>
      <c r="M8" s="120"/>
      <c r="O8" s="40"/>
      <c r="P8" s="40"/>
      <c r="Q8" s="40"/>
      <c r="R8" s="40"/>
    </row>
    <row r="9" spans="2:20" ht="19.5" customHeight="1">
      <c r="B9" s="185"/>
      <c r="C9" s="46"/>
      <c r="D9" s="47" t="s">
        <v>64</v>
      </c>
      <c r="E9" s="121" t="s">
        <v>41</v>
      </c>
      <c r="F9" s="122"/>
      <c r="G9" s="123"/>
      <c r="H9" s="123"/>
      <c r="I9" s="123"/>
      <c r="J9" s="123"/>
      <c r="K9" s="123"/>
      <c r="L9" s="124">
        <f>SUM(G9:K9)</f>
        <v>0</v>
      </c>
      <c r="M9" s="125"/>
      <c r="N9" s="9"/>
    </row>
    <row r="10" spans="2:20" ht="19.5" customHeight="1">
      <c r="B10" s="185"/>
      <c r="C10" s="52"/>
      <c r="D10" s="126"/>
      <c r="E10" s="127" t="s">
        <v>51</v>
      </c>
      <c r="F10" s="53"/>
      <c r="G10" s="54"/>
      <c r="H10" s="54"/>
      <c r="I10" s="54"/>
      <c r="J10" s="54"/>
      <c r="K10" s="54"/>
      <c r="L10" s="55">
        <f>SUM(G10:K10)</f>
        <v>0</v>
      </c>
      <c r="M10" s="56"/>
      <c r="Q10" s="38"/>
      <c r="R10" s="38"/>
    </row>
    <row r="11" spans="2:20" ht="19.5" customHeight="1">
      <c r="B11" s="185"/>
      <c r="C11" s="190" t="s">
        <v>3</v>
      </c>
      <c r="D11" s="191"/>
      <c r="E11" s="192"/>
      <c r="F11" s="43"/>
      <c r="G11" s="44">
        <f>SUM(G12:G18)</f>
        <v>19447</v>
      </c>
      <c r="H11" s="44"/>
      <c r="I11" s="44"/>
      <c r="J11" s="44"/>
      <c r="K11" s="44"/>
      <c r="L11" s="45">
        <f>SUM(G11:K11)</f>
        <v>19447</v>
      </c>
      <c r="M11" s="28"/>
    </row>
    <row r="12" spans="2:20" ht="19.5" customHeight="1">
      <c r="B12" s="185"/>
      <c r="C12" s="57"/>
      <c r="D12" s="128" t="s">
        <v>88</v>
      </c>
      <c r="E12" s="129" t="s">
        <v>55</v>
      </c>
      <c r="F12" s="58"/>
      <c r="G12" s="59">
        <f>$I$36/$I$37</f>
        <v>14950</v>
      </c>
      <c r="H12" s="59"/>
      <c r="I12" s="59"/>
      <c r="J12" s="59"/>
      <c r="K12" s="59"/>
      <c r="L12" s="60">
        <f>SUM(G12:K12)</f>
        <v>14950</v>
      </c>
      <c r="M12" s="61"/>
      <c r="N12" s="23"/>
    </row>
    <row r="13" spans="2:20" ht="19.5" customHeight="1">
      <c r="B13" s="185"/>
      <c r="C13" s="57"/>
      <c r="D13" s="130" t="s">
        <v>89</v>
      </c>
      <c r="E13" s="130" t="s">
        <v>57</v>
      </c>
      <c r="F13" s="58"/>
      <c r="G13" s="59"/>
      <c r="H13" s="131"/>
      <c r="I13" s="131"/>
      <c r="J13" s="131"/>
      <c r="K13" s="131"/>
      <c r="L13" s="60"/>
      <c r="M13" s="132"/>
      <c r="N13" s="23"/>
    </row>
    <row r="14" spans="2:20" ht="19.5" customHeight="1">
      <c r="B14" s="185"/>
      <c r="C14" s="62"/>
      <c r="D14" s="68" t="s">
        <v>90</v>
      </c>
      <c r="E14" s="69" t="s">
        <v>91</v>
      </c>
      <c r="F14" s="65"/>
      <c r="G14" s="59"/>
      <c r="H14" s="59"/>
      <c r="I14" s="59"/>
      <c r="J14" s="59"/>
      <c r="K14" s="59"/>
      <c r="L14" s="60">
        <f t="shared" ref="L14:L19" si="1">SUM(G14:K14)</f>
        <v>0</v>
      </c>
      <c r="M14" s="159"/>
      <c r="N14" s="66"/>
      <c r="O14" s="38"/>
      <c r="P14" s="67"/>
      <c r="Q14" s="67"/>
      <c r="R14" s="67"/>
      <c r="S14" s="67"/>
      <c r="T14" s="67"/>
    </row>
    <row r="15" spans="2:20" ht="19.5" customHeight="1">
      <c r="B15" s="185"/>
      <c r="C15" s="62"/>
      <c r="D15" s="68" t="s">
        <v>65</v>
      </c>
      <c r="E15" s="158" t="s">
        <v>98</v>
      </c>
      <c r="F15" s="65"/>
      <c r="G15" s="59"/>
      <c r="H15" s="59"/>
      <c r="I15" s="59"/>
      <c r="J15" s="59"/>
      <c r="K15" s="59"/>
      <c r="L15" s="60">
        <f t="shared" si="1"/>
        <v>0</v>
      </c>
      <c r="M15" s="61"/>
      <c r="N15" s="66"/>
      <c r="O15" s="38"/>
      <c r="P15" s="67"/>
      <c r="Q15" s="67"/>
      <c r="R15" s="67"/>
      <c r="S15" s="67"/>
      <c r="T15" s="67"/>
    </row>
    <row r="16" spans="2:20" ht="19.5" customHeight="1">
      <c r="B16" s="185"/>
      <c r="C16" s="62"/>
      <c r="D16" s="63" t="s">
        <v>66</v>
      </c>
      <c r="E16" s="64" t="s">
        <v>92</v>
      </c>
      <c r="F16" s="65"/>
      <c r="G16" s="59">
        <f>300*12</f>
        <v>3600</v>
      </c>
      <c r="H16" s="59"/>
      <c r="I16" s="59"/>
      <c r="J16" s="59"/>
      <c r="K16" s="59"/>
      <c r="L16" s="60">
        <f t="shared" si="1"/>
        <v>3600</v>
      </c>
      <c r="M16" s="159"/>
      <c r="N16" s="66"/>
      <c r="O16" s="38"/>
      <c r="P16" s="67"/>
      <c r="Q16" s="67"/>
      <c r="R16" s="67"/>
      <c r="S16" s="67"/>
      <c r="T16" s="67"/>
    </row>
    <row r="17" spans="2:14" ht="19.5" customHeight="1">
      <c r="B17" s="185"/>
      <c r="C17" s="62"/>
      <c r="D17" s="133" t="s">
        <v>67</v>
      </c>
      <c r="E17" s="134" t="s">
        <v>68</v>
      </c>
      <c r="F17" s="135"/>
      <c r="G17" s="136">
        <f>SUM($I$36:$J$36)*$I$40</f>
        <v>897</v>
      </c>
      <c r="H17" s="136"/>
      <c r="I17" s="136"/>
      <c r="J17" s="136"/>
      <c r="K17" s="136"/>
      <c r="L17" s="137">
        <f t="shared" si="1"/>
        <v>897</v>
      </c>
      <c r="M17" s="138"/>
      <c r="N17" s="70"/>
    </row>
    <row r="18" spans="2:14" ht="19.5" customHeight="1">
      <c r="B18" s="185"/>
      <c r="C18" s="52"/>
      <c r="D18" s="71"/>
      <c r="E18" s="72" t="s">
        <v>51</v>
      </c>
      <c r="F18" s="73"/>
      <c r="G18" s="74"/>
      <c r="H18" s="74"/>
      <c r="I18" s="74"/>
      <c r="J18" s="74"/>
      <c r="K18" s="74"/>
      <c r="L18" s="75">
        <f t="shared" si="1"/>
        <v>0</v>
      </c>
      <c r="M18" s="76"/>
      <c r="N18" s="77"/>
    </row>
    <row r="19" spans="2:14" ht="19.5" customHeight="1">
      <c r="B19" s="185"/>
      <c r="C19" s="193" t="s">
        <v>69</v>
      </c>
      <c r="D19" s="194"/>
      <c r="E19" s="195"/>
      <c r="F19" s="12"/>
      <c r="G19" s="44">
        <f>G5-G11</f>
        <v>6953</v>
      </c>
      <c r="H19" s="44"/>
      <c r="I19" s="44"/>
      <c r="J19" s="44"/>
      <c r="K19" s="44"/>
      <c r="L19" s="45">
        <f t="shared" si="1"/>
        <v>6953</v>
      </c>
      <c r="M19" s="28"/>
      <c r="N19" s="78"/>
    </row>
    <row r="20" spans="2:14" ht="19.5" customHeight="1">
      <c r="B20" s="185"/>
      <c r="C20" s="79" t="s">
        <v>70</v>
      </c>
      <c r="D20" s="80"/>
      <c r="E20" s="81"/>
      <c r="F20" s="82"/>
      <c r="G20" s="83">
        <f>+G19/G5</f>
        <v>0.26337121212121212</v>
      </c>
      <c r="H20" s="83"/>
      <c r="I20" s="83"/>
      <c r="J20" s="83"/>
      <c r="K20" s="83"/>
      <c r="L20" s="84">
        <f>+L19/L5</f>
        <v>0.26337121212121212</v>
      </c>
      <c r="M20" s="85"/>
      <c r="N20" s="78"/>
    </row>
    <row r="21" spans="2:14" ht="19.5" customHeight="1">
      <c r="B21" s="185"/>
      <c r="C21" s="196" t="s">
        <v>71</v>
      </c>
      <c r="D21" s="197"/>
      <c r="E21" s="198"/>
      <c r="F21" s="11"/>
      <c r="G21" s="86">
        <f>+G5*0.078</f>
        <v>2059.1999999999998</v>
      </c>
      <c r="H21" s="86"/>
      <c r="I21" s="86"/>
      <c r="J21" s="86"/>
      <c r="K21" s="86"/>
      <c r="L21" s="87">
        <f>SUM(G21:K21)</f>
        <v>2059.1999999999998</v>
      </c>
      <c r="M21" s="156"/>
      <c r="N21" s="88"/>
    </row>
    <row r="22" spans="2:14" ht="19.5" customHeight="1">
      <c r="B22" s="185"/>
      <c r="C22" s="193" t="s">
        <v>4</v>
      </c>
      <c r="D22" s="194"/>
      <c r="E22" s="195"/>
      <c r="F22" s="12"/>
      <c r="G22" s="44">
        <f>G19-G21</f>
        <v>4893.8</v>
      </c>
      <c r="H22" s="44"/>
      <c r="I22" s="44"/>
      <c r="J22" s="44"/>
      <c r="K22" s="44"/>
      <c r="L22" s="45">
        <f>SUM(G22:K22)</f>
        <v>4893.8</v>
      </c>
      <c r="M22" s="28"/>
      <c r="N22" s="89"/>
    </row>
    <row r="23" spans="2:14" ht="19.5" customHeight="1">
      <c r="B23" s="185"/>
      <c r="C23" s="79" t="s">
        <v>70</v>
      </c>
      <c r="D23" s="80"/>
      <c r="E23" s="81"/>
      <c r="F23" s="82"/>
      <c r="G23" s="83">
        <f>+G22/G5</f>
        <v>0.18537121212121213</v>
      </c>
      <c r="H23" s="83"/>
      <c r="I23" s="83"/>
      <c r="J23" s="83"/>
      <c r="K23" s="83"/>
      <c r="L23" s="84">
        <f>+L22/L5</f>
        <v>0.18537121212121213</v>
      </c>
      <c r="M23" s="85"/>
      <c r="N23" s="89"/>
    </row>
    <row r="24" spans="2:14" ht="19.5" customHeight="1">
      <c r="B24" s="185"/>
      <c r="C24" s="199" t="s">
        <v>93</v>
      </c>
      <c r="D24" s="200"/>
      <c r="E24" s="201"/>
      <c r="F24" s="139"/>
      <c r="G24" s="140">
        <f>G12+G13</f>
        <v>14950</v>
      </c>
      <c r="H24" s="140"/>
      <c r="I24" s="140"/>
      <c r="J24" s="140"/>
      <c r="K24" s="140"/>
      <c r="L24" s="141">
        <f>SUM(G24:K24)</f>
        <v>14950</v>
      </c>
      <c r="M24" s="142"/>
      <c r="N24" s="90"/>
    </row>
    <row r="25" spans="2:14" ht="19.5" customHeight="1">
      <c r="B25" s="185"/>
      <c r="C25" s="143" t="s">
        <v>68</v>
      </c>
      <c r="D25" s="144"/>
      <c r="E25" s="145"/>
      <c r="F25" s="24"/>
      <c r="G25" s="146">
        <f>G17</f>
        <v>897</v>
      </c>
      <c r="H25" s="146"/>
      <c r="I25" s="146"/>
      <c r="J25" s="146"/>
      <c r="K25" s="146"/>
      <c r="L25" s="98">
        <f>SUM(G25:K25)</f>
        <v>897</v>
      </c>
      <c r="M25" s="27"/>
      <c r="N25" s="90"/>
    </row>
    <row r="26" spans="2:14" ht="19.5" customHeight="1">
      <c r="B26" s="185"/>
      <c r="C26" s="193" t="s">
        <v>72</v>
      </c>
      <c r="D26" s="194"/>
      <c r="E26" s="195"/>
      <c r="F26" s="12"/>
      <c r="G26" s="44">
        <f>+G22+G24+G25</f>
        <v>20740.8</v>
      </c>
      <c r="H26" s="44"/>
      <c r="I26" s="44"/>
      <c r="J26" s="44"/>
      <c r="K26" s="44"/>
      <c r="L26" s="45">
        <f>SUM(G26:K26)</f>
        <v>20740.8</v>
      </c>
      <c r="M26" s="28"/>
    </row>
    <row r="27" spans="2:14" s="90" customFormat="1" ht="19.5" customHeight="1" thickBot="1">
      <c r="B27" s="186"/>
      <c r="C27" s="202" t="s">
        <v>70</v>
      </c>
      <c r="D27" s="203"/>
      <c r="E27" s="204"/>
      <c r="F27" s="82"/>
      <c r="G27" s="83">
        <f>+G26/G5</f>
        <v>0.78563636363636358</v>
      </c>
      <c r="H27" s="83"/>
      <c r="I27" s="83"/>
      <c r="J27" s="83"/>
      <c r="K27" s="83"/>
      <c r="L27" s="84">
        <f>+L26/L5</f>
        <v>0.78563636363636358</v>
      </c>
      <c r="M27" s="85"/>
    </row>
    <row r="28" spans="2:14" ht="7.5" customHeight="1" thickTop="1" thickBot="1">
      <c r="B28" s="91"/>
      <c r="C28" s="92"/>
      <c r="D28" s="92"/>
      <c r="E28" s="92"/>
      <c r="F28" s="13"/>
      <c r="G28" s="13"/>
      <c r="H28" s="13"/>
      <c r="I28" s="13"/>
      <c r="J28" s="13"/>
      <c r="K28" s="13"/>
      <c r="L28" s="13"/>
      <c r="M28" s="29"/>
    </row>
    <row r="29" spans="2:14" ht="19.5" customHeight="1" thickTop="1">
      <c r="B29" s="166" t="s">
        <v>42</v>
      </c>
      <c r="C29" s="168" t="s">
        <v>5</v>
      </c>
      <c r="D29" s="169"/>
      <c r="E29" s="170"/>
      <c r="F29" s="93"/>
      <c r="G29" s="93">
        <f>+G5</f>
        <v>26400</v>
      </c>
      <c r="H29" s="93"/>
      <c r="I29" s="93"/>
      <c r="J29" s="93"/>
      <c r="K29" s="93"/>
      <c r="L29" s="94">
        <f>SUM(F29:K29)</f>
        <v>26400</v>
      </c>
      <c r="M29" s="95"/>
    </row>
    <row r="30" spans="2:14" ht="19.5" customHeight="1">
      <c r="B30" s="167"/>
      <c r="C30" s="171" t="s">
        <v>6</v>
      </c>
      <c r="D30" s="172"/>
      <c r="E30" s="173"/>
      <c r="F30" s="54">
        <f>-I36</f>
        <v>-14950</v>
      </c>
      <c r="G30" s="54">
        <f>-SUM(G14:G18,G21)</f>
        <v>-6556.2</v>
      </c>
      <c r="H30" s="54"/>
      <c r="I30" s="54"/>
      <c r="J30" s="54"/>
      <c r="K30" s="54"/>
      <c r="L30" s="96">
        <f>SUM(F30:K30)</f>
        <v>-21506.2</v>
      </c>
      <c r="M30" s="56"/>
    </row>
    <row r="31" spans="2:14" ht="19.5" customHeight="1">
      <c r="B31" s="167"/>
      <c r="C31" s="174" t="s">
        <v>7</v>
      </c>
      <c r="D31" s="175"/>
      <c r="E31" s="176"/>
      <c r="F31" s="97">
        <f t="shared" ref="F31:I31" si="2">+F30+F29</f>
        <v>-14950</v>
      </c>
      <c r="G31" s="97">
        <f t="shared" si="2"/>
        <v>19843.8</v>
      </c>
      <c r="H31" s="97"/>
      <c r="I31" s="97"/>
      <c r="J31" s="97"/>
      <c r="K31" s="97"/>
      <c r="L31" s="98">
        <f>SUM(F31:K31)</f>
        <v>4893.7999999999993</v>
      </c>
      <c r="M31" s="30"/>
    </row>
    <row r="32" spans="2:14" ht="19.5" customHeight="1">
      <c r="B32" s="167"/>
      <c r="C32" s="177" t="s">
        <v>8</v>
      </c>
      <c r="D32" s="178"/>
      <c r="E32" s="179"/>
      <c r="F32" s="99">
        <f>F30</f>
        <v>-14950</v>
      </c>
      <c r="G32" s="99">
        <f>G31/G33</f>
        <v>18720.566037735847</v>
      </c>
      <c r="H32" s="99"/>
      <c r="I32" s="99"/>
      <c r="J32" s="99"/>
      <c r="K32" s="99"/>
      <c r="L32" s="100">
        <f>SUM(F32:K32)</f>
        <v>3770.5660377358472</v>
      </c>
      <c r="M32" s="147" t="s">
        <v>94</v>
      </c>
    </row>
    <row r="33" spans="2:13" ht="19.5" customHeight="1" thickBot="1">
      <c r="B33" s="167"/>
      <c r="C33" s="180"/>
      <c r="D33" s="181"/>
      <c r="E33" s="101" t="s">
        <v>73</v>
      </c>
      <c r="F33" s="102">
        <v>1</v>
      </c>
      <c r="G33" s="102">
        <f>F33*(1+$I$39)</f>
        <v>1.06</v>
      </c>
      <c r="H33" s="102"/>
      <c r="I33" s="102"/>
      <c r="J33" s="102"/>
      <c r="K33" s="102"/>
      <c r="L33" s="103"/>
      <c r="M33" s="31"/>
    </row>
    <row r="34" spans="2:13" ht="19.5" customHeight="1" thickTop="1">
      <c r="H34" s="104"/>
      <c r="I34" s="104"/>
      <c r="J34" s="104"/>
      <c r="K34" s="104"/>
    </row>
    <row r="35" spans="2:13" ht="19.5" customHeight="1">
      <c r="C35" s="160" t="s">
        <v>43</v>
      </c>
      <c r="D35" s="161"/>
      <c r="E35" s="105">
        <f>IFERROR((K5/G5)^(1/4)-1,"-")</f>
        <v>-1</v>
      </c>
      <c r="H35" s="148"/>
      <c r="I35" s="32" t="s">
        <v>56</v>
      </c>
      <c r="J35" s="149" t="s">
        <v>95</v>
      </c>
      <c r="K35" s="104"/>
      <c r="L35" s="36"/>
      <c r="M35" s="35"/>
    </row>
    <row r="36" spans="2:13" ht="19.5" customHeight="1">
      <c r="C36" s="162" t="s">
        <v>75</v>
      </c>
      <c r="D36" s="163"/>
      <c r="E36" s="105">
        <f>IFERROR(L19/L5,"-")</f>
        <v>0.26337121212121212</v>
      </c>
      <c r="H36" s="26" t="s">
        <v>74</v>
      </c>
      <c r="I36" s="150">
        <v>14950</v>
      </c>
      <c r="J36" s="151"/>
      <c r="L36" s="36"/>
      <c r="M36" s="35"/>
    </row>
    <row r="37" spans="2:13" ht="19.5" customHeight="1">
      <c r="C37" s="162" t="s">
        <v>9</v>
      </c>
      <c r="D37" s="163"/>
      <c r="E37" s="105">
        <f>IFERROR(L22/L5,"-")</f>
        <v>0.18537121212121213</v>
      </c>
      <c r="H37" s="152" t="s">
        <v>44</v>
      </c>
      <c r="I37" s="153">
        <v>1</v>
      </c>
      <c r="J37" s="154"/>
      <c r="K37" s="10"/>
      <c r="L37" s="36"/>
      <c r="M37" s="35"/>
    </row>
    <row r="38" spans="2:13" ht="19.5" customHeight="1">
      <c r="C38" s="162" t="s">
        <v>77</v>
      </c>
      <c r="D38" s="163"/>
      <c r="E38" s="105">
        <f>IFERROR(L26/L5,"-")</f>
        <v>0.78563636363636358</v>
      </c>
      <c r="K38" s="155"/>
      <c r="L38" s="36"/>
      <c r="M38" s="35"/>
    </row>
    <row r="39" spans="2:13" ht="19.5" customHeight="1">
      <c r="C39" s="164" t="s">
        <v>10</v>
      </c>
      <c r="D39" s="165"/>
      <c r="E39" s="109">
        <f>IFERROR(IRR(F31:K31),"-")</f>
        <v>0.32734448160535101</v>
      </c>
      <c r="F39" s="157" t="s">
        <v>97</v>
      </c>
      <c r="H39" s="33" t="s">
        <v>76</v>
      </c>
      <c r="I39" s="107">
        <v>0.06</v>
      </c>
      <c r="J39" s="10"/>
    </row>
    <row r="40" spans="2:13" ht="19.5" customHeight="1">
      <c r="F40" s="110"/>
      <c r="H40" s="106" t="s">
        <v>78</v>
      </c>
      <c r="I40" s="107">
        <v>0.06</v>
      </c>
      <c r="J40" s="108" t="s">
        <v>96</v>
      </c>
    </row>
    <row r="41" spans="2:13">
      <c r="F41" s="111"/>
      <c r="G41" s="38"/>
      <c r="H41" s="38"/>
      <c r="I41" s="38"/>
      <c r="J41" s="38"/>
      <c r="K41" s="38"/>
    </row>
    <row r="42" spans="2:13" ht="15.6">
      <c r="C42" s="112"/>
      <c r="D42" s="112"/>
      <c r="E42" s="112"/>
      <c r="F42" s="38"/>
      <c r="G42" s="113"/>
      <c r="H42" s="113"/>
      <c r="I42" s="113"/>
      <c r="J42" s="113"/>
      <c r="K42" s="113"/>
    </row>
    <row r="43" spans="2:13">
      <c r="C43" s="114"/>
      <c r="D43" s="114"/>
      <c r="E43" s="114"/>
      <c r="F43" s="38"/>
      <c r="G43" s="113"/>
      <c r="H43" s="113"/>
      <c r="I43" s="113"/>
      <c r="J43" s="113"/>
      <c r="K43" s="113"/>
    </row>
    <row r="44" spans="2:13">
      <c r="C44" s="67"/>
      <c r="D44" s="67"/>
      <c r="E44" s="67"/>
    </row>
    <row r="46" spans="2:13">
      <c r="C46" s="67"/>
      <c r="D46" s="67"/>
      <c r="E46" s="67"/>
    </row>
  </sheetData>
  <mergeCells count="21">
    <mergeCell ref="C4:D4"/>
    <mergeCell ref="B5:B27"/>
    <mergeCell ref="C5:E5"/>
    <mergeCell ref="C11:E11"/>
    <mergeCell ref="C19:E19"/>
    <mergeCell ref="C21:E21"/>
    <mergeCell ref="C22:E22"/>
    <mergeCell ref="C24:E24"/>
    <mergeCell ref="C26:E26"/>
    <mergeCell ref="C27:E27"/>
    <mergeCell ref="B29:B33"/>
    <mergeCell ref="C29:E29"/>
    <mergeCell ref="C30:E30"/>
    <mergeCell ref="C31:E31"/>
    <mergeCell ref="C32:E32"/>
    <mergeCell ref="C33:D33"/>
    <mergeCell ref="C35:D35"/>
    <mergeCell ref="C36:D36"/>
    <mergeCell ref="C37:D37"/>
    <mergeCell ref="C38:D38"/>
    <mergeCell ref="C39:D39"/>
  </mergeCells>
  <phoneticPr fontId="4" type="noConversion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작성가이드 (2)</vt:lpstr>
      <vt:lpstr>경제성분석</vt:lpstr>
      <vt:lpstr>경제성분석!Print_Area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2023-02-22T07:24:33Z</dcterms:created>
  <dcterms:modified xsi:type="dcterms:W3CDTF">2023-12-01T05:18:07Z</dcterms:modified>
</cp:coreProperties>
</file>