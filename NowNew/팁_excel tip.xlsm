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7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78D58EB5-CC0C-4AD4-92B8-5574FDFD97F1}" xr6:coauthVersionLast="36" xr6:coauthVersionMax="36" xr10:uidLastSave="{00000000-0000-0000-0000-000000000000}"/>
  <bookViews>
    <workbookView xWindow="0" yWindow="0" windowWidth="19755" windowHeight="11310" activeTab="10" xr2:uid="{00000000-000D-0000-FFFF-FFFF00000000}"/>
  </bookViews>
  <sheets>
    <sheet name="매칭" sheetId="5" r:id="rId1"/>
    <sheet name="조건" sheetId="6" r:id="rId2"/>
    <sheet name="구간" sheetId="15" r:id="rId3"/>
    <sheet name="피벗" sheetId="7" r:id="rId4"/>
    <sheet name="데이터표" sheetId="4" r:id="rId5"/>
    <sheet name="조건부서식" sheetId="3" r:id="rId6"/>
    <sheet name="VBA" sheetId="9" r:id="rId7"/>
    <sheet name="Sheet1" sheetId="1" r:id="rId8"/>
    <sheet name="shortcut" sheetId="11" r:id="rId9"/>
    <sheet name="Tip" sheetId="10" r:id="rId10"/>
    <sheet name="보호" sheetId="16" r:id="rId11"/>
  </sheets>
  <calcPr calcId="191029"/>
  <pivotCaches>
    <pivotCache cacheId="1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8" i="10" l="1"/>
  <c r="C57" i="10"/>
  <c r="C56" i="10"/>
  <c r="C55" i="10"/>
  <c r="G9" i="15" l="1" a="1"/>
  <c r="G9" i="15" s="1"/>
  <c r="G12" i="15" l="1"/>
  <c r="G10" i="15"/>
  <c r="G11" i="15"/>
  <c r="B52" i="10"/>
  <c r="G8" i="7" l="1"/>
  <c r="G9" i="7"/>
  <c r="G10" i="7"/>
  <c r="G11" i="7"/>
  <c r="G12" i="7"/>
  <c r="G13" i="7"/>
  <c r="G14" i="7"/>
  <c r="B14" i="5"/>
  <c r="C14" i="5"/>
  <c r="D14" i="5"/>
  <c r="E14" i="5"/>
  <c r="B15" i="5"/>
  <c r="C15" i="5"/>
  <c r="D15" i="5"/>
  <c r="E15" i="5"/>
  <c r="B16" i="5"/>
  <c r="C16" i="5"/>
  <c r="D16" i="5"/>
  <c r="E16" i="5"/>
  <c r="B17" i="5"/>
  <c r="C17" i="5"/>
  <c r="D17" i="5"/>
  <c r="E17" i="5"/>
  <c r="B20" i="5"/>
  <c r="B21" i="5"/>
  <c r="B22" i="5"/>
  <c r="B23" i="5"/>
  <c r="C6" i="4"/>
  <c r="C8" i="4" s="1"/>
  <c r="F6" i="4"/>
  <c r="E8" i="4" s="1"/>
  <c r="C6" i="3"/>
  <c r="C8" i="3"/>
  <c r="C10" i="3"/>
  <c r="C21" i="7"/>
  <c r="D22" i="7"/>
  <c r="D17" i="7"/>
  <c r="C18" i="7"/>
  <c r="C22" i="7"/>
  <c r="C20" i="7"/>
  <c r="D21" i="7"/>
  <c r="C17" i="7"/>
  <c r="D18" i="7"/>
  <c r="D20" i="7"/>
  <c r="E22" i="7" l="1"/>
  <c r="C23" i="7"/>
  <c r="E20" i="7"/>
  <c r="E18" i="7"/>
  <c r="D19" i="7"/>
  <c r="E21" i="7"/>
  <c r="D23" i="7"/>
  <c r="D24" i="7" s="1"/>
  <c r="E17" i="7"/>
  <c r="C19" i="7"/>
  <c r="E19" i="7" s="1"/>
  <c r="B13" i="1"/>
  <c r="E23" i="7" l="1"/>
  <c r="C24" i="7"/>
  <c r="E24" i="7" s="1"/>
</calcChain>
</file>

<file path=xl/sharedStrings.xml><?xml version="1.0" encoding="utf-8"?>
<sst xmlns="http://schemas.openxmlformats.org/spreadsheetml/2006/main" count="545" uniqueCount="507">
  <si>
    <t>1. rgedit&gt;컴퓨터\HKEY_LOCAL_MACHINE\SOFTWARE\Microsoft\Office\16.0\Common\COM Compatibility\{8856F961-340A-11D0-A96B-00C04FD705A2}</t>
  </si>
  <si>
    <t>2. 개발도구&gt;삽입&gt;기타컨트롤&gt;Microsoft Web Browser 삽입</t>
  </si>
  <si>
    <t>검색단어</t>
    <phoneticPr fontId="2" type="noConversion"/>
  </si>
  <si>
    <t>검색사이트</t>
    <phoneticPr fontId="2" type="noConversion"/>
  </si>
  <si>
    <t>검색시작페이지</t>
    <phoneticPr fontId="2" type="noConversion"/>
  </si>
  <si>
    <t xml:space="preserve"> _sp_each_title</t>
  </si>
  <si>
    <t>class</t>
    <phoneticPr fontId="2" type="noConversion"/>
  </si>
  <si>
    <t>title</t>
    <phoneticPr fontId="2" type="noConversion"/>
  </si>
  <si>
    <t>뉴스기사</t>
    <phoneticPr fontId="2" type="noConversion"/>
  </si>
  <si>
    <t>href</t>
    <phoneticPr fontId="2" type="noConversion"/>
  </si>
  <si>
    <t>기사하이퍼링크</t>
    <phoneticPr fontId="2" type="noConversion"/>
  </si>
  <si>
    <t xml:space="preserve">   &gt;Compatibility Flags&gt;10진수(D) 체크&gt;값데이터 1024-&gt;0으로 변경&gt;확인</t>
    <phoneticPr fontId="2" type="noConversion"/>
  </si>
  <si>
    <t>4. VBA&gt;삽입&gt; 유저폼, 모듈</t>
    <phoneticPr fontId="2" type="noConversion"/>
  </si>
  <si>
    <t xml:space="preserve">   VBA&gt;도구&gt;참조 : Microsoft Internet Controls, Microsoft HTML Object Library, Microsoft Forms 2.0 Object Library 체크</t>
    <phoneticPr fontId="2" type="noConversion"/>
  </si>
  <si>
    <t>기사제목</t>
    <phoneticPr fontId="2" type="noConversion"/>
  </si>
  <si>
    <t>기사링크</t>
    <phoneticPr fontId="2" type="noConversion"/>
  </si>
  <si>
    <t>&lt;=조건부서식 (=and(A&gt;=0,B=&lt;3)</t>
    <phoneticPr fontId="2" type="noConversion"/>
  </si>
  <si>
    <t>&lt;=조건부서식 + 셀서식(aaa)</t>
    <phoneticPr fontId="2" type="noConversion"/>
  </si>
  <si>
    <t>일수</t>
    <phoneticPr fontId="2" type="noConversion"/>
  </si>
  <si>
    <t>종료일</t>
    <phoneticPr fontId="2" type="noConversion"/>
  </si>
  <si>
    <t>시작일</t>
    <phoneticPr fontId="2" type="noConversion"/>
  </si>
  <si>
    <t>&lt;=셀서식(d)</t>
    <phoneticPr fontId="2" type="noConversion"/>
  </si>
  <si>
    <t>■ 조건부서식활용+Counta()</t>
    <phoneticPr fontId="2" type="noConversion"/>
  </si>
  <si>
    <t>5. f4데이터를 e9:e11 열로 변경하는 것이므로 열 빈칸에 'f4'를 지정</t>
    <phoneticPr fontId="2" type="noConversion"/>
  </si>
  <si>
    <t>4. f5데이터를 f8:h8 행로 변경하는 것이므로 행 빈칸에 'f5'를 지정</t>
    <phoneticPr fontId="2" type="noConversion"/>
  </si>
  <si>
    <t>4. c3데이터를 b9:b11열로 변경하는 것이므로 열 빈칸에 'c3'를 지정</t>
    <phoneticPr fontId="2" type="noConversion"/>
  </si>
  <si>
    <t>3. 데이터&gt;가상분석&gt;데이터표선택</t>
    <phoneticPr fontId="2" type="noConversion"/>
  </si>
  <si>
    <t>2. 표전체를 선택하고</t>
    <phoneticPr fontId="2" type="noConversion"/>
  </si>
  <si>
    <t>1. f6와 e8연결</t>
    <phoneticPr fontId="2" type="noConversion"/>
  </si>
  <si>
    <t>1. c6와 c8연결</t>
    <phoneticPr fontId="2" type="noConversion"/>
  </si>
  <si>
    <t>[금리와 기간을 달리할 때 만기금액 변경 추정]</t>
    <phoneticPr fontId="2" type="noConversion"/>
  </si>
  <si>
    <t>[월적립금 변경할 때 만기금액 변경 추정]</t>
    <phoneticPr fontId="2" type="noConversion"/>
  </si>
  <si>
    <t>만기금액</t>
    <phoneticPr fontId="2" type="noConversion"/>
  </si>
  <si>
    <t>납입기간(년)</t>
    <phoneticPr fontId="2" type="noConversion"/>
  </si>
  <si>
    <t>금리(년)</t>
    <phoneticPr fontId="2" type="noConversion"/>
  </si>
  <si>
    <t>월적립</t>
    <phoneticPr fontId="2" type="noConversion"/>
  </si>
  <si>
    <t>■ 데이터표</t>
    <phoneticPr fontId="2" type="noConversion"/>
  </si>
  <si>
    <t>&lt;=HLOOKUP($A21,$A$7:$H$11,3,0)</t>
    <phoneticPr fontId="2" type="noConversion"/>
  </si>
  <si>
    <t>시간</t>
    <phoneticPr fontId="2" type="noConversion"/>
  </si>
  <si>
    <t>구분</t>
  </si>
  <si>
    <t>&lt;=INDEX($B$8:$H$11,MATCH(C$13,$A$8:$A$11,0),MATCH($A15,$B$7:$H$7,0))</t>
    <phoneticPr fontId="2" type="noConversion"/>
  </si>
  <si>
    <t>빈 도(년)</t>
  </si>
  <si>
    <t>지속시간
(min)</t>
  </si>
  <si>
    <t>Match(찾는값,데이터범위,0) : 위치숫자반환</t>
    <phoneticPr fontId="2" type="noConversion"/>
  </si>
  <si>
    <t>Index(데이터범위,세로이동횟수,가로이동횟수) : 위치데이타값반환</t>
    <phoneticPr fontId="2" type="noConversion"/>
  </si>
  <si>
    <t>■ Index()+Match()</t>
    <phoneticPr fontId="2" type="noConversion"/>
  </si>
  <si>
    <t>Sum range : 매출액(보라색부분) - 매출범위도 절대참조</t>
  </si>
  <si>
    <t>Criteria : 점포명 (빨간색부분) - 점포명은 열은 고정, 행은 변화</t>
  </si>
  <si>
    <t>Range : 조건 범위 (파란색부분) - 조건범위는 변하면 안되므로 절대참조</t>
  </si>
  <si>
    <t>이 때, 쓸 수 있는 함수가 Sumif 함수입니다</t>
  </si>
  <si>
    <t>점포명 제품명 1개의 조건으로 매출의 합을 구할 때,</t>
    <phoneticPr fontId="2" type="noConversion"/>
  </si>
  <si>
    <t>Criteria2 : 새우깡(자주색) - 열고정</t>
  </si>
  <si>
    <t>Criteria range2 : 조건범위2 제품명 (초록색) - 절대참조</t>
  </si>
  <si>
    <t>Criteria1 : 논현점 (보라색) - 열고정</t>
  </si>
  <si>
    <t>Criteria range1 : 조건범위1 점포명 (빨간색) -절대참조</t>
  </si>
  <si>
    <t>Sum range : 매출 (파란색) - 절대참조</t>
  </si>
  <si>
    <t>이렇게 조건은 무한대로 늘어날 수 있습니다</t>
  </si>
  <si>
    <t>sum range가 맨 앞 있고, 조건들이 뒤로 나열되게 됩니다</t>
    <phoneticPr fontId="2" type="noConversion"/>
  </si>
  <si>
    <t>점포명 제품명 두개의 조건으로 매출의 합을 구할 때,</t>
    <phoneticPr fontId="2" type="noConversion"/>
  </si>
  <si>
    <t>■ Sumifs()</t>
    <phoneticPr fontId="2" type="noConversion"/>
  </si>
  <si>
    <t>합계</t>
    <phoneticPr fontId="2" type="noConversion"/>
  </si>
  <si>
    <t>지방계</t>
    <phoneticPr fontId="2" type="noConversion"/>
  </si>
  <si>
    <t>제주도</t>
    <phoneticPr fontId="2" type="noConversion"/>
  </si>
  <si>
    <t>충청도</t>
    <phoneticPr fontId="2" type="noConversion"/>
  </si>
  <si>
    <t>전라도</t>
    <phoneticPr fontId="2" type="noConversion"/>
  </si>
  <si>
    <t>지방</t>
    <phoneticPr fontId="2" type="noConversion"/>
  </si>
  <si>
    <t>수도권계</t>
    <phoneticPr fontId="2" type="noConversion"/>
  </si>
  <si>
    <t>경기도</t>
    <phoneticPr fontId="2" type="noConversion"/>
  </si>
  <si>
    <t>서울시</t>
    <phoneticPr fontId="2" type="noConversion"/>
  </si>
  <si>
    <t>수도권</t>
    <phoneticPr fontId="2" type="noConversion"/>
  </si>
  <si>
    <t>계</t>
    <phoneticPr fontId="2" type="noConversion"/>
  </si>
  <si>
    <t>지역</t>
    <phoneticPr fontId="2" type="noConversion"/>
  </si>
  <si>
    <t>총합계</t>
  </si>
  <si>
    <t>김중락</t>
    <phoneticPr fontId="2" type="noConversion"/>
  </si>
  <si>
    <t>한라</t>
    <phoneticPr fontId="2" type="noConversion"/>
  </si>
  <si>
    <t>충청도</t>
  </si>
  <si>
    <t>박재언</t>
    <phoneticPr fontId="2" type="noConversion"/>
  </si>
  <si>
    <t>부천</t>
    <phoneticPr fontId="2" type="noConversion"/>
  </si>
  <si>
    <t>제주도</t>
  </si>
  <si>
    <t>김상현</t>
    <phoneticPr fontId="2" type="noConversion"/>
  </si>
  <si>
    <t>김천</t>
    <phoneticPr fontId="2" type="noConversion"/>
  </si>
  <si>
    <t>경기도</t>
    <phoneticPr fontId="2" type="noConversion"/>
  </si>
  <si>
    <t>전라도</t>
  </si>
  <si>
    <t>최동진</t>
    <phoneticPr fontId="2" type="noConversion"/>
  </si>
  <si>
    <t>상도</t>
    <phoneticPr fontId="2" type="noConversion"/>
  </si>
  <si>
    <t>서울시</t>
    <phoneticPr fontId="2" type="noConversion"/>
  </si>
  <si>
    <t>서울시</t>
  </si>
  <si>
    <t>홍현정</t>
    <phoneticPr fontId="2" type="noConversion"/>
  </si>
  <si>
    <t>청주</t>
    <phoneticPr fontId="2" type="noConversion"/>
  </si>
  <si>
    <t>충청도</t>
    <phoneticPr fontId="2" type="noConversion"/>
  </si>
  <si>
    <t>경기도</t>
  </si>
  <si>
    <t>박선주</t>
    <phoneticPr fontId="2" type="noConversion"/>
  </si>
  <si>
    <t>김제</t>
    <phoneticPr fontId="2" type="noConversion"/>
  </si>
  <si>
    <t>4월</t>
  </si>
  <si>
    <t>3월</t>
  </si>
  <si>
    <t>2월</t>
  </si>
  <si>
    <t>1월</t>
  </si>
  <si>
    <t>행 레이블</t>
  </si>
  <si>
    <t>최옥현</t>
    <phoneticPr fontId="2" type="noConversion"/>
  </si>
  <si>
    <t>강남</t>
    <phoneticPr fontId="2" type="noConversion"/>
  </si>
  <si>
    <t>열 레이블</t>
  </si>
  <si>
    <t>합계 : 판매</t>
  </si>
  <si>
    <t>미수</t>
    <phoneticPr fontId="2" type="noConversion"/>
  </si>
  <si>
    <t xml:space="preserve">수금 </t>
    <phoneticPr fontId="2" type="noConversion"/>
  </si>
  <si>
    <t>판매</t>
    <phoneticPr fontId="2" type="noConversion"/>
  </si>
  <si>
    <t>방문일</t>
    <phoneticPr fontId="2" type="noConversion"/>
  </si>
  <si>
    <t>담당자</t>
    <phoneticPr fontId="2" type="noConversion"/>
  </si>
  <si>
    <t>지점</t>
    <phoneticPr fontId="2" type="noConversion"/>
  </si>
  <si>
    <t>• Field1, Item1 : 참조할 데이터의 필드 이름과 항목 이름을 쌍으로 구성하여 총 126개까지 지정할 수 있습니다.</t>
  </si>
  <si>
    <t>• Pivot_table  : 참조할 피벗 테이블이 작성된 시트명과 셀 주소를 지정합니다.</t>
  </si>
  <si>
    <t>• Data_field : 참조할 피벗 테이블에서 [값] 영역에 추가한 필드 중 가져올 필드명입니다.</t>
  </si>
  <si>
    <t>■ GETPIVOTDATA(Data_field, Pivot_table, [Field1, Item1, Field2, Item2], …)</t>
    <phoneticPr fontId="2" type="noConversion"/>
  </si>
  <si>
    <t>Ctrl+Shift+화살표 키</t>
  </si>
  <si>
    <t>SK빅데이터허브 www.bigdatahub.co.kr</t>
    <phoneticPr fontId="16" type="noConversion"/>
  </si>
  <si>
    <t>서울열린데이터광장 data.seoul.go.kr</t>
    <phoneticPr fontId="16" type="noConversion"/>
  </si>
  <si>
    <t>국가통계포털 kosis.kr</t>
    <phoneticPr fontId="16" type="noConversion"/>
  </si>
  <si>
    <t>[인터넷빅데이터 제공]</t>
    <phoneticPr fontId="16" type="noConversion"/>
  </si>
  <si>
    <t>-------------------------------------------------------------------</t>
    <phoneticPr fontId="16" type="noConversion"/>
  </si>
  <si>
    <t>Application.OnTime메서드</t>
    <phoneticPr fontId="16" type="noConversion"/>
  </si>
  <si>
    <t>[특정시간에 원하는 프로시저 실행]</t>
    <phoneticPr fontId="16" type="noConversion"/>
  </si>
  <si>
    <t xml:space="preserve">  *Call sb샘플(Range(rngT,rngT.End(xlDown).End(xlTRight)))     '영역매개변수를 포함하여 프로시저 호출</t>
    <phoneticPr fontId="16" type="noConversion"/>
  </si>
  <si>
    <t xml:space="preserve">  *Sub sb샘플(Optional rngData As Range)                               'Otional 사용으로 매개변수를 생략가능할 수 있게 지정</t>
    <phoneticPr fontId="16" type="noConversion"/>
  </si>
  <si>
    <t>Sub 프로시저명([Optional] 매개변수 As 데이터형)</t>
    <phoneticPr fontId="16" type="noConversion"/>
  </si>
  <si>
    <t>[매크로 대화상자에서 프로시저 보이지 않게 하기:매개변수가 지정되면 보이지 않음]</t>
    <phoneticPr fontId="16" type="noConversion"/>
  </si>
  <si>
    <t>-------------------------------------------------------------------</t>
    <phoneticPr fontId="16" type="noConversion"/>
  </si>
  <si>
    <t>ActiveSheet.PivotTables(“피벗테이블명칭”).ManualUpdate=True              '피벗 테이블 자동업데이트 끄기</t>
    <phoneticPr fontId="16" type="noConversion"/>
  </si>
  <si>
    <t>Application.DisplayAlerts = False                                                           '시트삭제 등 경고메세지</t>
    <phoneticPr fontId="16" type="noConversion"/>
  </si>
  <si>
    <t>ActiveSheet.DisplayPageBreaks = False                                                 '페이지분할점선</t>
    <phoneticPr fontId="16" type="noConversion"/>
  </si>
  <si>
    <t>Application.EnableEvents = False                                                          '이벤트반응</t>
    <phoneticPr fontId="16" type="noConversion"/>
  </si>
  <si>
    <t>Application.DisplayStatusBar = False                                                     '상태표시줄</t>
    <phoneticPr fontId="16" type="noConversion"/>
  </si>
  <si>
    <t>Application.ScreenUpdating = False                                                       '화면업데이트</t>
    <phoneticPr fontId="16" type="noConversion"/>
  </si>
  <si>
    <t>Application.Calculation = xlCalculationManual / xlCalculationAutomatic      '계산방법</t>
    <phoneticPr fontId="16" type="noConversion"/>
  </si>
  <si>
    <t>매번 읽어들이는 셀값은 변수에 저장</t>
    <phoneticPr fontId="16" type="noConversion"/>
  </si>
  <si>
    <t>다중조건IF문보다는 Select문 사용하고 선택빈도가 높은 항목을 먼저 배치</t>
    <phoneticPr fontId="16" type="noConversion"/>
  </si>
  <si>
    <t>Select매서드 지양</t>
    <phoneticPr fontId="16" type="noConversion"/>
  </si>
  <si>
    <t>같은 개체는 Wuth문 권장</t>
    <phoneticPr fontId="16" type="noConversion"/>
  </si>
  <si>
    <t>배열형태로 일괄처리</t>
    <phoneticPr fontId="16" type="noConversion"/>
  </si>
  <si>
    <t>[처리속도향상]</t>
    <phoneticPr fontId="16" type="noConversion"/>
  </si>
  <si>
    <t>End Sub</t>
    <phoneticPr fontId="16" type="noConversion"/>
  </si>
  <si>
    <t xml:space="preserve">    'ActiveSheet.Sort.Orientation = xlLeftToRight  '좌에서 우(즉 행방향)로 정렬할 경우 사용</t>
    <phoneticPr fontId="16" type="noConversion"/>
  </si>
  <si>
    <t xml:space="preserve">    '[A2:D8].Sort [A2], 2   '내림차순</t>
    <phoneticPr fontId="16" type="noConversion"/>
  </si>
  <si>
    <t xml:space="preserve">    '[A2:D8].Sort [A2], 1   '오름차순</t>
    <phoneticPr fontId="16" type="noConversion"/>
  </si>
  <si>
    <t xml:space="preserve">    [A2:D8].Sort Key1:=Range("A2"), Order1:=xlAscending    </t>
    <phoneticPr fontId="16" type="noConversion"/>
  </si>
  <si>
    <t>Sub OneColumnSort()</t>
    <phoneticPr fontId="16" type="noConversion"/>
  </si>
  <si>
    <t>[엑셀에서 기본제공하는 정렬(Sort) 활용]</t>
  </si>
  <si>
    <t>Range("A1:D5").RemoveDuplicates Array(1, 2, 3, 4), xlYes</t>
    <phoneticPr fontId="16" type="noConversion"/>
  </si>
  <si>
    <t>여러 열을 기준으로 삭제하는 경우</t>
    <phoneticPr fontId="16" type="noConversion"/>
  </si>
  <si>
    <t>Columns(1).SpecialCells(2).RemoveDuplicates 1, 0</t>
    <phoneticPr fontId="16" type="noConversion"/>
  </si>
  <si>
    <t>제목이 없는 Header:=xlNo 의 경우</t>
    <phoneticPr fontId="16" type="noConversion"/>
  </si>
  <si>
    <t>Columns(1).SpecialCells(2).RemoveDuplicates 1, 1</t>
    <phoneticPr fontId="16" type="noConversion"/>
  </si>
  <si>
    <t>위의 코드와 동일한 결과 :</t>
    <phoneticPr fontId="16" type="noConversion"/>
  </si>
  <si>
    <t>End Sub</t>
    <phoneticPr fontId="16" type="noConversion"/>
  </si>
  <si>
    <t xml:space="preserve">    Columns(1).SpecialCells(2).RemoveDuplicates Columns:=1, Header:=xlYes    </t>
    <phoneticPr fontId="16" type="noConversion"/>
  </si>
  <si>
    <t xml:space="preserve">Sub no_Duplicates2()    </t>
    <phoneticPr fontId="16" type="noConversion"/>
  </si>
  <si>
    <t>[엑셀에서 기본제공하는 중복제거(Remove Duplicates) 사용]</t>
    <phoneticPr fontId="16" type="noConversion"/>
  </si>
  <si>
    <t xml:space="preserve">    'MSForms.ToggleButton</t>
    <phoneticPr fontId="16" type="noConversion"/>
  </si>
  <si>
    <t xml:space="preserve">    'MSForms.Image</t>
    <phoneticPr fontId="16" type="noConversion"/>
  </si>
  <si>
    <t xml:space="preserve">    'MSForms.Label</t>
    <phoneticPr fontId="16" type="noConversion"/>
  </si>
  <si>
    <t xml:space="preserve">    'MSForms.OptionButton</t>
    <phoneticPr fontId="16" type="noConversion"/>
  </si>
  <si>
    <t xml:space="preserve">    'MSForms.SpinButton</t>
    <phoneticPr fontId="16" type="noConversion"/>
  </si>
  <si>
    <t xml:space="preserve">    'MSForms.ScrollBar</t>
    <phoneticPr fontId="16" type="noConversion"/>
  </si>
  <si>
    <t xml:space="preserve">    'MSForms.TextBox</t>
    <phoneticPr fontId="16" type="noConversion"/>
  </si>
  <si>
    <t xml:space="preserve">    'MSForms.ListBox</t>
    <phoneticPr fontId="16" type="noConversion"/>
  </si>
  <si>
    <t xml:space="preserve">    'MSForms.CheckBox</t>
    <phoneticPr fontId="16" type="noConversion"/>
  </si>
  <si>
    <t xml:space="preserve">    'MSForms.ComboBox</t>
    <phoneticPr fontId="16" type="noConversion"/>
  </si>
  <si>
    <t xml:space="preserve">    'MSForms.CommandButton</t>
    <phoneticPr fontId="16" type="noConversion"/>
  </si>
  <si>
    <t xml:space="preserve"> *컨트롤명칭</t>
    <phoneticPr fontId="16" type="noConversion"/>
  </si>
  <si>
    <t xml:space="preserve">    Next objCtrl</t>
  </si>
  <si>
    <t xml:space="preserve">        End If</t>
  </si>
  <si>
    <t xml:space="preserve">            End With</t>
  </si>
  <si>
    <t xml:space="preserve">              .Size = 9</t>
  </si>
  <si>
    <t xml:space="preserve">              .Name = "맑은 고딕"</t>
  </si>
  <si>
    <t xml:space="preserve">            With objCtrl.Font</t>
  </si>
  <si>
    <t xml:space="preserve">        If TypeName(objCtrl) &lt;&gt; "SpinButton" Then     'If Not TypeOf objCtrl Is MSForms.SpinButton Then</t>
  </si>
  <si>
    <t xml:space="preserve">    For Each objCtrl In UserForm1.Controls            'In ME.Controls</t>
  </si>
  <si>
    <t xml:space="preserve">    Dim objCtrl As Control                            'Dim objCtrl As MSForms.CommandButton으로 개별선언 가능</t>
    <phoneticPr fontId="16" type="noConversion"/>
  </si>
  <si>
    <t>[폼화면폰트를 맑은고딕&amp;크기9로 통일]</t>
    <phoneticPr fontId="16" type="noConversion"/>
  </si>
  <si>
    <t>-------------------------------------------------------------------</t>
    <phoneticPr fontId="16" type="noConversion"/>
  </si>
  <si>
    <t xml:space="preserve">    MsgBox Timer - sTime &amp; "초 경과"</t>
    <phoneticPr fontId="16" type="noConversion"/>
  </si>
  <si>
    <t xml:space="preserve">       블라블라</t>
    <phoneticPr fontId="16" type="noConversion"/>
  </si>
  <si>
    <t xml:space="preserve">    sTime = Timer</t>
    <phoneticPr fontId="16" type="noConversion"/>
  </si>
  <si>
    <t xml:space="preserve">    Dim sTime</t>
    <phoneticPr fontId="16" type="noConversion"/>
  </si>
  <si>
    <t>[처리시간체크]</t>
    <phoneticPr fontId="16" type="noConversion"/>
  </si>
  <si>
    <t>On Error GoTo 0                      '오류 무시 원복</t>
    <phoneticPr fontId="16" type="noConversion"/>
  </si>
  <si>
    <t xml:space="preserve">   블라블라</t>
    <phoneticPr fontId="16" type="noConversion"/>
  </si>
  <si>
    <t>On Error Resume Next              '오류 무시</t>
    <phoneticPr fontId="16" type="noConversion"/>
  </si>
  <si>
    <t>[오류처리문2]</t>
    <phoneticPr fontId="16" type="noConversion"/>
  </si>
  <si>
    <t xml:space="preserve">   End If</t>
    <phoneticPr fontId="16" type="noConversion"/>
  </si>
  <si>
    <t xml:space="preserve">                "오류내용 :" &amp; Err.Description, vbCritical, "오류"</t>
    <phoneticPr fontId="16" type="noConversion"/>
  </si>
  <si>
    <t xml:space="preserve">      MsgBox "오류번호 : " &amp; Err.Number &amp; vbCr &amp; _</t>
    <phoneticPr fontId="16" type="noConversion"/>
  </si>
  <si>
    <t xml:space="preserve">   If Err.Number &lt;&gt; 0 Then</t>
    <phoneticPr fontId="16" type="noConversion"/>
  </si>
  <si>
    <t>Err_Rtn:</t>
    <phoneticPr fontId="16" type="noConversion"/>
  </si>
  <si>
    <t xml:space="preserve">   블라블라</t>
    <phoneticPr fontId="16" type="noConversion"/>
  </si>
  <si>
    <t xml:space="preserve"> On Error GoTo Err_Rtn               </t>
    <phoneticPr fontId="16" type="noConversion"/>
  </si>
  <si>
    <t>[오류처리문1]</t>
    <phoneticPr fontId="16" type="noConversion"/>
  </si>
  <si>
    <t>ComboBox1.Additem "월"                            'Additem매서드를 이용하여 차례대로 목록추가</t>
    <phoneticPr fontId="16" type="noConversion"/>
  </si>
  <si>
    <t>ComboBox1.List=Range("B2:B4").Value        'Range개체.Value형식으로 셀내용을 목록에 표시</t>
    <phoneticPr fontId="16" type="noConversion"/>
  </si>
  <si>
    <t>ComboBox1.List=Array("월","화","수")          '배열함수를 이용하여 배열목록내용으로 지정</t>
    <phoneticPr fontId="16" type="noConversion"/>
  </si>
  <si>
    <t>ComboBox1.RowSource="이름상자"            '이름정의 형식의 텍스트로 지정</t>
    <phoneticPr fontId="16" type="noConversion"/>
  </si>
  <si>
    <t>ComboBox1.RowSource="시트명!B2:B4"       '시트명!셀주소 형식의 텍스트로 지정</t>
    <phoneticPr fontId="16" type="noConversion"/>
  </si>
  <si>
    <t>[콤보상자,목록상자에 목록표시방법]</t>
    <phoneticPr fontId="16" type="noConversion"/>
  </si>
  <si>
    <t>Range("B2").Text                                                                        '\1,000원 표시</t>
    <phoneticPr fontId="16" type="noConversion"/>
  </si>
  <si>
    <t>Range("B2").Formula="=$A$2"  Range("B2").FormulaR1C1="R2C1"    '절대참조</t>
    <phoneticPr fontId="16" type="noConversion"/>
  </si>
  <si>
    <t>Range("B2").Formula="=A2"    Range("B2").FormulaR1C1="RC[-1]"   '상대참조</t>
    <phoneticPr fontId="16" type="noConversion"/>
  </si>
  <si>
    <t>Range("B2").Formula                                                                   '=A1+A2로 표시</t>
    <phoneticPr fontId="16" type="noConversion"/>
  </si>
  <si>
    <t>Range("B2").Value                                                                      '1000 표시</t>
    <phoneticPr fontId="16" type="noConversion"/>
  </si>
  <si>
    <t>Text        : 입력된 값을 가져올 때 서식이 적용된 문자열로 반환(화면에 뿌리거나 변수에 대입할때), 셀에 직접 값을 입력할수는 없음</t>
    <phoneticPr fontId="16" type="noConversion"/>
  </si>
  <si>
    <t>FormulaR1C1 : 입력된 값을 가져올 때 수식으로 가져옴 대괄호[]안의 숫자는 행열이동수</t>
    <phoneticPr fontId="16" type="noConversion"/>
  </si>
  <si>
    <t>Formula     : 입력된 값을 가져올 때 수식으로 가져옴</t>
    <phoneticPr fontId="16" type="noConversion"/>
  </si>
  <si>
    <t>Value        : 입력된 값을 가져올 때 계산된 값으로 가져옴</t>
    <phoneticPr fontId="16" type="noConversion"/>
  </si>
  <si>
    <t>[셀값 입출력]</t>
  </si>
  <si>
    <t>시트.Add [Before/After/Count/Type:=]    '//시트추가</t>
    <phoneticPr fontId="16" type="noConversion"/>
  </si>
  <si>
    <t xml:space="preserve">   *2종류:숫자,텍스트,논리값,오류         '//1종류가 상수나 수식일때 사용, 2종류를 생략하면 모든 종류 선택</t>
    <phoneticPr fontId="16" type="noConversion"/>
  </si>
  <si>
    <t xml:space="preserve">   *1종류:메모,상수,수식,빈셀,마지막데이터셀,화면에보이는셀,조건부서식,데이터유효성…</t>
    <phoneticPr fontId="16" type="noConversion"/>
  </si>
  <si>
    <t>개체.SpecialCells(1종류[,2종류])     '//영역에 입력된 셀데이터형 종류에 맞는 셀들을 Range개체로 반환</t>
    <phoneticPr fontId="16" type="noConversion"/>
  </si>
  <si>
    <t>개체.Delete                                     '//삭제</t>
    <phoneticPr fontId="16" type="noConversion"/>
  </si>
  <si>
    <t xml:space="preserve">   *데이터 타입이 상이하면 find 불가능</t>
    <phoneticPr fontId="16" type="noConversion"/>
  </si>
  <si>
    <t xml:space="preserve">   *Range("a1:a31").Find(Cells(1, 5).Value, Lookat:=xlWhole)       '부분검색은 Lookat:xlPart</t>
    <phoneticPr fontId="16" type="noConversion"/>
  </si>
  <si>
    <t>개체.Find(What [,After, LookIn, LookAt, SearchOrder, SearchDirection, MatchCase, MatchByte, SearchFormat])  '//찾기</t>
    <phoneticPr fontId="16" type="noConversion"/>
  </si>
  <si>
    <t>개체.Insert (Shift/CopyOrigin:=)         '//행,열 삽입</t>
    <phoneticPr fontId="16" type="noConversion"/>
  </si>
  <si>
    <t>개체.Clear/ClearFormats/ClearContents/ClearComments/ClearOutline    '//개체내용및서식,서식만,내용만,메모만,윤곽만 지우기</t>
    <phoneticPr fontId="16" type="noConversion"/>
  </si>
  <si>
    <t xml:space="preserve">개체.PasteSpecial 상수                    '//클립보드내용을 선택하여 붙여넣기 </t>
    <phoneticPr fontId="16" type="noConversion"/>
  </si>
  <si>
    <t>개체.Copy/Paste                             '//클립보드를 활용하여 개체 저장,붙여넣기</t>
    <phoneticPr fontId="16" type="noConversion"/>
  </si>
  <si>
    <t xml:space="preserve">   *Range("C3").Activate                   '//B2에사 F4까지 선택된 상태에서 activecell을 C3로 바꿈</t>
    <phoneticPr fontId="16" type="noConversion"/>
  </si>
  <si>
    <t xml:space="preserve">   *Range("B2:F4").Select                 '//B2에사 F4까지 선택되었으며 첫번째 영역인 B2가 activecell임</t>
    <phoneticPr fontId="16" type="noConversion"/>
  </si>
  <si>
    <t>개체.Activate                                   '//한개의 개체 활성화</t>
    <phoneticPr fontId="16" type="noConversion"/>
  </si>
  <si>
    <t>개체.Select                                     '//개체 선택</t>
    <phoneticPr fontId="16" type="noConversion"/>
  </si>
  <si>
    <t>&gt;&gt;&gt;선택</t>
    <phoneticPr fontId="16" type="noConversion"/>
  </si>
  <si>
    <t>Rows/Columns.Count                                    '//1048576(엑셀총행수),16384(엑셀총열수) 반환</t>
    <phoneticPr fontId="16" type="noConversion"/>
  </si>
  <si>
    <t xml:space="preserve">개체.Rows/Columns.Count               '//개체영역의 행,열 갯수         [함수로의 Rows]  </t>
    <phoneticPr fontId="16" type="noConversion"/>
  </si>
  <si>
    <t>개체.Count                                      '//갯수 반환</t>
    <phoneticPr fontId="16" type="noConversion"/>
  </si>
  <si>
    <t>&gt;&gt;&gt;개수표시</t>
    <phoneticPr fontId="16" type="noConversion"/>
  </si>
  <si>
    <t>[중요Method: 함께 사용 가능]</t>
    <phoneticPr fontId="16" type="noConversion"/>
  </si>
  <si>
    <t>시트.UsedRange                              '//워크시트개체의 사용영역 반환(비연속영역포함)</t>
    <phoneticPr fontId="16" type="noConversion"/>
  </si>
  <si>
    <t>개체.CurrentRegion                          '//개체에 연결된 데이터 영역 반환(연속영역만 포함, 연속클릭시 범위확대됨)</t>
    <phoneticPr fontId="16" type="noConversion"/>
  </si>
  <si>
    <t>개체.EntireRow/EntireColumn            '//개체가 존재하는 행,열 전체영역 반환</t>
    <phoneticPr fontId="16" type="noConversion"/>
  </si>
  <si>
    <t>개체.Resize(행크기,열크기)             '//개체포함되어 조정된 영역 반환</t>
    <phoneticPr fontId="16" type="noConversion"/>
  </si>
  <si>
    <t>개체.Selection                                 '//한개이상의 선택된 개체 반환</t>
    <phoneticPr fontId="16" type="noConversion"/>
  </si>
  <si>
    <t>Rows/Columns(숫자)                       '//숫자의 행,열 전체영역 반환 [Vba의 Rows]</t>
    <phoneticPr fontId="16" type="noConversion"/>
  </si>
  <si>
    <t>&gt;&gt;&gt;영역</t>
    <phoneticPr fontId="16" type="noConversion"/>
  </si>
  <si>
    <t>개체.Offset(행이동,열이동)               '//셀 또는 범위를 이동 반환</t>
    <phoneticPr fontId="16" type="noConversion"/>
  </si>
  <si>
    <t xml:space="preserve">개체.End(방향)                               '//지정된 방향(xlToLeft,xlToRight,xlUP,xlDown)의 마지막셀 반환 </t>
    <phoneticPr fontId="16" type="noConversion"/>
  </si>
  <si>
    <t>&gt;&gt;&gt;이동</t>
    <phoneticPr fontId="16" type="noConversion"/>
  </si>
  <si>
    <t>개체.Address                                  '//절대주소 반환</t>
    <phoneticPr fontId="16" type="noConversion"/>
  </si>
  <si>
    <t>개체.Row/Column                            '//범위의 첫번째 행,열 번호 반환</t>
    <phoneticPr fontId="16" type="noConversion"/>
  </si>
  <si>
    <t>&gt;&gt;&gt;주소</t>
    <phoneticPr fontId="16" type="noConversion"/>
  </si>
  <si>
    <t>[중요 Property: 함께 사용 가능]</t>
    <phoneticPr fontId="16" type="noConversion"/>
  </si>
  <si>
    <t xml:space="preserve">Range("표이름").Columns/Rows.Count             '표의 열/행갯수 </t>
    <phoneticPr fontId="16" type="noConversion"/>
  </si>
  <si>
    <t>Range("표이름").Columns/Rows(2)                  '제목행제외한 표의 2번째 열/행</t>
    <phoneticPr fontId="16" type="noConversion"/>
  </si>
  <si>
    <t>Range("표이름[[#Headers],[excel]]").Select    '제목행 중 excel열의 1개셀 선택</t>
    <phoneticPr fontId="16" type="noConversion"/>
  </si>
  <si>
    <t>Range("표이름[#Headers]").Select                  '제목행 영역선택</t>
    <phoneticPr fontId="16" type="noConversion"/>
  </si>
  <si>
    <t>Range("표이름[[#All],[excel]]").Select            'excel열의 제목행포함 선택</t>
    <phoneticPr fontId="16" type="noConversion"/>
  </si>
  <si>
    <t>Range("표이름[excel]").Select                        'excel열의 제목행제외 선택</t>
    <phoneticPr fontId="16" type="noConversion"/>
  </si>
  <si>
    <t>Range("표이름[#All]").Select                           '제목행포함 전체선택</t>
    <phoneticPr fontId="16" type="noConversion"/>
  </si>
  <si>
    <t>Range("표이름").Select                                   '제목행제외 전체선택</t>
    <phoneticPr fontId="16" type="noConversion"/>
  </si>
  <si>
    <t>[이름관리자로 정의된 표를 이용한 영역지정]</t>
  </si>
  <si>
    <t xml:space="preserve">Range("B1:D2").Range("A2")   '개체인 Range의 B1셀부터 D2셀까지 중 속성인 Range 2행1열인 "B2"를 의미  </t>
    <phoneticPr fontId="16" type="noConversion"/>
  </si>
  <si>
    <t xml:space="preserve">Range("4:6")                          '4행부터 6행까지 연속  </t>
    <phoneticPr fontId="16" type="noConversion"/>
  </si>
  <si>
    <t>Range("B:B","D:D")                 'B열과 D열 비연속</t>
    <phoneticPr fontId="16" type="noConversion"/>
  </si>
  <si>
    <t xml:space="preserve">Range("B:D")                         'B열부터 D열까지 연속  </t>
    <phoneticPr fontId="16" type="noConversion"/>
  </si>
  <si>
    <t>Range("B1:D2")                      '연속셀 B1에서 D2까지 선택</t>
    <phoneticPr fontId="16" type="noConversion"/>
  </si>
  <si>
    <t>Range("B1,D2")                      '비연속적 셀인 B1과 D2 선택</t>
    <phoneticPr fontId="16" type="noConversion"/>
  </si>
  <si>
    <t>Range("B1","D2")                    '연속셀 B1에서 D2까지 선택      'Range(Cells(1, 2), Cells(2, 4))  'Range와 Cells를 함께 사용</t>
    <phoneticPr fontId="16" type="noConversion"/>
  </si>
  <si>
    <t>Range("B1")                           '대괄호로 대체가능 [B1]           'Range(Cells(1,2).address)       'Range와 Cells를 함께 사용</t>
    <phoneticPr fontId="16" type="noConversion"/>
  </si>
  <si>
    <t>[Range영역]</t>
    <phoneticPr fontId="16" type="noConversion"/>
  </si>
  <si>
    <t xml:space="preserve">Range("B1:D2").Cells(1,2)   'Range B1셀~D2셀 중 속1행 2열인 "C1"를 의미  </t>
    <phoneticPr fontId="16" type="noConversion"/>
  </si>
  <si>
    <t>Cells(,3)                            '생략되면 1로 판단 C1의미</t>
    <phoneticPr fontId="16" type="noConversion"/>
  </si>
  <si>
    <t>Cells(3)                             '단독사용이면 세번째셀 의미</t>
    <phoneticPr fontId="16" type="noConversion"/>
  </si>
  <si>
    <t>Cells(10000)                       '시작셀부터 10000번째 셀</t>
    <phoneticPr fontId="16" type="noConversion"/>
  </si>
  <si>
    <t>Cells(1,2)                           'B1 의미</t>
    <phoneticPr fontId="16" type="noConversion"/>
  </si>
  <si>
    <t>Cells(행,열)</t>
    <phoneticPr fontId="16" type="noConversion"/>
  </si>
  <si>
    <t>[Cells영역]</t>
    <phoneticPr fontId="16" type="noConversion"/>
  </si>
  <si>
    <t xml:space="preserve">   Set rngDb = Nothing</t>
    <phoneticPr fontId="16" type="noConversion"/>
  </si>
  <si>
    <t>Set 문으로 할당한 개체 해제</t>
    <phoneticPr fontId="16" type="noConversion"/>
  </si>
  <si>
    <t xml:space="preserve">   Set wb = Workbooks("Book1.xls")/wbName.Sheets("Sheet1")/shtWk1.Range("A1:A10")</t>
    <phoneticPr fontId="16" type="noConversion"/>
  </si>
  <si>
    <t xml:space="preserve">   Dim wb As Workbook/WorkSheet/Range</t>
    <phoneticPr fontId="16" type="noConversion"/>
  </si>
  <si>
    <t>Set 문 : 개체(Workbook, Worksheet, Range)를 변수에 할당, 생략불가</t>
    <phoneticPr fontId="16" type="noConversion"/>
  </si>
  <si>
    <t xml:space="preserve">    Activecell.Value = "엑사모"</t>
    <phoneticPr fontId="16" type="noConversion"/>
  </si>
  <si>
    <t>Let 문 : 식의 값을 변수 또는 속성에 지정, 보통 생략</t>
    <phoneticPr fontId="16" type="noConversion"/>
  </si>
  <si>
    <t>[Let문, Set문]</t>
    <phoneticPr fontId="16" type="noConversion"/>
  </si>
  <si>
    <t xml:space="preserve">  mycol.Item("A")               '지정한 키값으로 가져오기</t>
    <phoneticPr fontId="16" type="noConversion"/>
  </si>
  <si>
    <t xml:space="preserve">  mycol.Item(1)                  '1번 인덱스 가져오기</t>
    <phoneticPr fontId="16" type="noConversion"/>
  </si>
  <si>
    <t xml:space="preserve"> *item가져오기</t>
    <phoneticPr fontId="16" type="noConversion"/>
  </si>
  <si>
    <t xml:space="preserve">  mycol.Count            </t>
    <phoneticPr fontId="16" type="noConversion"/>
  </si>
  <si>
    <t xml:space="preserve"> *개수</t>
    <phoneticPr fontId="16" type="noConversion"/>
  </si>
  <si>
    <t xml:space="preserve">  Set mycol=Nothing           'mycol 전체삭제</t>
    <phoneticPr fontId="16" type="noConversion"/>
  </si>
  <si>
    <t xml:space="preserve">  mycol.Remove(3)            '3번 인덱스 삭제 (컬렉션은 인덱스1번 부터 시작)</t>
    <phoneticPr fontId="16" type="noConversion"/>
  </si>
  <si>
    <t xml:space="preserve"> *삭제</t>
    <phoneticPr fontId="16" type="noConversion"/>
  </si>
  <si>
    <t xml:space="preserve">   mycol.add "A", After:=3   '3번 다음에 추가</t>
    <phoneticPr fontId="16" type="noConversion"/>
  </si>
  <si>
    <t xml:space="preserve">   mycol.add "A"               '끝에 추가</t>
    <phoneticPr fontId="16" type="noConversion"/>
  </si>
  <si>
    <t xml:space="preserve">   mycol.add 삽입내용, 키, Before, After</t>
    <phoneticPr fontId="16" type="noConversion"/>
  </si>
  <si>
    <t xml:space="preserve"> *추가</t>
    <phoneticPr fontId="16" type="noConversion"/>
  </si>
  <si>
    <t xml:space="preserve">  Set mycol=New collection</t>
    <phoneticPr fontId="16" type="noConversion"/>
  </si>
  <si>
    <t xml:space="preserve">  Dim mycol as Collection</t>
    <phoneticPr fontId="16" type="noConversion"/>
  </si>
  <si>
    <t xml:space="preserve"> *생성</t>
    <phoneticPr fontId="16" type="noConversion"/>
  </si>
  <si>
    <t>[Collection]: 진화한 배열, 인덱스시작번호1</t>
    <phoneticPr fontId="16" type="noConversion"/>
  </si>
  <si>
    <t xml:space="preserve">   평가=Array("상","중","하")                            </t>
    <phoneticPr fontId="16" type="noConversion"/>
  </si>
  <si>
    <t xml:space="preserve">   Dim 평가 As Variant                               'Array함수를 입력받는 임시변수는 Variant 데이터형으로 선언</t>
    <phoneticPr fontId="16" type="noConversion"/>
  </si>
  <si>
    <t xml:space="preserve">  *Array함수                                             'Array함수는 배열을 반환</t>
    <phoneticPr fontId="16" type="noConversion"/>
  </si>
  <si>
    <t xml:space="preserve">      ReDim [Preserve] 변수명(배열크기)     '동적변수선언 후 ReDim으로 재설정, Preserve를 미사용하면 재선언시 기입력 배열자료 초기화</t>
    <phoneticPr fontId="16" type="noConversion"/>
  </si>
  <si>
    <t>Dim 변수명() [As 데이터형]                       '배열크기 미지정(동적변수), 인덱스 0값부터시작</t>
    <phoneticPr fontId="16" type="noConversion"/>
  </si>
  <si>
    <t>Dim 변수명(하한 To 상한) [As 데이터형]    '배열크기 지정, 인덱스 하한값부터 시작</t>
    <phoneticPr fontId="16" type="noConversion"/>
  </si>
  <si>
    <t>[배열]</t>
    <phoneticPr fontId="16" type="noConversion"/>
  </si>
  <si>
    <t>연결연산자: +, &amp;</t>
    <phoneticPr fontId="16" type="noConversion"/>
  </si>
  <si>
    <t>논리연산자: Not, And, Or, Xor, Eqv, Imp</t>
    <phoneticPr fontId="16" type="noConversion"/>
  </si>
  <si>
    <t>관계연산자: &gt;, &gt;=, =, &lt;&gt;</t>
    <phoneticPr fontId="16" type="noConversion"/>
  </si>
  <si>
    <t>산술연산자: +, -, *, /, ^, \(몫), mod(나머지)</t>
    <phoneticPr fontId="16" type="noConversion"/>
  </si>
  <si>
    <t>대입연산자: =</t>
    <phoneticPr fontId="16" type="noConversion"/>
  </si>
  <si>
    <t>[연산자]</t>
    <phoneticPr fontId="16" type="noConversion"/>
  </si>
  <si>
    <t>Do while/Until  ~ Loop문</t>
    <phoneticPr fontId="16" type="noConversion"/>
  </si>
  <si>
    <t>For Each문: 배열안의 값들을 순차적으로 읽어오는 반복문. 배열안의 임시변수데이터형은 Variant 필수</t>
    <phoneticPr fontId="16" type="noConversion"/>
  </si>
  <si>
    <t>For문: 숫자를 카운팅시키며 반복하는 반복문</t>
    <phoneticPr fontId="16" type="noConversion"/>
  </si>
  <si>
    <t>[반복문]</t>
    <phoneticPr fontId="16" type="noConversion"/>
  </si>
  <si>
    <t xml:space="preserve">     End Select</t>
    <phoneticPr fontId="16" type="noConversion"/>
  </si>
  <si>
    <t xml:space="preserve">        Case Else</t>
    <phoneticPr fontId="16" type="noConversion"/>
  </si>
  <si>
    <t xml:space="preserve">        Case Is 비교연산자값</t>
    <phoneticPr fontId="16" type="noConversion"/>
  </si>
  <si>
    <t xml:space="preserve">        Case 시작값 To 종료값</t>
    <phoneticPr fontId="16" type="noConversion"/>
  </si>
  <si>
    <t xml:space="preserve">        Case 값1, 값2,,,,, 값n</t>
    <phoneticPr fontId="16" type="noConversion"/>
  </si>
  <si>
    <t xml:space="preserve">        Case 값</t>
    <phoneticPr fontId="16" type="noConversion"/>
  </si>
  <si>
    <t xml:space="preserve">    Select Case 비교대상</t>
    <phoneticPr fontId="16" type="noConversion"/>
  </si>
  <si>
    <t>[Select구문]: 값에 따라서</t>
    <phoneticPr fontId="16" type="noConversion"/>
  </si>
  <si>
    <t xml:space="preserve">   End IF</t>
    <phoneticPr fontId="16" type="noConversion"/>
  </si>
  <si>
    <t xml:space="preserve">      Else </t>
    <phoneticPr fontId="16" type="noConversion"/>
  </si>
  <si>
    <t xml:space="preserve">      ElseIF 조건 Then</t>
    <phoneticPr fontId="16" type="noConversion"/>
  </si>
  <si>
    <t xml:space="preserve">      ElseIF 조건 Then</t>
    <phoneticPr fontId="16" type="noConversion"/>
  </si>
  <si>
    <t xml:space="preserve">   IF 조건 Then</t>
    <phoneticPr fontId="16" type="noConversion"/>
  </si>
  <si>
    <t xml:space="preserve">[다중조건 IF구문]: 조건에 따라서 </t>
    <phoneticPr fontId="16" type="noConversion"/>
  </si>
  <si>
    <t>Result=IIF(비교대상&gt;70,"합격","불합격")</t>
    <phoneticPr fontId="16" type="noConversion"/>
  </si>
  <si>
    <t>[한개조건 IIF문]</t>
    <phoneticPr fontId="16" type="noConversion"/>
  </si>
  <si>
    <t>Variant : 모든 자료형을 포함</t>
    <phoneticPr fontId="16" type="noConversion"/>
  </si>
  <si>
    <t>Object : Set을 통해 객체 참조</t>
    <phoneticPr fontId="16" type="noConversion"/>
  </si>
  <si>
    <t>Boolean : True와 False, 0은 False, 그 이외는 True</t>
    <phoneticPr fontId="16" type="noConversion"/>
  </si>
  <si>
    <t>String : 약 65400개의 문자</t>
    <phoneticPr fontId="16" type="noConversion"/>
  </si>
  <si>
    <t>Currency : -9223372036854775808 ~ 9223372036854775807의 수</t>
    <phoneticPr fontId="16" type="noConversion"/>
  </si>
  <si>
    <t>Double : 1.7 * 10^-307 ~ 1.7 * 10^308의 실수</t>
    <phoneticPr fontId="16" type="noConversion"/>
  </si>
  <si>
    <t>Long : -2147483648 ~ 2147483647의 정수</t>
    <phoneticPr fontId="16" type="noConversion"/>
  </si>
  <si>
    <t>Integer : -32768 ~ 32657의 정수</t>
    <phoneticPr fontId="16" type="noConversion"/>
  </si>
  <si>
    <t>Byte : 0~255의 정수</t>
    <phoneticPr fontId="16" type="noConversion"/>
  </si>
  <si>
    <t>[자료형]</t>
    <phoneticPr fontId="16" type="noConversion"/>
  </si>
  <si>
    <t>Const C As String ="SNI"             '프로시저 안/밖에서 모두가능, 밖에서 선언하면 모듈단위/ 안에서 선언하면 프로시저내에서만 값유지</t>
    <phoneticPr fontId="16" type="noConversion"/>
  </si>
  <si>
    <t>Private Const B As String ="SNI"   '프로시저밖, 모듈 공용(값유지) 상수선언=모듈2에서는 값상실</t>
    <phoneticPr fontId="16" type="noConversion"/>
  </si>
  <si>
    <t>Public Const A As String ="SNI"    '프로시저밖, 프로젝트 공용(값유지) 상수선언</t>
    <phoneticPr fontId="16" type="noConversion"/>
  </si>
  <si>
    <t>[상수선언]</t>
    <phoneticPr fontId="16" type="noConversion"/>
  </si>
  <si>
    <t>Static E As Long     '프로시저내에서만 선언가능, 모듈 공용(값유지) 변수선언</t>
    <phoneticPr fontId="16" type="noConversion"/>
  </si>
  <si>
    <t>Dim C As Long       '프로시저 안/밖에서 모두가능, 밖에서 선언하면 모듈단위/ 안에서 선언하면 프로시저내에서만 값유지</t>
    <phoneticPr fontId="16" type="noConversion"/>
  </si>
  <si>
    <t>Private B As Long   '프로시저밖에서만 선언가능, 모듈 공용(값유지) 변수선언=모듈2에서는 값상실</t>
    <phoneticPr fontId="16" type="noConversion"/>
  </si>
  <si>
    <t>Public A As Long    '프로시저밖에서만 선언가능, 프로젝트 공용(값유지) 변수선언</t>
    <phoneticPr fontId="16" type="noConversion"/>
  </si>
  <si>
    <t>[변수선언]</t>
    <phoneticPr fontId="16" type="noConversion"/>
  </si>
  <si>
    <t>F12</t>
    <phoneticPr fontId="2" type="noConversion"/>
  </si>
  <si>
    <t>3. 검색페이지 분석</t>
    <phoneticPr fontId="2" type="noConversion"/>
  </si>
  <si>
    <t>반려동물</t>
    <phoneticPr fontId="2" type="noConversion"/>
  </si>
  <si>
    <t>[맞장토론] "'반려동물 보유세' 도입 검토"…쟁점은?</t>
    <phoneticPr fontId="2" type="noConversion"/>
  </si>
  <si>
    <t>http://news.jtbc.joins.com/article/article.aspx?news_id=NB11931688</t>
    <phoneticPr fontId="2" type="noConversion"/>
  </si>
  <si>
    <t>“우리 아이 겨울에도 건강하개”…반려동물 겨울철 건강관리법은?</t>
    <phoneticPr fontId="2" type="noConversion"/>
  </si>
  <si>
    <t>http://www.fnnews.com/news/202001311030244498</t>
    <phoneticPr fontId="2" type="noConversion"/>
  </si>
  <si>
    <t>&lt;오후여담&gt;전염병과 동물복지</t>
    <phoneticPr fontId="2" type="noConversion"/>
  </si>
  <si>
    <t>http://www.munhwa.com/news/view.html?no=2020013101033811000002</t>
    <phoneticPr fontId="2" type="noConversion"/>
  </si>
  <si>
    <t>WHO 신종 코로나 '오해 바로잡기' "반려동물 전파 증거 없어"</t>
    <phoneticPr fontId="2" type="noConversion"/>
  </si>
  <si>
    <t>http://www.newspim.com/news/view/20200131001023</t>
    <phoneticPr fontId="2" type="noConversion"/>
  </si>
  <si>
    <t>[춘천]반려동물지원센터 춘천 유치 공방 격화</t>
    <phoneticPr fontId="2" type="noConversion"/>
  </si>
  <si>
    <t>http://www.kwnews.co.kr/view.asp?aid=220013000039&amp;s=501</t>
    <phoneticPr fontId="2" type="noConversion"/>
  </si>
  <si>
    <t>"야생동물이 야생에서만 살 수 없는 시대"...인간의 역할은?</t>
    <phoneticPr fontId="2" type="noConversion"/>
  </si>
  <si>
    <t>http://www.greenpostkorea.co.kr/news/articleView.html?idxno=113647</t>
    <phoneticPr fontId="2" type="noConversion"/>
  </si>
  <si>
    <t>반려인들이 원하는 진짜 반려동물 공약은?</t>
    <phoneticPr fontId="2" type="noConversion"/>
  </si>
  <si>
    <t>http://www.ohmynews.com/NWS_Web/View/at_pg.aspx?CNTN_CD=A0002606872&amp;CMPT_CD=P0010&amp;utm_source=naver&amp;utm_medium=newsearch&amp;utm_campaign=naver_news</t>
    <phoneticPr fontId="2" type="noConversion"/>
  </si>
  <si>
    <t>모온, 동물권 단체 카라에 무선청소기 오비큠과 액세서리 세트 기부</t>
    <phoneticPr fontId="2" type="noConversion"/>
  </si>
  <si>
    <t>https://www.seoul.co.kr/news/newsView.php?id=20200131500163&amp;wlog_tag3=naver</t>
    <phoneticPr fontId="2" type="noConversion"/>
  </si>
  <si>
    <t>통영시, 반려동물 정책간담회 개최</t>
    <phoneticPr fontId="2" type="noConversion"/>
  </si>
  <si>
    <t>http://news.cjhello.com/news/newsView.do?soCode=SC30000000&amp;idx=270115</t>
    <phoneticPr fontId="2" type="noConversion"/>
  </si>
  <si>
    <t>화난시장에 화난 中당국···‘야생동물 먹지 말라’ 이번엔 될까</t>
    <phoneticPr fontId="2" type="noConversion"/>
  </si>
  <si>
    <t>https://news.joins.com/article/olink/23286486</t>
    <phoneticPr fontId="2" type="noConversion"/>
  </si>
  <si>
    <t>현재셀에서 데이터가 존재하는 마지막셀까지 확장</t>
    <phoneticPr fontId="2" type="noConversion"/>
  </si>
  <si>
    <t>임의범위선택1</t>
    <phoneticPr fontId="2" type="noConversion"/>
  </si>
  <si>
    <t>보이는셀만 선택</t>
    <phoneticPr fontId="2" type="noConversion"/>
  </si>
  <si>
    <t>표영역 선택</t>
    <phoneticPr fontId="2" type="noConversion"/>
  </si>
  <si>
    <t>Ctrl+a</t>
    <phoneticPr fontId="2" type="noConversion"/>
  </si>
  <si>
    <t>시작셀클릭+(shift+마지막셀클릭)</t>
    <phoneticPr fontId="2" type="noConversion"/>
  </si>
  <si>
    <t>임의범위선택2</t>
    <phoneticPr fontId="2" type="noConversion"/>
  </si>
  <si>
    <t>시작셀클릭+ 이름상자에서 마지막셀주소입력 + (shift + Enter)</t>
    <phoneticPr fontId="2" type="noConversion"/>
  </si>
  <si>
    <t>■ 채우기</t>
    <phoneticPr fontId="2" type="noConversion"/>
  </si>
  <si>
    <t>오류 메시지 -&gt; 0</t>
    <phoneticPr fontId="2" type="noConversion"/>
  </si>
  <si>
    <t>=IFERROR(오류셀,0)</t>
    <phoneticPr fontId="2" type="noConversion"/>
  </si>
  <si>
    <t>선택영역에서 0값을 화면에서 지우기1</t>
    <phoneticPr fontId="2" type="noConversion"/>
  </si>
  <si>
    <t>영역선택&gt;조건부서식&gt;새규칙&gt;수식을사용…&gt;서식지정&gt;수식입력(=A40(ActiveCell)=0)&gt;서식지정&gt;글꼴&gt;색&gt;white지정</t>
    <phoneticPr fontId="2" type="noConversion"/>
  </si>
  <si>
    <t>선택영역에서 0값을 화면에서 지우기2</t>
    <phoneticPr fontId="2" type="noConversion"/>
  </si>
  <si>
    <t>영역선택&gt;사용자서식&gt;표시형식&gt;사용자지정&gt;~~(양수);~~~(음수);(영);~~~(Text)에서 영값표시영역 삭제</t>
    <phoneticPr fontId="2" type="noConversion"/>
  </si>
  <si>
    <t>상위 셀값</t>
    <phoneticPr fontId="2" type="noConversion"/>
  </si>
  <si>
    <t>Alt+↓</t>
    <phoneticPr fontId="2" type="noConversion"/>
  </si>
  <si>
    <t>여러 셀 선택하여 동일한 데이터 입력</t>
    <phoneticPr fontId="2" type="noConversion"/>
  </si>
  <si>
    <t>Ctrl+Enter</t>
    <phoneticPr fontId="2" type="noConversion"/>
  </si>
  <si>
    <t>2. trim 함수</t>
  </si>
  <si>
    <t>3. SUBSTITUTE 함수</t>
  </si>
  <si>
    <t>셀 안에 특정 문자를 반복해서 가득 채워넣기(===========)</t>
    <phoneticPr fontId="2" type="noConversion"/>
  </si>
  <si>
    <t>셀서식&gt;맞춤&gt;가로&gt;채우기</t>
    <phoneticPr fontId="2" type="noConversion"/>
  </si>
  <si>
    <t>나팔</t>
    <phoneticPr fontId="2" type="noConversion"/>
  </si>
  <si>
    <t>장구</t>
    <phoneticPr fontId="2" type="noConversion"/>
  </si>
  <si>
    <t>2. Delete 키를 누릅니다.</t>
    <phoneticPr fontId="2" type="noConversion"/>
  </si>
  <si>
    <t>트럼펫</t>
    <phoneticPr fontId="2" type="noConversion"/>
  </si>
  <si>
    <t>1. 홈&gt;편집&gt;찾기 및 선택&gt;이동&gt;옵션&gt;현재 셀이 있는 배열&gt;확인</t>
    <phoneticPr fontId="2" type="noConversion"/>
  </si>
  <si>
    <t>피아노</t>
    <phoneticPr fontId="2" type="noConversion"/>
  </si>
  <si>
    <t>{배열식} 삭제</t>
    <phoneticPr fontId="2" type="noConversion"/>
  </si>
  <si>
    <t>오르간</t>
    <phoneticPr fontId="2" type="noConversion"/>
  </si>
  <si>
    <t>4천점이상</t>
    <phoneticPr fontId="2" type="noConversion"/>
  </si>
  <si>
    <t>가야금</t>
    <phoneticPr fontId="2" type="noConversion"/>
  </si>
  <si>
    <t>3. [Ctrl] + [Shift] + [Enter]를 누릅니다.</t>
    <phoneticPr fontId="2" type="noConversion"/>
  </si>
  <si>
    <t>3천점대</t>
    <phoneticPr fontId="2" type="noConversion"/>
  </si>
  <si>
    <t>거문고</t>
    <phoneticPr fontId="2" type="noConversion"/>
  </si>
  <si>
    <t>2. =FREQUENCY(C7:C15, F7:F10) 수식 입력</t>
    <phoneticPr fontId="2" type="noConversion"/>
  </si>
  <si>
    <t>2천점대</t>
    <phoneticPr fontId="2" type="noConversion"/>
  </si>
  <si>
    <t>심벌즈</t>
    <phoneticPr fontId="2" type="noConversion"/>
  </si>
  <si>
    <t>1. [G7:G1110] 범위를 선택</t>
    <phoneticPr fontId="2" type="noConversion"/>
  </si>
  <si>
    <t>1천점미만</t>
    <phoneticPr fontId="2" type="noConversion"/>
  </si>
  <si>
    <t>피리</t>
    <phoneticPr fontId="2" type="noConversion"/>
  </si>
  <si>
    <t>{배열식} 입력</t>
    <phoneticPr fontId="2" type="noConversion"/>
  </si>
  <si>
    <t>인원</t>
    <phoneticPr fontId="2" type="noConversion"/>
  </si>
  <si>
    <t>대표값</t>
    <phoneticPr fontId="2" type="noConversion"/>
  </si>
  <si>
    <t>구간</t>
    <phoneticPr fontId="2" type="noConversion"/>
  </si>
  <si>
    <t>score</t>
    <phoneticPr fontId="2" type="noConversion"/>
  </si>
  <si>
    <t>name</t>
    <phoneticPr fontId="2" type="noConversion"/>
  </si>
  <si>
    <t>no</t>
    <phoneticPr fontId="2" type="noConversion"/>
  </si>
  <si>
    <t>[실행]</t>
    <phoneticPr fontId="2" type="noConversion"/>
  </si>
  <si>
    <t>[집계표]</t>
    <phoneticPr fontId="2" type="noConversion"/>
  </si>
  <si>
    <t>[데이터표]</t>
    <phoneticPr fontId="2" type="noConversion"/>
  </si>
  <si>
    <t>배열로 ‘한꺼번에’ 값을 반환합니다.</t>
  </si>
  <si>
    <t>FREQUENCY 함수는 값이 입력되어 있는 범위와 각 구간의 최댓값이 입력되어 있는 범위를 받아</t>
  </si>
  <si>
    <t>FREQUENCY(값이 입력되어 있는 범위, 각 구간의 최댓값이 입력되어 있는 범위)</t>
    <phoneticPr fontId="2" type="noConversion"/>
  </si>
  <si>
    <t>■ FREQUENCY 함수</t>
    <phoneticPr fontId="2" type="noConversion"/>
  </si>
  <si>
    <t>Ctrl+Space</t>
    <phoneticPr fontId="2" type="noConversion"/>
  </si>
  <si>
    <t>선택행열삭제</t>
    <phoneticPr fontId="2" type="noConversion"/>
  </si>
  <si>
    <t>Ctrl+마이너스</t>
    <phoneticPr fontId="2" type="noConversion"/>
  </si>
  <si>
    <t>=IF(OR(LEFT(B6755,1)="A", LEFT(B6755,1)="O"), H6755-I6755, I6755-H6755)</t>
    <phoneticPr fontId="2" type="noConversion"/>
  </si>
  <si>
    <t>■ if() + AND(), OR()</t>
    <phoneticPr fontId="2" type="noConversion"/>
  </si>
  <si>
    <t>■ VBA</t>
    <phoneticPr fontId="2" type="noConversion"/>
  </si>
  <si>
    <t>■ Excel 크롤링</t>
    <phoneticPr fontId="2" type="noConversion"/>
  </si>
  <si>
    <t>■ 날짜를 요일로 변환</t>
    <phoneticPr fontId="2" type="noConversion"/>
  </si>
  <si>
    <t>1. 찾기 및 바꾸기</t>
    <phoneticPr fontId="2" type="noConversion"/>
  </si>
  <si>
    <t xml:space="preserve">   공백 제거할 셀을 모두 선택한 후 "컨트롤 + F"키를 눌러서 "찾기 및 바꾸기" 옵션을 실행하고</t>
    <phoneticPr fontId="2" type="noConversion"/>
  </si>
  <si>
    <t xml:space="preserve">   "바꾸기" 탭을 클릭하고 "찾을 내용"에서 스페이스키를 눌러 빈 칸을 입력하고 "모두 바꾸기"를 실행한다</t>
    <phoneticPr fontId="2" type="noConversion"/>
  </si>
  <si>
    <t xml:space="preserve">   trim 함수는 문장의 양끝과 중간의 1개 이상의 공백을 제거한다</t>
    <phoneticPr fontId="2" type="noConversion"/>
  </si>
  <si>
    <t xml:space="preserve">   =TRIM("     엑셀에서   공란을 제거   ")</t>
    <phoneticPr fontId="2" type="noConversion"/>
  </si>
  <si>
    <t xml:space="preserve">   SUBSTITUTE(원본문자열, 변경할 문자열, 변경될 문자열, [변경할 문자열순서])</t>
    <phoneticPr fontId="2" type="noConversion"/>
  </si>
  <si>
    <t xml:space="preserve">   =SUBSTITUTE("     엑셀에서 공란을 제거   ", " ", "")</t>
    <phoneticPr fontId="2" type="noConversion"/>
  </si>
  <si>
    <t>■ 공백 제거</t>
    <phoneticPr fontId="2" type="noConversion"/>
  </si>
  <si>
    <t>Shift+Space</t>
    <phoneticPr fontId="2" type="noConversion"/>
  </si>
  <si>
    <t>F5(이동)&gt;옵션&gt;화면에보이는셀만</t>
    <phoneticPr fontId="2" type="noConversion"/>
  </si>
  <si>
    <t>행선택</t>
    <phoneticPr fontId="2" type="noConversion"/>
  </si>
  <si>
    <t>열선택</t>
    <phoneticPr fontId="2" type="noConversion"/>
  </si>
  <si>
    <t>■ 선택, 삭제</t>
    <phoneticPr fontId="2" type="noConversion"/>
  </si>
  <si>
    <t>특정증분값으로채우기</t>
    <phoneticPr fontId="2" type="noConversion"/>
  </si>
  <si>
    <t>범위선택&gt;홈&gt;편집그룹&gt;채우기&gt;계열&gt;방향:열&gt;단계값:특정값</t>
    <phoneticPr fontId="2" type="noConversion"/>
  </si>
  <si>
    <t>■ 텍스트, 문자 및 단어의 개수를 세는 수식</t>
    <phoneticPr fontId="2" type="noConversion"/>
  </si>
  <si>
    <t>범위에서 텍스트 문자열의 개수를 세는 수식</t>
  </si>
  <si>
    <t>※ 배열 수식(CTRL+SHIFT+ENTER)으로 입력해야 합니다</t>
  </si>
  <si>
    <t>한 셀에서 단일 문자의 개수를 세는 수식</t>
  </si>
  <si>
    <t>범위에서 단일 문자의 개수를 세는 수식</t>
  </si>
  <si>
    <t>=SUM(LEN(range)-LEN(SUBSTITUTE(range,"text","")))/LEN("text")</t>
    <phoneticPr fontId="2" type="noConversion"/>
  </si>
  <si>
    <t>=LEN(cell_ref)-LEN(SUBSTITUTE(cell_ref,"a",""))</t>
    <phoneticPr fontId="2" type="noConversion"/>
  </si>
  <si>
    <t>=SUM(LEN(range)-LEN(SUBSTITUTE(range,"a","")))</t>
    <phoneticPr fontId="2" type="noConversion"/>
  </si>
  <si>
    <t>■ 고유값 개수 세기</t>
    <phoneticPr fontId="2" type="noConversion"/>
  </si>
  <si>
    <t>' 범위에 빈칸이 있을 경우 #DIV/0! 오류를 반환하므로, 그럴 경우 아래 적어드린 변환 공식을 사용합니다.</t>
  </si>
  <si>
    <t>' 범위에 빈칸이 있고, 빈칸이 고유값에 포함되지 않아야 할 경우 사용합니다.</t>
  </si>
  <si>
    <t>' 예) {김, 김, 이, , 이} ==&gt; 2를 반환합니다.</t>
  </si>
  <si>
    <t>=SUMPRODUCT(1/COUNTIF(범위,범위))</t>
    <phoneticPr fontId="2" type="noConversion"/>
  </si>
  <si>
    <t>=SUMPRODUCT((범위&lt;&gt;"")/COUNTIF(범위,범위&amp;""))</t>
    <phoneticPr fontId="2" type="noConversion"/>
  </si>
  <si>
    <t>범위에 빈칸이 있고 빈칸을 고유값 개수에서 제외하고 싶을 경우</t>
    <phoneticPr fontId="2" type="noConversion"/>
  </si>
  <si>
    <t>1. Alt + F11 을 눌러 VBE 실행한다. </t>
  </si>
  <si>
    <t>2. Ctrl + G 를 눌러 직접실행 창을 띄운다. </t>
  </si>
  <si>
    <t>3. 다음을 입력하고 엔터를 누른다 </t>
  </si>
  <si>
    <t>[찐해결]</t>
  </si>
  <si>
    <t>유령셀을 [데이터 &gt; 텍스트 나누기 &gt; 구분기호로분리됨 &gt; 마침] 을 진행하면 진짜 빈칸이 됨</t>
  </si>
  <si>
    <t>■ 유령 문자 제거</t>
    <phoneticPr fontId="2" type="noConversion"/>
  </si>
  <si>
    <t xml:space="preserve">   Cells.Replace ChrW(13), "" -&gt; 음표 문자 제거</t>
    <phoneticPr fontId="2" type="noConversion"/>
  </si>
  <si>
    <t xml:space="preserve">   Cells.Replace ChrW(10), "" -&gt; 개행 문자 제거</t>
    <phoneticPr fontId="2" type="noConversion"/>
  </si>
  <si>
    <t xml:space="preserve">   Cells.Replace ChrW(160), "" -&gt; 유령 문자 제거</t>
    <phoneticPr fontId="2" type="noConversion"/>
  </si>
  <si>
    <t xml:space="preserve">   Cells.Replace ChrW(9), "" -&gt; 가로탭 문자 제거</t>
    <phoneticPr fontId="2" type="noConversion"/>
  </si>
  <si>
    <t xml:space="preserve">   Cells.Replace ChrW(13), "" -&gt; 캐리지리턴 문자 제거</t>
    <phoneticPr fontId="2" type="noConversion"/>
  </si>
  <si>
    <t>연속된 셀을 지정하여 동일값으로 채우기</t>
    <phoneticPr fontId="2" type="noConversion"/>
  </si>
  <si>
    <t>Shift+화살표(선택) &gt; Ctrl+D(세로복사), Ctrl+R(가로복사)</t>
    <phoneticPr fontId="2" type="noConversion"/>
  </si>
  <si>
    <t>■ 부분일치 검색(와일드카드)</t>
    <phoneticPr fontId="2" type="noConversion"/>
  </si>
  <si>
    <t>와일드카드는 COUNTIF함수, SUMIF함수, VLOOKUP함수 등의 통계함수 및 참조함수의 조건문으로 사용할 수 있음</t>
    <phoneticPr fontId="2" type="noConversion"/>
  </si>
  <si>
    <t> *  : 개수에 상관없는 문자열을 대체</t>
    <phoneticPr fontId="2" type="noConversion"/>
  </si>
  <si>
    <t> ?  : 1개의 문자열을 대체</t>
    <phoneticPr fontId="2" type="noConversion"/>
  </si>
  <si>
    <t> ~ : 물결표 뒤에 와일드카드를 사용하면 와일드카드 문자 원형으로 검색</t>
    <phoneticPr fontId="2" type="noConversion"/>
  </si>
  <si>
    <t>■ 날짜사이의 일,월,년 계산</t>
    <phoneticPr fontId="2" type="noConversion"/>
  </si>
  <si>
    <t>일</t>
    <phoneticPr fontId="2" type="noConversion"/>
  </si>
  <si>
    <t>월</t>
    <phoneticPr fontId="2" type="noConversion"/>
  </si>
  <si>
    <t>년</t>
    <phoneticPr fontId="2" type="noConversion"/>
  </si>
  <si>
    <t>https://brunch.co.kr/@billiekorea/95</t>
    <phoneticPr fontId="2" type="noConversion"/>
  </si>
  <si>
    <t>https://blog.thinking-reed.co.kr/entry/%EC%97%91%EC%85%80-%EC%8B%9C%ED%8A%B8%EB%B3%B4%ED%98%B8-%ED%95%B4%EC%A0%9C%EB%B0%A9%EB%B2%95-%EC%95%94%ED%98%B8-%EB%B6%84%EC%8B%A4-%EC%8B%9C</t>
    <phoneticPr fontId="2" type="noConversion"/>
  </si>
  <si>
    <t>■ 파일보호</t>
    <phoneticPr fontId="2" type="noConversion"/>
  </si>
  <si>
    <t>파일&gt;다른이름으로저장&gt;도구&gt;일반옵션&gt;열기|쓰기암호&gt;확인</t>
    <phoneticPr fontId="2" type="noConversion"/>
  </si>
  <si>
    <t>■ 특정셀보호</t>
    <phoneticPr fontId="2" type="noConversion"/>
  </si>
  <si>
    <t>1. 셀모두선택&gt;셀서식&gt;보호&gt;잠김체크해제&gt;확인</t>
    <phoneticPr fontId="2" type="noConversion"/>
  </si>
  <si>
    <t>3. 검토&gt;시트보호&gt;암호&gt;확인</t>
    <phoneticPr fontId="2" type="noConversion"/>
  </si>
  <si>
    <t>■ 특정셀만입력</t>
    <phoneticPr fontId="2" type="noConversion"/>
  </si>
  <si>
    <t>2. 홈&gt;서식&gt;시트보호&gt;잠기지않은셀선택체크&gt;확인</t>
    <phoneticPr fontId="2" type="noConversion"/>
  </si>
  <si>
    <t>■ 수식보호</t>
    <phoneticPr fontId="2" type="noConversion"/>
  </si>
  <si>
    <t>1. 수식셀영역선택(F5이동옵션&gt;수식&gt;확인)</t>
    <phoneticPr fontId="2" type="noConversion"/>
  </si>
  <si>
    <t>2. 셀서식&gt;보호탭&gt;숨김체크(ctr+1)</t>
    <phoneticPr fontId="2" type="noConversion"/>
  </si>
  <si>
    <t>2. 보호할셀선택&gt;셀서식&gt;보호탭&gt;잠김체크&gt;확인</t>
    <phoneticPr fontId="2" type="noConversion"/>
  </si>
  <si>
    <t>1. 특정셀선택&gt;서식&gt;보호탭&gt;셀잠금선택해제</t>
    <phoneticPr fontId="2" type="noConversion"/>
  </si>
  <si>
    <t>3. 검토&gt;시트보호</t>
    <phoneticPr fontId="2" type="noConversion"/>
  </si>
  <si>
    <t>■ 시트이름보호</t>
    <phoneticPr fontId="2" type="noConversion"/>
  </si>
  <si>
    <t>검토&gt;통합문서보호&gt;구조체크&gt;암호설정&gt;확인</t>
    <phoneticPr fontId="2" type="noConversion"/>
  </si>
  <si>
    <t>■ 시트숨기기</t>
    <phoneticPr fontId="2" type="noConversion"/>
  </si>
  <si>
    <t>1안)시트선택&gt;숨기기</t>
    <phoneticPr fontId="2" type="noConversion"/>
  </si>
  <si>
    <t>2안)시트선택&gt;코드보기&gt;시트명선택&gt;속성&gt;visible&gt;2xlsheetVeryHidden선택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</si>
</sst>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6" formatCode="&quot;₩&quot;#,##0;[Red]\-&quot;₩&quot;#,##0"/>
    <numFmt numFmtId="41" formatCode="_-* #,##0_-;\-* #,##0_-;_-* &quot;-&quot;_-;_-@_-"/>
    <numFmt numFmtId="176" formatCode="m&quot;월&quot;\ d&quot;일&quot;"/>
    <numFmt numFmtId="177" formatCode="General&quot;일&quot;"/>
    <numFmt numFmtId="178" formatCode="aaa"/>
    <numFmt numFmtId="179" formatCode="d"/>
    <numFmt numFmtId="180" formatCode="0.0%"/>
    <numFmt numFmtId="181" formatCode="#,##0.0"/>
    <numFmt numFmtId="182" formatCode="0&quot;년&quot;"/>
    <numFmt numFmtId="183" formatCode="0&quot;분&quot;"/>
    <numFmt numFmtId="184" formatCode="#,##0.0_ "/>
    <numFmt numFmtId="185" formatCode="mm&quot;월&quot;\ dd&quot;일&quot;"/>
    <numFmt numFmtId="186" formatCode="#&quot;월&quot;"/>
    <numFmt numFmtId="187" formatCode="000000\-0000000"/>
    <numFmt numFmtId="188" formatCode="####,,,&quot;**-*******&quot;"/>
    <numFmt numFmtId="189" formatCode="000000\-0******"/>
    <numFmt numFmtId="190" formatCode="[$-409]d&quot;-&quot;mmm&quot;-&quot;yy;@"/>
  </numFmts>
  <fonts count="1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theme="1"/>
      <name val="돋움체"/>
      <family val="2"/>
      <charset val="129"/>
    </font>
    <font>
      <sz val="10"/>
      <color rgb="FF000000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color rgb="FF363636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4"/>
      </left>
      <right style="thick">
        <color theme="4"/>
      </right>
      <top style="thick">
        <color theme="4"/>
      </top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medium">
        <color rgb="FFFF0000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theme="4" tint="-0.249977111117893"/>
      </right>
      <top style="medium">
        <color theme="4" tint="-0.249977111117893"/>
      </top>
      <bottom style="medium">
        <color theme="4" tint="-0.249977111117893"/>
      </bottom>
      <diagonal/>
    </border>
    <border>
      <left style="thin">
        <color indexed="64"/>
      </left>
      <right style="thin">
        <color indexed="64"/>
      </right>
      <top style="medium">
        <color theme="4" tint="-0.249977111117893"/>
      </top>
      <bottom style="medium">
        <color theme="4" tint="-0.249977111117893"/>
      </bottom>
      <diagonal/>
    </border>
    <border>
      <left style="medium">
        <color theme="4" tint="-0.249977111117893"/>
      </left>
      <right style="thin">
        <color indexed="64"/>
      </right>
      <top style="medium">
        <color theme="4" tint="-0.249977111117893"/>
      </top>
      <bottom style="medium">
        <color theme="4" tint="-0.24997711111789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BFBFBF"/>
      </right>
      <top/>
      <bottom style="thin">
        <color rgb="FFBFBFBF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3" fillId="0" borderId="0" xfId="3">
      <alignment vertical="center"/>
    </xf>
    <xf numFmtId="0" fontId="0" fillId="0" borderId="0" xfId="0" quotePrefix="1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4" fillId="2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7" fontId="6" fillId="0" borderId="0" xfId="0" applyNumberFormat="1" applyFont="1" applyAlignment="1">
      <alignment horizontal="center" vertical="center"/>
    </xf>
    <xf numFmtId="0" fontId="6" fillId="0" borderId="0" xfId="0" applyFont="1" applyFill="1">
      <alignment vertical="center"/>
    </xf>
    <xf numFmtId="178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8" fontId="6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41" fontId="6" fillId="0" borderId="1" xfId="1" applyFont="1" applyBorder="1">
      <alignment vertical="center"/>
    </xf>
    <xf numFmtId="41" fontId="6" fillId="0" borderId="2" xfId="1" applyFont="1" applyBorder="1">
      <alignment vertical="center"/>
    </xf>
    <xf numFmtId="180" fontId="6" fillId="5" borderId="3" xfId="2" applyNumberFormat="1" applyFont="1" applyFill="1" applyBorder="1">
      <alignment vertical="center"/>
    </xf>
    <xf numFmtId="41" fontId="6" fillId="0" borderId="1" xfId="1" applyFont="1" applyFill="1" applyBorder="1">
      <alignment vertical="center"/>
    </xf>
    <xf numFmtId="41" fontId="6" fillId="5" borderId="3" xfId="1" applyFont="1" applyFill="1" applyBorder="1">
      <alignment vertical="center"/>
    </xf>
    <xf numFmtId="41" fontId="6" fillId="0" borderId="4" xfId="1" applyFont="1" applyBorder="1">
      <alignment vertical="center"/>
    </xf>
    <xf numFmtId="41" fontId="6" fillId="0" borderId="5" xfId="1" applyFont="1" applyBorder="1">
      <alignment vertical="center"/>
    </xf>
    <xf numFmtId="180" fontId="6" fillId="5" borderId="6" xfId="2" applyNumberFormat="1" applyFont="1" applyFill="1" applyBorder="1">
      <alignment vertical="center"/>
    </xf>
    <xf numFmtId="41" fontId="6" fillId="0" borderId="4" xfId="1" applyFont="1" applyFill="1" applyBorder="1">
      <alignment vertical="center"/>
    </xf>
    <xf numFmtId="41" fontId="6" fillId="5" borderId="6" xfId="1" applyFont="1" applyFill="1" applyBorder="1">
      <alignment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6" fontId="9" fillId="3" borderId="9" xfId="0" applyNumberFormat="1" applyFont="1" applyFill="1" applyBorder="1">
      <alignment vertical="center"/>
    </xf>
    <xf numFmtId="41" fontId="6" fillId="3" borderId="7" xfId="1" applyFont="1" applyFill="1" applyBorder="1">
      <alignment vertical="center"/>
    </xf>
    <xf numFmtId="0" fontId="6" fillId="0" borderId="9" xfId="0" applyFont="1" applyBorder="1">
      <alignment vertical="center"/>
    </xf>
    <xf numFmtId="6" fontId="6" fillId="3" borderId="5" xfId="1" applyNumberFormat="1" applyFont="1" applyFill="1" applyBorder="1">
      <alignment vertical="center"/>
    </xf>
    <xf numFmtId="0" fontId="6" fillId="0" borderId="5" xfId="0" applyFont="1" applyFill="1" applyBorder="1">
      <alignment vertical="center"/>
    </xf>
    <xf numFmtId="0" fontId="6" fillId="4" borderId="5" xfId="0" applyFont="1" applyFill="1" applyBorder="1">
      <alignment vertical="center"/>
    </xf>
    <xf numFmtId="180" fontId="6" fillId="5" borderId="5" xfId="2" applyNumberFormat="1" applyFont="1" applyFill="1" applyBorder="1">
      <alignment vertical="center"/>
    </xf>
    <xf numFmtId="180" fontId="6" fillId="0" borderId="5" xfId="2" applyNumberFormat="1" applyFont="1" applyFill="1" applyBorder="1">
      <alignment vertical="center"/>
    </xf>
    <xf numFmtId="41" fontId="6" fillId="0" borderId="5" xfId="1" applyFont="1" applyFill="1" applyBorder="1">
      <alignment vertical="center"/>
    </xf>
    <xf numFmtId="41" fontId="6" fillId="5" borderId="5" xfId="1" applyFont="1" applyFill="1" applyBorder="1">
      <alignment vertical="center"/>
    </xf>
    <xf numFmtId="181" fontId="6" fillId="0" borderId="5" xfId="4" applyNumberFormat="1" applyFont="1" applyFill="1" applyBorder="1" applyAlignment="1">
      <alignment horizontal="center" vertical="center"/>
    </xf>
    <xf numFmtId="182" fontId="6" fillId="0" borderId="5" xfId="4" applyNumberFormat="1" applyFont="1" applyFill="1" applyBorder="1" applyAlignment="1">
      <alignment horizontal="center" vertical="center"/>
    </xf>
    <xf numFmtId="181" fontId="7" fillId="0" borderId="5" xfId="4" applyNumberFormat="1" applyFont="1" applyFill="1" applyBorder="1" applyAlignment="1">
      <alignment horizontal="center" vertical="center"/>
    </xf>
    <xf numFmtId="182" fontId="7" fillId="0" borderId="5" xfId="4" applyNumberFormat="1" applyFont="1" applyFill="1" applyBorder="1" applyAlignment="1">
      <alignment horizontal="center" vertical="center"/>
    </xf>
    <xf numFmtId="183" fontId="6" fillId="5" borderId="5" xfId="4" quotePrefix="1" applyNumberFormat="1" applyFont="1" applyFill="1" applyBorder="1" applyAlignment="1">
      <alignment horizontal="center" vertical="center"/>
    </xf>
    <xf numFmtId="182" fontId="6" fillId="5" borderId="5" xfId="4" applyNumberFormat="1" applyFont="1" applyFill="1" applyBorder="1" applyAlignment="1">
      <alignment horizontal="center" vertical="center"/>
    </xf>
    <xf numFmtId="181" fontId="6" fillId="0" borderId="5" xfId="4" applyNumberFormat="1" applyFont="1" applyBorder="1" applyAlignment="1">
      <alignment horizontal="center" vertical="center"/>
    </xf>
    <xf numFmtId="181" fontId="6" fillId="0" borderId="10" xfId="4" applyNumberFormat="1" applyFont="1" applyBorder="1" applyAlignment="1">
      <alignment horizontal="center" vertical="center"/>
    </xf>
    <xf numFmtId="182" fontId="6" fillId="0" borderId="10" xfId="4" applyNumberFormat="1" applyFont="1" applyFill="1" applyBorder="1" applyAlignment="1">
      <alignment horizontal="center" vertical="center"/>
    </xf>
    <xf numFmtId="181" fontId="6" fillId="0" borderId="11" xfId="4" applyNumberFormat="1" applyFont="1" applyBorder="1" applyAlignment="1">
      <alignment horizontal="center" vertical="center"/>
    </xf>
    <xf numFmtId="181" fontId="7" fillId="0" borderId="12" xfId="4" applyNumberFormat="1" applyFont="1" applyBorder="1" applyAlignment="1">
      <alignment horizontal="center" vertical="center"/>
    </xf>
    <xf numFmtId="182" fontId="7" fillId="0" borderId="13" xfId="4" applyNumberFormat="1" applyFont="1" applyFill="1" applyBorder="1" applyAlignment="1">
      <alignment horizontal="center" vertical="center"/>
    </xf>
    <xf numFmtId="181" fontId="6" fillId="0" borderId="14" xfId="4" applyNumberFormat="1" applyFont="1" applyBorder="1" applyAlignment="1">
      <alignment horizontal="center" vertical="center"/>
    </xf>
    <xf numFmtId="181" fontId="6" fillId="0" borderId="15" xfId="4" applyNumberFormat="1" applyFont="1" applyBorder="1" applyAlignment="1">
      <alignment horizontal="center" vertical="center"/>
    </xf>
    <xf numFmtId="182" fontId="6" fillId="0" borderId="16" xfId="4" applyNumberFormat="1" applyFont="1" applyFill="1" applyBorder="1" applyAlignment="1">
      <alignment horizontal="center" vertical="center"/>
    </xf>
    <xf numFmtId="183" fontId="6" fillId="5" borderId="5" xfId="4" applyNumberFormat="1" applyFont="1" applyFill="1" applyBorder="1" applyAlignment="1">
      <alignment horizontal="center" vertical="center"/>
    </xf>
    <xf numFmtId="183" fontId="7" fillId="5" borderId="17" xfId="4" applyNumberFormat="1" applyFont="1" applyFill="1" applyBorder="1" applyAlignment="1">
      <alignment horizontal="center" vertical="center"/>
    </xf>
    <xf numFmtId="183" fontId="6" fillId="5" borderId="18" xfId="4" applyNumberFormat="1" applyFont="1" applyFill="1" applyBorder="1" applyAlignment="1">
      <alignment horizontal="center" vertical="center"/>
    </xf>
    <xf numFmtId="0" fontId="6" fillId="0" borderId="0" xfId="4" applyFont="1">
      <alignment vertical="center"/>
    </xf>
    <xf numFmtId="184" fontId="6" fillId="0" borderId="1" xfId="4" applyNumberFormat="1" applyFont="1" applyFill="1" applyBorder="1" applyAlignment="1">
      <alignment horizontal="right" vertical="center"/>
    </xf>
    <xf numFmtId="184" fontId="6" fillId="0" borderId="2" xfId="4" applyNumberFormat="1" applyFont="1" applyFill="1" applyBorder="1" applyAlignment="1">
      <alignment horizontal="right" vertical="center"/>
    </xf>
    <xf numFmtId="184" fontId="6" fillId="0" borderId="19" xfId="4" applyNumberFormat="1" applyFont="1" applyFill="1" applyBorder="1" applyAlignment="1">
      <alignment horizontal="right" vertical="center"/>
    </xf>
    <xf numFmtId="183" fontId="7" fillId="0" borderId="20" xfId="4" applyNumberFormat="1" applyFont="1" applyBorder="1" applyAlignment="1">
      <alignment horizontal="right" vertical="center"/>
    </xf>
    <xf numFmtId="184" fontId="6" fillId="0" borderId="4" xfId="4" applyNumberFormat="1" applyFont="1" applyFill="1" applyBorder="1" applyAlignment="1">
      <alignment horizontal="right" vertical="center"/>
    </xf>
    <xf numFmtId="184" fontId="6" fillId="0" borderId="5" xfId="4" applyNumberFormat="1" applyFont="1" applyFill="1" applyBorder="1" applyAlignment="1">
      <alignment horizontal="right" vertical="center"/>
    </xf>
    <xf numFmtId="184" fontId="6" fillId="0" borderId="21" xfId="4" applyNumberFormat="1" applyFont="1" applyFill="1" applyBorder="1" applyAlignment="1">
      <alignment horizontal="right" vertical="center"/>
    </xf>
    <xf numFmtId="183" fontId="7" fillId="0" borderId="22" xfId="4" applyNumberFormat="1" applyFont="1" applyBorder="1" applyAlignment="1">
      <alignment horizontal="right" vertical="center"/>
    </xf>
    <xf numFmtId="184" fontId="6" fillId="0" borderId="23" xfId="4" applyNumberFormat="1" applyFont="1" applyFill="1" applyBorder="1" applyAlignment="1">
      <alignment horizontal="right" vertical="center"/>
    </xf>
    <xf numFmtId="184" fontId="6" fillId="0" borderId="10" xfId="4" applyNumberFormat="1" applyFont="1" applyFill="1" applyBorder="1" applyAlignment="1">
      <alignment horizontal="right" vertical="center"/>
    </xf>
    <xf numFmtId="184" fontId="6" fillId="0" borderId="15" xfId="4" applyNumberFormat="1" applyFont="1" applyFill="1" applyBorder="1" applyAlignment="1">
      <alignment horizontal="right" vertical="center"/>
    </xf>
    <xf numFmtId="183" fontId="7" fillId="0" borderId="24" xfId="4" applyNumberFormat="1" applyFont="1" applyBorder="1" applyAlignment="1">
      <alignment horizontal="right" vertical="center"/>
    </xf>
    <xf numFmtId="182" fontId="7" fillId="5" borderId="25" xfId="4" applyNumberFormat="1" applyFont="1" applyFill="1" applyBorder="1" applyAlignment="1">
      <alignment horizontal="center" vertical="center"/>
    </xf>
    <xf numFmtId="182" fontId="7" fillId="5" borderId="26" xfId="4" applyNumberFormat="1" applyFont="1" applyFill="1" applyBorder="1" applyAlignment="1">
      <alignment horizontal="center" vertical="center"/>
    </xf>
    <xf numFmtId="182" fontId="7" fillId="5" borderId="27" xfId="4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11" fillId="0" borderId="0" xfId="0" applyFont="1">
      <alignment vertical="center"/>
    </xf>
    <xf numFmtId="41" fontId="6" fillId="0" borderId="1" xfId="0" applyNumberFormat="1" applyFont="1" applyBorder="1">
      <alignment vertical="center"/>
    </xf>
    <xf numFmtId="41" fontId="6" fillId="0" borderId="2" xfId="0" applyNumberFormat="1" applyFont="1" applyBorder="1">
      <alignment vertical="center"/>
    </xf>
    <xf numFmtId="41" fontId="6" fillId="0" borderId="4" xfId="0" applyNumberFormat="1" applyFont="1" applyBorder="1">
      <alignment vertical="center"/>
    </xf>
    <xf numFmtId="0" fontId="6" fillId="0" borderId="5" xfId="0" applyFont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186" fontId="6" fillId="5" borderId="8" xfId="0" applyNumberFormat="1" applyFont="1" applyFill="1" applyBorder="1" applyAlignment="1">
      <alignment horizontal="center" vertical="center"/>
    </xf>
    <xf numFmtId="41" fontId="6" fillId="0" borderId="0" xfId="0" applyNumberFormat="1" applyFont="1">
      <alignment vertical="center"/>
    </xf>
    <xf numFmtId="0" fontId="6" fillId="0" borderId="0" xfId="0" applyNumberFormat="1" applyFont="1">
      <alignment vertical="center"/>
    </xf>
    <xf numFmtId="41" fontId="6" fillId="0" borderId="5" xfId="1" applyFont="1" applyBorder="1" applyAlignment="1">
      <alignment horizontal="center" vertical="center"/>
    </xf>
    <xf numFmtId="185" fontId="6" fillId="0" borderId="5" xfId="0" applyNumberFormat="1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185" fontId="6" fillId="0" borderId="0" xfId="0" applyNumberFormat="1" applyFont="1">
      <alignment vertical="center"/>
    </xf>
    <xf numFmtId="0" fontId="6" fillId="0" borderId="0" xfId="0" pivotButton="1" applyFont="1">
      <alignment vertical="center"/>
    </xf>
    <xf numFmtId="0" fontId="6" fillId="5" borderId="5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12" fillId="0" borderId="0" xfId="0" applyFont="1">
      <alignment vertical="center"/>
    </xf>
    <xf numFmtId="41" fontId="9" fillId="0" borderId="0" xfId="0" applyNumberFormat="1" applyFont="1" applyAlignment="1">
      <alignment vertical="center"/>
    </xf>
    <xf numFmtId="41" fontId="9" fillId="0" borderId="31" xfId="0" applyNumberFormat="1" applyFont="1" applyBorder="1" applyAlignment="1">
      <alignment horizontal="center" vertical="center" wrapText="1"/>
    </xf>
    <xf numFmtId="0" fontId="6" fillId="0" borderId="0" xfId="0" applyFont="1" applyAlignment="1"/>
    <xf numFmtId="49" fontId="15" fillId="0" borderId="0" xfId="0" applyNumberFormat="1" applyFont="1" applyAlignment="1"/>
    <xf numFmtId="49" fontId="6" fillId="0" borderId="0" xfId="0" applyNumberFormat="1" applyFont="1" applyAlignment="1">
      <alignment horizontal="left" wrapText="1" indent="1"/>
    </xf>
    <xf numFmtId="49" fontId="6" fillId="0" borderId="0" xfId="0" applyNumberFormat="1" applyFont="1" applyAlignment="1">
      <alignment horizontal="left" indent="1"/>
    </xf>
    <xf numFmtId="49" fontId="6" fillId="0" borderId="0" xfId="0" applyNumberFormat="1" applyFont="1" applyFill="1" applyAlignment="1">
      <alignment horizontal="left" indent="1"/>
    </xf>
    <xf numFmtId="49" fontId="6" fillId="0" borderId="0" xfId="0" applyNumberFormat="1" applyFont="1" applyFill="1" applyAlignment="1"/>
    <xf numFmtId="49" fontId="6" fillId="0" borderId="0" xfId="0" quotePrefix="1" applyNumberFormat="1" applyFont="1" applyAlignment="1"/>
    <xf numFmtId="0" fontId="0" fillId="0" borderId="0" xfId="0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4" fillId="0" borderId="0" xfId="0" applyFont="1" applyFill="1">
      <alignment vertical="center"/>
    </xf>
    <xf numFmtId="0" fontId="4" fillId="0" borderId="0" xfId="0" applyFont="1" applyFill="1" applyAlignment="1">
      <alignment horizontal="left" vertical="center"/>
    </xf>
    <xf numFmtId="41" fontId="9" fillId="0" borderId="0" xfId="0" applyNumberFormat="1" applyFont="1" applyFill="1" applyAlignment="1">
      <alignment vertical="center"/>
    </xf>
    <xf numFmtId="0" fontId="13" fillId="0" borderId="31" xfId="0" applyNumberFormat="1" applyFont="1" applyBorder="1" applyAlignment="1">
      <alignment vertical="center" wrapText="1"/>
    </xf>
    <xf numFmtId="0" fontId="9" fillId="0" borderId="0" xfId="0" applyFont="1" applyAlignment="1">
      <alignment vertical="center"/>
    </xf>
    <xf numFmtId="0" fontId="9" fillId="0" borderId="0" xfId="0" applyNumberFormat="1" applyFont="1" applyAlignment="1">
      <alignment vertical="center"/>
    </xf>
    <xf numFmtId="0" fontId="9" fillId="0" borderId="31" xfId="0" applyNumberFormat="1" applyFont="1" applyBorder="1" applyAlignment="1">
      <alignment vertical="center" wrapText="1"/>
    </xf>
    <xf numFmtId="0" fontId="9" fillId="0" borderId="0" xfId="0" applyNumberFormat="1" applyFont="1" applyAlignment="1">
      <alignment horizontal="left" vertical="center"/>
    </xf>
    <xf numFmtId="0" fontId="14" fillId="0" borderId="0" xfId="0" applyFont="1" applyAlignment="1">
      <alignment vertical="center" wrapText="1"/>
    </xf>
    <xf numFmtId="0" fontId="9" fillId="0" borderId="0" xfId="0" applyNumberFormat="1" applyFont="1" applyBorder="1" applyAlignment="1">
      <alignment vertical="center" wrapText="1"/>
    </xf>
    <xf numFmtId="0" fontId="9" fillId="0" borderId="0" xfId="0" quotePrefix="1" applyFont="1" applyFill="1" applyAlignment="1">
      <alignment vertical="center"/>
    </xf>
    <xf numFmtId="0" fontId="9" fillId="0" borderId="0" xfId="0" applyFont="1" applyFill="1" applyAlignment="1">
      <alignment vertical="center"/>
    </xf>
    <xf numFmtId="0" fontId="9" fillId="0" borderId="0" xfId="0" applyNumberFormat="1" applyFont="1" applyFill="1" applyAlignment="1">
      <alignment vertical="center"/>
    </xf>
    <xf numFmtId="0" fontId="9" fillId="0" borderId="0" xfId="0" quotePrefix="1" applyFont="1" applyFill="1" applyAlignment="1">
      <alignment horizontal="left" vertical="center"/>
    </xf>
    <xf numFmtId="0" fontId="9" fillId="0" borderId="31" xfId="0" applyFont="1" applyBorder="1" applyAlignment="1">
      <alignment horizontal="left" vertical="center" wrapText="1"/>
    </xf>
    <xf numFmtId="0" fontId="9" fillId="0" borderId="31" xfId="0" applyFont="1" applyBorder="1" applyAlignment="1">
      <alignment horizontal="center" vertical="center" wrapText="1"/>
    </xf>
    <xf numFmtId="0" fontId="9" fillId="0" borderId="31" xfId="0" applyFont="1" applyFill="1" applyBorder="1" applyAlignment="1">
      <alignment horizontal="left" vertical="center" wrapText="1"/>
    </xf>
    <xf numFmtId="188" fontId="9" fillId="0" borderId="0" xfId="0" applyNumberFormat="1" applyFont="1" applyAlignment="1">
      <alignment vertical="center"/>
    </xf>
    <xf numFmtId="187" fontId="9" fillId="0" borderId="0" xfId="1" applyNumberFormat="1" applyFont="1" applyAlignment="1">
      <alignment vertical="center"/>
    </xf>
    <xf numFmtId="14" fontId="9" fillId="0" borderId="31" xfId="0" applyNumberFormat="1" applyFont="1" applyBorder="1" applyAlignment="1">
      <alignment horizontal="left" vertical="center" wrapText="1"/>
    </xf>
    <xf numFmtId="41" fontId="0" fillId="0" borderId="5" xfId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Fill="1" applyBorder="1" applyAlignment="1">
      <alignment horizontal="left" vertical="center"/>
    </xf>
    <xf numFmtId="0" fontId="0" fillId="6" borderId="5" xfId="0" applyFill="1" applyBorder="1" applyAlignment="1">
      <alignment horizontal="center" vertical="center"/>
    </xf>
    <xf numFmtId="0" fontId="6" fillId="0" borderId="0" xfId="0" quotePrefix="1" applyFont="1" applyAlignment="1">
      <alignment horizontal="left" vertical="center"/>
    </xf>
    <xf numFmtId="0" fontId="0" fillId="0" borderId="0" xfId="0" applyBorder="1">
      <alignment vertical="center"/>
    </xf>
    <xf numFmtId="189" fontId="9" fillId="0" borderId="0" xfId="0" quotePrefix="1" applyNumberFormat="1" applyFont="1" applyAlignment="1">
      <alignment vertical="center"/>
    </xf>
    <xf numFmtId="0" fontId="9" fillId="0" borderId="0" xfId="0" quotePrefix="1" applyNumberFormat="1" applyFont="1" applyAlignment="1">
      <alignment vertical="center"/>
    </xf>
    <xf numFmtId="0" fontId="9" fillId="0" borderId="0" xfId="0" applyNumberFormat="1" applyFont="1" applyBorder="1" applyAlignment="1">
      <alignment vertical="center"/>
    </xf>
    <xf numFmtId="190" fontId="9" fillId="0" borderId="0" xfId="0" applyNumberFormat="1" applyFont="1" applyFill="1" applyBorder="1" applyAlignment="1">
      <alignment horizontal="right" vertical="center"/>
    </xf>
    <xf numFmtId="0" fontId="9" fillId="0" borderId="0" xfId="0" applyFont="1" applyBorder="1" applyAlignment="1">
      <alignment vertical="center"/>
    </xf>
    <xf numFmtId="0" fontId="6" fillId="5" borderId="5" xfId="4" applyFont="1" applyFill="1" applyBorder="1" applyAlignment="1">
      <alignment horizontal="center" vertical="center" wrapText="1"/>
    </xf>
    <xf numFmtId="0" fontId="6" fillId="5" borderId="28" xfId="4" applyFont="1" applyFill="1" applyBorder="1" applyAlignment="1">
      <alignment horizontal="center" vertical="center"/>
    </xf>
    <xf numFmtId="0" fontId="6" fillId="5" borderId="30" xfId="4" applyFont="1" applyFill="1" applyBorder="1" applyAlignment="1">
      <alignment horizontal="center" vertical="center"/>
    </xf>
    <xf numFmtId="0" fontId="6" fillId="5" borderId="29" xfId="4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</cellXfs>
  <cellStyles count="6">
    <cellStyle name="백분율" xfId="2" builtinId="5"/>
    <cellStyle name="쉼표 [0]" xfId="1" builtinId="6"/>
    <cellStyle name="쉼표 [0] 2" xfId="5" xr:uid="{00000000-0005-0000-0000-000002000000}"/>
    <cellStyle name="표준" xfId="0" builtinId="0"/>
    <cellStyle name="표준 2" xfId="4" xr:uid="{00000000-0005-0000-0000-000004000000}"/>
    <cellStyle name="하이퍼링크" xfId="3" builtinId="8"/>
  </cellStyles>
  <dxfs count="2">
    <dxf>
      <fill>
        <patternFill>
          <bgColor theme="9" tint="-0.24994659260841701"/>
        </patternFill>
      </fill>
    </dxf>
    <dxf>
      <font>
        <b/>
        <i val="0"/>
        <color rgb="FF0070C0"/>
      </font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856F961-340A-11D0-A96B-00C04FD705A2}">
  <ax:ocxPr ax:name="ExtentX" ax:value="25321"/>
  <ax:ocxPr ax:name="ExtentY" ax:value="15214"/>
  <ax:ocxPr ax:name="ViewMode" ax:value="0"/>
  <ax:ocxPr ax:name="Offline" ax:value="0"/>
  <ax:ocxPr ax:name="Silent" ax:value="0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s://search.naver.com/search.naver?&amp;where=news&amp;query=%EB%B0%98%EB%A0%A4%EB%8F%99%EB%AC%BC&amp;start=11"/>
</ax:ocx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266700</xdr:colOff>
      <xdr:row>14</xdr:row>
      <xdr:rowOff>184785</xdr:rowOff>
    </xdr:from>
    <xdr:ext cx="4411980" cy="1771650"/>
    <xdr:pic>
      <xdr:nvPicPr>
        <xdr:cNvPr id="2" name="SEDOC-1521471951736--231584828_image_4_img" descr="https://postfiles.pstatic.net/MjAxODAzMTlfMjQ0/MDAxNTIxNDcwMzkxNzY0.AdJL67LzDNLEdQNyFvaJMY2cyX2F93ImiA3T9_3ux-Yg.ppqjKQr101jJcYVtYuVAdshiB3YxPdYvm1fH7tjNmdYg.PNG.gywls8974/image.png?type=w966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9771"/>
        <a:stretch/>
      </xdr:blipFill>
      <xdr:spPr bwMode="auto">
        <a:xfrm>
          <a:off x="4381500" y="3118485"/>
          <a:ext cx="4411980" cy="1771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228600</xdr:colOff>
      <xdr:row>1</xdr:row>
      <xdr:rowOff>190501</xdr:rowOff>
    </xdr:from>
    <xdr:ext cx="4236720" cy="2007869"/>
    <xdr:pic>
      <xdr:nvPicPr>
        <xdr:cNvPr id="3" name="SEDOC-1521471951736--231584828_image_9_img" descr="https://postfiles.pstatic.net/MjAxODAzMTlfMTk5/MDAxNTIxNDcxMzkyNjYx.YZun_5u2fW9sAxYOuRvirHkdmc3jFV4UvsJzdq9qZOkg.D39w5ZgvGNf-Y7KCVwmcBvctqKnNAzRkXVU_ecDgiMMg.PNG.gywls8974/image.png?type=w966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r="31310" b="63853"/>
        <a:stretch/>
      </xdr:blipFill>
      <xdr:spPr bwMode="auto">
        <a:xfrm>
          <a:off x="4343400" y="400051"/>
          <a:ext cx="4236720" cy="20078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273869</xdr:colOff>
      <xdr:row>1</xdr:row>
      <xdr:rowOff>150495</xdr:rowOff>
    </xdr:from>
    <xdr:ext cx="4736281" cy="1992630"/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36709"/>
        <a:stretch/>
      </xdr:blipFill>
      <xdr:spPr>
        <a:xfrm>
          <a:off x="9189269" y="369570"/>
          <a:ext cx="4736281" cy="199263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480060</xdr:colOff>
      <xdr:row>15</xdr:row>
      <xdr:rowOff>68580</xdr:rowOff>
    </xdr:from>
    <xdr:ext cx="4827270" cy="1914948"/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09060" y="3211830"/>
          <a:ext cx="4827270" cy="1914948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275167</xdr:colOff>
      <xdr:row>16</xdr:row>
      <xdr:rowOff>167640</xdr:rowOff>
    </xdr:from>
    <xdr:ext cx="1737360" cy="1173346"/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5167" y="3520440"/>
          <a:ext cx="1737360" cy="1173346"/>
        </a:xfrm>
        <a:prstGeom prst="rect">
          <a:avLst/>
        </a:prstGeom>
      </xdr:spPr>
    </xdr:pic>
    <xdr:clientData/>
  </xdr:oneCellAnchor>
  <xdr:oneCellAnchor>
    <xdr:from>
      <xdr:col>4</xdr:col>
      <xdr:colOff>0</xdr:colOff>
      <xdr:row>18</xdr:row>
      <xdr:rowOff>0</xdr:rowOff>
    </xdr:from>
    <xdr:ext cx="1605492" cy="1016683"/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43200" y="3771900"/>
          <a:ext cx="1605492" cy="1016683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27</xdr:row>
          <xdr:rowOff>123825</xdr:rowOff>
        </xdr:from>
        <xdr:to>
          <xdr:col>4</xdr:col>
          <xdr:colOff>133350</xdr:colOff>
          <xdr:row>53</xdr:row>
          <xdr:rowOff>152400</xdr:rowOff>
        </xdr:to>
        <xdr:sp macro="" textlink="">
          <xdr:nvSpPr>
            <xdr:cNvPr id="1025" name="WebBrows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13</xdr:row>
          <xdr:rowOff>9525</xdr:rowOff>
        </xdr:from>
        <xdr:to>
          <xdr:col>2</xdr:col>
          <xdr:colOff>1057275</xdr:colOff>
          <xdr:row>14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뉴스검색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66675</xdr:rowOff>
    </xdr:from>
    <xdr:to>
      <xdr:col>11</xdr:col>
      <xdr:colOff>267790</xdr:colOff>
      <xdr:row>15</xdr:row>
      <xdr:rowOff>429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6675"/>
          <a:ext cx="7811590" cy="3077004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15</xdr:row>
      <xdr:rowOff>207150</xdr:rowOff>
    </xdr:from>
    <xdr:to>
      <xdr:col>11</xdr:col>
      <xdr:colOff>267790</xdr:colOff>
      <xdr:row>30</xdr:row>
      <xdr:rowOff>140904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50400"/>
          <a:ext cx="7811590" cy="3077004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&#53356;&#47204;&#47553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사용자" refreshedDate="43163.907683449077" createdVersion="6" refreshedVersion="6" minRefreshableVersion="3" recordCount="7" xr:uid="{00000000-000A-0000-FFFF-FFFF15000000}">
  <cacheSource type="worksheet">
    <worksheetSource ref="A7:G14" sheet="pivot" r:id="rId2"/>
  </cacheSource>
  <cacheFields count="7">
    <cacheField name="지역" numFmtId="0">
      <sharedItems count="6">
        <s v="서울시"/>
        <s v="전라도"/>
        <s v="충청도"/>
        <s v="경기도"/>
        <s v="제주도"/>
        <s v="경상도" u="1"/>
      </sharedItems>
    </cacheField>
    <cacheField name="지점" numFmtId="0">
      <sharedItems/>
    </cacheField>
    <cacheField name="담당자" numFmtId="0">
      <sharedItems/>
    </cacheField>
    <cacheField name="방문일" numFmtId="180">
      <sharedItems containsSemiMixedTypes="0" containsNonDate="0" containsDate="1" containsString="0" minDate="2018-01-05T00:00:00" maxDate="2018-04-07T00:00:00" count="7">
        <d v="2018-01-05T00:00:00"/>
        <d v="2018-02-23T00:00:00"/>
        <d v="2018-02-16T00:00:00"/>
        <d v="2018-03-23T00:00:00"/>
        <d v="2018-03-30T00:00:00"/>
        <d v="2018-04-06T00:00:00"/>
        <d v="2018-02-02T00:00:00"/>
      </sharedItems>
      <fieldGroup base="3">
        <rangePr groupBy="months" startDate="2018-01-05T00:00:00" endDate="2018-04-07T00:00:00"/>
        <groupItems count="14">
          <s v="&lt;2018-01-05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18-04-07"/>
        </groupItems>
      </fieldGroup>
    </cacheField>
    <cacheField name="판매" numFmtId="41">
      <sharedItems containsSemiMixedTypes="0" containsString="0" containsNumber="1" containsInteger="1" minValue="1300" maxValue="3510"/>
    </cacheField>
    <cacheField name="수금 " numFmtId="41">
      <sharedItems containsSemiMixedTypes="0" containsString="0" containsNumber="1" containsInteger="1" minValue="250" maxValue="2542"/>
    </cacheField>
    <cacheField name="미수" numFmtId="41">
      <sharedItems containsSemiMixedTypes="0" containsString="0" containsNumber="1" containsInteger="1" minValue="9" maxValue="14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s v="강남"/>
    <s v="최옥현"/>
    <x v="0"/>
    <n v="2290"/>
    <n v="2000"/>
    <n v="290"/>
  </r>
  <r>
    <x v="1"/>
    <s v="김제"/>
    <s v="박선주"/>
    <x v="1"/>
    <n v="1439"/>
    <n v="1430"/>
    <n v="9"/>
  </r>
  <r>
    <x v="2"/>
    <s v="청주"/>
    <s v="홍현정"/>
    <x v="2"/>
    <n v="3075"/>
    <n v="2542"/>
    <n v="533"/>
  </r>
  <r>
    <x v="0"/>
    <s v="상도"/>
    <s v="최동진"/>
    <x v="3"/>
    <n v="1702"/>
    <n v="250"/>
    <n v="1452"/>
  </r>
  <r>
    <x v="3"/>
    <s v="김천"/>
    <s v="김상현"/>
    <x v="4"/>
    <n v="2586"/>
    <n v="2166"/>
    <n v="420"/>
  </r>
  <r>
    <x v="3"/>
    <s v="부천"/>
    <s v="박재언"/>
    <x v="5"/>
    <n v="1300"/>
    <n v="398"/>
    <n v="902"/>
  </r>
  <r>
    <x v="4"/>
    <s v="한라"/>
    <s v="김중락"/>
    <x v="6"/>
    <n v="3510"/>
    <n v="2500"/>
    <n v="10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피벗 테이블1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I7:N14" firstHeaderRow="1" firstDataRow="2" firstDataCol="1"/>
  <pivotFields count="7">
    <pivotField axis="axisRow" showAll="0">
      <items count="7">
        <item x="3"/>
        <item m="1" x="5"/>
        <item x="0"/>
        <item x="1"/>
        <item x="4"/>
        <item x="2"/>
        <item t="default"/>
      </items>
    </pivotField>
    <pivotField showAll="0"/>
    <pivotField showAll="0"/>
    <pivotField axis="axisCol" numFmtId="18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numFmtId="41" showAll="0"/>
    <pivotField numFmtId="41" showAll="0"/>
    <pivotField numFmtId="41" showAll="0"/>
  </pivotFields>
  <rowFields count="1">
    <field x="0"/>
  </rowFields>
  <rowItems count="6">
    <i>
      <x/>
    </i>
    <i>
      <x v="2"/>
    </i>
    <i>
      <x v="3"/>
    </i>
    <i>
      <x v="4"/>
    </i>
    <i>
      <x v="5"/>
    </i>
    <i t="grand">
      <x/>
    </i>
  </rowItems>
  <colFields count="1">
    <field x="3"/>
  </colFields>
  <colItems count="5">
    <i>
      <x v="1"/>
    </i>
    <i>
      <x v="2"/>
    </i>
    <i>
      <x v="3"/>
    </i>
    <i>
      <x v="4"/>
    </i>
    <i t="grand">
      <x/>
    </i>
  </colItems>
  <dataFields count="1">
    <dataField name="합계 : 판매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eoul.co.kr/news/newsView.php?id=20200131500163&amp;wlog_tag3=naver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http://www.munhwa.com/news/view.html?no=2020013101033811000002" TargetMode="External"/><Relationship Id="rId7" Type="http://schemas.openxmlformats.org/officeDocument/2006/relationships/hyperlink" Target="http://www.ohmynews.com/NWS_Web/View/at_pg.aspx?CNTN_CD=A0002606872&amp;CMPT_CD=P0010&amp;utm_source=naver&amp;utm_medium=newsearch&amp;utm_campaign=naver_news" TargetMode="External"/><Relationship Id="rId12" Type="http://schemas.openxmlformats.org/officeDocument/2006/relationships/drawing" Target="../drawings/drawing4.xml"/><Relationship Id="rId2" Type="http://schemas.openxmlformats.org/officeDocument/2006/relationships/hyperlink" Target="http://www.fnnews.com/news/202001311030244498" TargetMode="External"/><Relationship Id="rId16" Type="http://schemas.openxmlformats.org/officeDocument/2006/relationships/ctrlProp" Target="../ctrlProps/ctrlProp1.xml"/><Relationship Id="rId1" Type="http://schemas.openxmlformats.org/officeDocument/2006/relationships/hyperlink" Target="http://news.jtbc.joins.com/article/article.aspx?news_id=NB11931688" TargetMode="External"/><Relationship Id="rId6" Type="http://schemas.openxmlformats.org/officeDocument/2006/relationships/hyperlink" Target="http://www.greenpostkorea.co.kr/news/articleView.html?idxno=113647" TargetMode="External"/><Relationship Id="rId11" Type="http://schemas.openxmlformats.org/officeDocument/2006/relationships/printerSettings" Target="../printerSettings/printerSettings5.bin"/><Relationship Id="rId5" Type="http://schemas.openxmlformats.org/officeDocument/2006/relationships/hyperlink" Target="http://www.kwnews.co.kr/view.asp?aid=220013000039&amp;s=501" TargetMode="External"/><Relationship Id="rId15" Type="http://schemas.openxmlformats.org/officeDocument/2006/relationships/image" Target="../media/image7.emf"/><Relationship Id="rId10" Type="http://schemas.openxmlformats.org/officeDocument/2006/relationships/hyperlink" Target="https://news.joins.com/article/olink/23286486" TargetMode="External"/><Relationship Id="rId4" Type="http://schemas.openxmlformats.org/officeDocument/2006/relationships/hyperlink" Target="http://www.newspim.com/news/view/20200131001023" TargetMode="External"/><Relationship Id="rId9" Type="http://schemas.openxmlformats.org/officeDocument/2006/relationships/hyperlink" Target="http://news.cjhello.com/news/newsView.do?soCode=SC30000000&amp;idx=270115" TargetMode="External"/><Relationship Id="rId1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23"/>
  <sheetViews>
    <sheetView zoomScaleNormal="100" workbookViewId="0"/>
  </sheetViews>
  <sheetFormatPr defaultColWidth="9" defaultRowHeight="13.5" x14ac:dyDescent="0.3"/>
  <cols>
    <col min="1" max="16384" width="9" style="7"/>
  </cols>
  <sheetData>
    <row r="1" spans="1:9" ht="17.25" x14ac:dyDescent="0.3">
      <c r="A1" s="17" t="s">
        <v>45</v>
      </c>
    </row>
    <row r="2" spans="1:9" customFormat="1" ht="16.5" x14ac:dyDescent="0.3"/>
    <row r="3" spans="1:9" x14ac:dyDescent="0.3">
      <c r="A3" s="11" t="s">
        <v>44</v>
      </c>
    </row>
    <row r="4" spans="1:9" x14ac:dyDescent="0.3">
      <c r="A4" s="11" t="s">
        <v>43</v>
      </c>
    </row>
    <row r="6" spans="1:9" ht="14.25" thickBot="1" x14ac:dyDescent="0.35">
      <c r="A6" s="136" t="s">
        <v>42</v>
      </c>
      <c r="B6" s="137" t="s">
        <v>41</v>
      </c>
      <c r="C6" s="138"/>
      <c r="D6" s="138"/>
      <c r="E6" s="138"/>
      <c r="F6" s="138"/>
      <c r="G6" s="138"/>
      <c r="H6" s="139"/>
      <c r="I6" s="58"/>
    </row>
    <row r="7" spans="1:9" ht="14.25" thickBot="1" x14ac:dyDescent="0.35">
      <c r="A7" s="137"/>
      <c r="B7" s="73">
        <v>2</v>
      </c>
      <c r="C7" s="72">
        <v>3</v>
      </c>
      <c r="D7" s="72">
        <v>5</v>
      </c>
      <c r="E7" s="72">
        <v>10</v>
      </c>
      <c r="F7" s="72">
        <v>20</v>
      </c>
      <c r="G7" s="72">
        <v>30</v>
      </c>
      <c r="H7" s="71">
        <v>50</v>
      </c>
      <c r="I7" s="58"/>
    </row>
    <row r="8" spans="1:9" x14ac:dyDescent="0.3">
      <c r="A8" s="70">
        <v>10</v>
      </c>
      <c r="B8" s="69">
        <v>16.600000000000001</v>
      </c>
      <c r="C8" s="68">
        <v>18.399999999999999</v>
      </c>
      <c r="D8" s="68">
        <v>20.399999999999999</v>
      </c>
      <c r="E8" s="68">
        <v>22.9</v>
      </c>
      <c r="F8" s="68">
        <v>25.3</v>
      </c>
      <c r="G8" s="68">
        <v>26.7</v>
      </c>
      <c r="H8" s="67">
        <v>28.4</v>
      </c>
      <c r="I8" s="58"/>
    </row>
    <row r="9" spans="1:9" x14ac:dyDescent="0.3">
      <c r="A9" s="66">
        <v>60</v>
      </c>
      <c r="B9" s="65">
        <v>44.4</v>
      </c>
      <c r="C9" s="64">
        <v>50.5</v>
      </c>
      <c r="D9" s="64">
        <v>57.3</v>
      </c>
      <c r="E9" s="64">
        <v>65.8</v>
      </c>
      <c r="F9" s="64">
        <v>74</v>
      </c>
      <c r="G9" s="64">
        <v>78.7</v>
      </c>
      <c r="H9" s="63">
        <v>84.6</v>
      </c>
      <c r="I9" s="58"/>
    </row>
    <row r="10" spans="1:9" x14ac:dyDescent="0.3">
      <c r="A10" s="66">
        <v>120</v>
      </c>
      <c r="B10" s="65">
        <v>61.1</v>
      </c>
      <c r="C10" s="64">
        <v>71.099999999999994</v>
      </c>
      <c r="D10" s="64">
        <v>82.2</v>
      </c>
      <c r="E10" s="64">
        <v>96.2</v>
      </c>
      <c r="F10" s="64">
        <v>109.6</v>
      </c>
      <c r="G10" s="64">
        <v>117.3</v>
      </c>
      <c r="H10" s="63">
        <v>126.9</v>
      </c>
      <c r="I10" s="58"/>
    </row>
    <row r="11" spans="1:9" ht="14.25" thickBot="1" x14ac:dyDescent="0.35">
      <c r="A11" s="62">
        <v>180</v>
      </c>
      <c r="B11" s="61">
        <v>73.7</v>
      </c>
      <c r="C11" s="60">
        <v>86.6</v>
      </c>
      <c r="D11" s="60">
        <v>101</v>
      </c>
      <c r="E11" s="60">
        <v>119</v>
      </c>
      <c r="F11" s="60">
        <v>136.4</v>
      </c>
      <c r="G11" s="60">
        <v>146.30000000000001</v>
      </c>
      <c r="H11" s="59">
        <v>158.80000000000001</v>
      </c>
      <c r="I11" s="58"/>
    </row>
    <row r="12" spans="1:9" ht="14.25" thickBot="1" x14ac:dyDescent="0.35"/>
    <row r="13" spans="1:9" ht="14.25" thickBot="1" x14ac:dyDescent="0.35">
      <c r="A13" s="45" t="s">
        <v>39</v>
      </c>
      <c r="B13" s="57">
        <v>10</v>
      </c>
      <c r="C13" s="56">
        <v>60</v>
      </c>
      <c r="D13" s="55">
        <v>120</v>
      </c>
      <c r="E13" s="55">
        <v>180</v>
      </c>
    </row>
    <row r="14" spans="1:9" ht="14.25" thickBot="1" x14ac:dyDescent="0.35">
      <c r="A14" s="54">
        <v>2</v>
      </c>
      <c r="B14" s="53">
        <f t="shared" ref="B14:E17" si="0">INDEX($B$8:$H$11,MATCH(B$13,$A$8:$A$11,0),MATCH($A14,$B$7:$H$7,0))</f>
        <v>16.600000000000001</v>
      </c>
      <c r="C14" s="52">
        <f t="shared" si="0"/>
        <v>44.4</v>
      </c>
      <c r="D14" s="46">
        <f t="shared" si="0"/>
        <v>61.1</v>
      </c>
      <c r="E14" s="46">
        <f t="shared" si="0"/>
        <v>73.7</v>
      </c>
    </row>
    <row r="15" spans="1:9" ht="15" thickTop="1" thickBot="1" x14ac:dyDescent="0.35">
      <c r="A15" s="51">
        <v>5</v>
      </c>
      <c r="B15" s="49">
        <f t="shared" si="0"/>
        <v>20.399999999999999</v>
      </c>
      <c r="C15" s="50">
        <f t="shared" si="0"/>
        <v>57.3</v>
      </c>
      <c r="D15" s="49">
        <f t="shared" si="0"/>
        <v>82.2</v>
      </c>
      <c r="E15" s="47">
        <f t="shared" si="0"/>
        <v>101</v>
      </c>
      <c r="F15" s="7" t="s">
        <v>40</v>
      </c>
    </row>
    <row r="16" spans="1:9" ht="14.25" thickTop="1" x14ac:dyDescent="0.3">
      <c r="A16" s="48">
        <v>20</v>
      </c>
      <c r="B16" s="46">
        <f t="shared" si="0"/>
        <v>25.3</v>
      </c>
      <c r="C16" s="47">
        <f t="shared" si="0"/>
        <v>74</v>
      </c>
      <c r="D16" s="46">
        <f t="shared" si="0"/>
        <v>109.6</v>
      </c>
      <c r="E16" s="47">
        <f t="shared" si="0"/>
        <v>136.4</v>
      </c>
    </row>
    <row r="17" spans="1:5" x14ac:dyDescent="0.3">
      <c r="A17" s="41">
        <v>50</v>
      </c>
      <c r="B17" s="46">
        <f t="shared" si="0"/>
        <v>28.4</v>
      </c>
      <c r="C17" s="46">
        <f t="shared" si="0"/>
        <v>84.6</v>
      </c>
      <c r="D17" s="46">
        <f t="shared" si="0"/>
        <v>126.9</v>
      </c>
      <c r="E17" s="46">
        <f t="shared" si="0"/>
        <v>158.80000000000001</v>
      </c>
    </row>
    <row r="19" spans="1:5" x14ac:dyDescent="0.3">
      <c r="A19" s="45" t="s">
        <v>39</v>
      </c>
      <c r="B19" s="44" t="s">
        <v>38</v>
      </c>
    </row>
    <row r="20" spans="1:5" x14ac:dyDescent="0.3">
      <c r="A20" s="41">
        <v>2</v>
      </c>
      <c r="B20" s="40">
        <f>HLOOKUP($A20,$A$7:$H$11,3,0)</f>
        <v>44.4</v>
      </c>
    </row>
    <row r="21" spans="1:5" x14ac:dyDescent="0.3">
      <c r="A21" s="43">
        <v>5</v>
      </c>
      <c r="B21" s="42">
        <f>HLOOKUP($A21,$A$7:$H$11,3,0)</f>
        <v>57.3</v>
      </c>
      <c r="C21" s="7" t="s">
        <v>37</v>
      </c>
    </row>
    <row r="22" spans="1:5" x14ac:dyDescent="0.3">
      <c r="A22" s="41">
        <v>20</v>
      </c>
      <c r="B22" s="40">
        <f>HLOOKUP($A22,$A$7:$H$11,3,0)</f>
        <v>74</v>
      </c>
    </row>
    <row r="23" spans="1:5" x14ac:dyDescent="0.3">
      <c r="A23" s="41">
        <v>50</v>
      </c>
      <c r="B23" s="40">
        <f>HLOOKUP($A23,$A$7:$H$11,3,0)</f>
        <v>84.6</v>
      </c>
    </row>
  </sheetData>
  <mergeCells count="2">
    <mergeCell ref="A6:A7"/>
    <mergeCell ref="B6:H6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P94"/>
  <sheetViews>
    <sheetView zoomScaleNormal="100" workbookViewId="0">
      <selection activeCell="D35" sqref="D35"/>
    </sheetView>
  </sheetViews>
  <sheetFormatPr defaultColWidth="9" defaultRowHeight="13.5" x14ac:dyDescent="0.3"/>
  <cols>
    <col min="1" max="16384" width="9" style="7"/>
  </cols>
  <sheetData>
    <row r="1" spans="1:16" ht="17.25" x14ac:dyDescent="0.3">
      <c r="A1" s="17" t="s">
        <v>59</v>
      </c>
    </row>
    <row r="3" spans="1:16" x14ac:dyDescent="0.3">
      <c r="A3" s="74" t="s">
        <v>58</v>
      </c>
    </row>
    <row r="4" spans="1:16" x14ac:dyDescent="0.3">
      <c r="A4" s="74" t="s">
        <v>57</v>
      </c>
      <c r="P4" s="74"/>
    </row>
    <row r="5" spans="1:16" x14ac:dyDescent="0.3">
      <c r="A5" s="74" t="s">
        <v>56</v>
      </c>
      <c r="P5" s="75"/>
    </row>
    <row r="6" spans="1:16" x14ac:dyDescent="0.3">
      <c r="A6" s="74" t="s">
        <v>55</v>
      </c>
      <c r="P6" s="75"/>
    </row>
    <row r="7" spans="1:16" x14ac:dyDescent="0.3">
      <c r="A7" s="74" t="s">
        <v>54</v>
      </c>
      <c r="P7" s="75"/>
    </row>
    <row r="8" spans="1:16" x14ac:dyDescent="0.3">
      <c r="A8" s="74" t="s">
        <v>53</v>
      </c>
      <c r="P8" s="75"/>
    </row>
    <row r="9" spans="1:16" x14ac:dyDescent="0.3">
      <c r="A9" s="74" t="s">
        <v>52</v>
      </c>
      <c r="P9" s="75"/>
    </row>
    <row r="10" spans="1:16" x14ac:dyDescent="0.3">
      <c r="A10" s="74" t="s">
        <v>51</v>
      </c>
      <c r="P10" s="75"/>
    </row>
    <row r="11" spans="1:16" x14ac:dyDescent="0.3">
      <c r="P11" s="75"/>
    </row>
    <row r="12" spans="1:16" x14ac:dyDescent="0.3">
      <c r="P12" s="75"/>
    </row>
    <row r="13" spans="1:16" x14ac:dyDescent="0.3">
      <c r="A13" s="74"/>
      <c r="P13" s="75"/>
    </row>
    <row r="14" spans="1:16" x14ac:dyDescent="0.3">
      <c r="P14" s="75"/>
    </row>
    <row r="15" spans="1:16" x14ac:dyDescent="0.3">
      <c r="A15" s="74"/>
      <c r="P15" s="75"/>
    </row>
    <row r="16" spans="1:16" x14ac:dyDescent="0.3">
      <c r="A16" s="74" t="s">
        <v>50</v>
      </c>
      <c r="P16" s="75"/>
    </row>
    <row r="17" spans="1:16" x14ac:dyDescent="0.3">
      <c r="A17" s="74" t="s">
        <v>49</v>
      </c>
      <c r="P17" s="75"/>
    </row>
    <row r="18" spans="1:16" x14ac:dyDescent="0.3">
      <c r="A18" s="74" t="s">
        <v>48</v>
      </c>
      <c r="P18" s="75"/>
    </row>
    <row r="19" spans="1:16" x14ac:dyDescent="0.3">
      <c r="A19" s="74" t="s">
        <v>47</v>
      </c>
      <c r="P19" s="75"/>
    </row>
    <row r="20" spans="1:16" x14ac:dyDescent="0.3">
      <c r="A20" s="74" t="s">
        <v>46</v>
      </c>
      <c r="P20" s="75"/>
    </row>
    <row r="21" spans="1:16" x14ac:dyDescent="0.3">
      <c r="P21" s="75"/>
    </row>
    <row r="22" spans="1:16" x14ac:dyDescent="0.3">
      <c r="P22" s="75"/>
    </row>
    <row r="23" spans="1:16" x14ac:dyDescent="0.3">
      <c r="P23" s="74"/>
    </row>
    <row r="24" spans="1:16" x14ac:dyDescent="0.3">
      <c r="P24" s="74"/>
    </row>
    <row r="25" spans="1:16" x14ac:dyDescent="0.3">
      <c r="A25" s="75"/>
      <c r="P25" s="75"/>
    </row>
    <row r="26" spans="1:16" x14ac:dyDescent="0.3">
      <c r="A26" s="74"/>
      <c r="P26" s="75"/>
    </row>
    <row r="27" spans="1:16" ht="17.25" x14ac:dyDescent="0.3">
      <c r="A27" s="17" t="s">
        <v>431</v>
      </c>
    </row>
    <row r="28" spans="1:16" ht="17.25" x14ac:dyDescent="0.3">
      <c r="A28" s="17"/>
    </row>
    <row r="29" spans="1:16" x14ac:dyDescent="0.3">
      <c r="A29" s="129" t="s">
        <v>430</v>
      </c>
    </row>
    <row r="30" spans="1:16" x14ac:dyDescent="0.3">
      <c r="A30" s="75"/>
    </row>
    <row r="31" spans="1:16" x14ac:dyDescent="0.3">
      <c r="A31" s="75"/>
    </row>
    <row r="32" spans="1:16" x14ac:dyDescent="0.3">
      <c r="A32" s="75"/>
    </row>
    <row r="33" spans="1:16" x14ac:dyDescent="0.3">
      <c r="A33" s="75"/>
    </row>
    <row r="34" spans="1:16" x14ac:dyDescent="0.3">
      <c r="A34" s="75"/>
      <c r="P34" s="74"/>
    </row>
    <row r="35" spans="1:16" x14ac:dyDescent="0.3">
      <c r="A35" s="75"/>
      <c r="P35" s="75"/>
    </row>
    <row r="36" spans="1:16" x14ac:dyDescent="0.3">
      <c r="A36" s="75"/>
      <c r="P36" s="75"/>
    </row>
    <row r="37" spans="1:16" x14ac:dyDescent="0.3">
      <c r="A37" s="75"/>
      <c r="P37" s="75"/>
    </row>
    <row r="38" spans="1:16" x14ac:dyDescent="0.3">
      <c r="A38" s="75"/>
      <c r="P38" s="75"/>
    </row>
    <row r="39" spans="1:16" x14ac:dyDescent="0.3">
      <c r="A39" s="75"/>
      <c r="P39" s="75"/>
    </row>
    <row r="40" spans="1:16" x14ac:dyDescent="0.3">
      <c r="A40" s="75"/>
      <c r="P40" s="75"/>
    </row>
    <row r="41" spans="1:16" x14ac:dyDescent="0.3">
      <c r="A41" s="75"/>
      <c r="P41" s="75"/>
    </row>
    <row r="42" spans="1:16" x14ac:dyDescent="0.3">
      <c r="A42" s="75"/>
      <c r="P42" s="75"/>
    </row>
    <row r="43" spans="1:16" x14ac:dyDescent="0.3">
      <c r="A43" s="75"/>
      <c r="P43" s="75"/>
    </row>
    <row r="44" spans="1:16" x14ac:dyDescent="0.3">
      <c r="A44" s="75"/>
      <c r="P44" s="75"/>
    </row>
    <row r="45" spans="1:16" x14ac:dyDescent="0.3">
      <c r="A45" s="75"/>
      <c r="P45" s="75"/>
    </row>
    <row r="46" spans="1:16" x14ac:dyDescent="0.3">
      <c r="A46" s="75"/>
      <c r="P46" s="75"/>
    </row>
    <row r="47" spans="1:16" x14ac:dyDescent="0.3">
      <c r="P47" s="75"/>
    </row>
    <row r="48" spans="1:16" x14ac:dyDescent="0.3">
      <c r="P48" s="75"/>
    </row>
    <row r="49" spans="1:16" x14ac:dyDescent="0.3">
      <c r="P49" s="75"/>
    </row>
    <row r="50" spans="1:16" x14ac:dyDescent="0.3">
      <c r="A50" s="74"/>
      <c r="P50" s="75"/>
    </row>
    <row r="51" spans="1:16" x14ac:dyDescent="0.3">
      <c r="A51" s="75"/>
      <c r="P51" s="75"/>
    </row>
    <row r="52" spans="1:16" x14ac:dyDescent="0.3">
      <c r="A52" s="75"/>
      <c r="P52" s="75"/>
    </row>
    <row r="53" spans="1:16" x14ac:dyDescent="0.3">
      <c r="A53" s="75"/>
      <c r="P53" s="75"/>
    </row>
    <row r="54" spans="1:16" x14ac:dyDescent="0.3">
      <c r="A54" s="75"/>
      <c r="P54" s="75"/>
    </row>
    <row r="55" spans="1:16" x14ac:dyDescent="0.3">
      <c r="A55" s="75"/>
      <c r="P55" s="75"/>
    </row>
    <row r="56" spans="1:16" x14ac:dyDescent="0.3">
      <c r="A56" s="75"/>
      <c r="P56" s="75"/>
    </row>
    <row r="57" spans="1:16" x14ac:dyDescent="0.3">
      <c r="A57" s="75"/>
      <c r="P57" s="75"/>
    </row>
    <row r="58" spans="1:16" x14ac:dyDescent="0.3">
      <c r="A58" s="75"/>
      <c r="P58" s="75"/>
    </row>
    <row r="59" spans="1:16" x14ac:dyDescent="0.3">
      <c r="A59" s="75"/>
      <c r="P59" s="75"/>
    </row>
    <row r="60" spans="1:16" x14ac:dyDescent="0.3">
      <c r="A60" s="75"/>
    </row>
    <row r="61" spans="1:16" x14ac:dyDescent="0.3">
      <c r="A61" s="75"/>
    </row>
    <row r="62" spans="1:16" x14ac:dyDescent="0.3">
      <c r="A62" s="75"/>
    </row>
    <row r="63" spans="1:16" x14ac:dyDescent="0.3">
      <c r="A63" s="75"/>
    </row>
    <row r="64" spans="1:16" x14ac:dyDescent="0.3">
      <c r="A64" s="75"/>
    </row>
    <row r="65" spans="1:16" x14ac:dyDescent="0.3">
      <c r="A65" s="75"/>
    </row>
    <row r="66" spans="1:16" x14ac:dyDescent="0.3">
      <c r="A66" s="75"/>
    </row>
    <row r="67" spans="1:16" x14ac:dyDescent="0.3">
      <c r="A67" s="75"/>
    </row>
    <row r="68" spans="1:16" x14ac:dyDescent="0.3">
      <c r="P68" s="74"/>
    </row>
    <row r="69" spans="1:16" x14ac:dyDescent="0.3">
      <c r="A69" s="74"/>
      <c r="P69" s="75"/>
    </row>
    <row r="70" spans="1:16" x14ac:dyDescent="0.3">
      <c r="A70" s="76"/>
      <c r="P70" s="75"/>
    </row>
    <row r="71" spans="1:16" x14ac:dyDescent="0.3">
      <c r="P71" s="75"/>
    </row>
    <row r="72" spans="1:16" x14ac:dyDescent="0.3">
      <c r="P72" s="75"/>
    </row>
    <row r="73" spans="1:16" x14ac:dyDescent="0.3">
      <c r="P73" s="75"/>
    </row>
    <row r="74" spans="1:16" x14ac:dyDescent="0.3">
      <c r="P74" s="75"/>
    </row>
    <row r="75" spans="1:16" x14ac:dyDescent="0.3">
      <c r="P75" s="75"/>
    </row>
    <row r="76" spans="1:16" x14ac:dyDescent="0.3">
      <c r="P76" s="75"/>
    </row>
    <row r="77" spans="1:16" x14ac:dyDescent="0.3">
      <c r="P77" s="75"/>
    </row>
    <row r="78" spans="1:16" x14ac:dyDescent="0.3">
      <c r="P78" s="75"/>
    </row>
    <row r="79" spans="1:16" x14ac:dyDescent="0.3">
      <c r="P79" s="75"/>
    </row>
    <row r="80" spans="1:16" x14ac:dyDescent="0.3">
      <c r="P80" s="75"/>
    </row>
    <row r="81" spans="16:16" x14ac:dyDescent="0.3">
      <c r="P81" s="75"/>
    </row>
    <row r="82" spans="16:16" x14ac:dyDescent="0.3">
      <c r="P82" s="75"/>
    </row>
    <row r="83" spans="16:16" x14ac:dyDescent="0.3">
      <c r="P83" s="75"/>
    </row>
    <row r="84" spans="16:16" x14ac:dyDescent="0.3">
      <c r="P84" s="75"/>
    </row>
    <row r="85" spans="16:16" x14ac:dyDescent="0.3">
      <c r="P85" s="75"/>
    </row>
    <row r="86" spans="16:16" x14ac:dyDescent="0.3">
      <c r="P86" s="75"/>
    </row>
    <row r="87" spans="16:16" x14ac:dyDescent="0.3">
      <c r="P87" s="75"/>
    </row>
    <row r="88" spans="16:16" x14ac:dyDescent="0.3">
      <c r="P88" s="75"/>
    </row>
    <row r="89" spans="16:16" x14ac:dyDescent="0.3">
      <c r="P89" s="75"/>
    </row>
    <row r="90" spans="16:16" x14ac:dyDescent="0.3">
      <c r="P90" s="75"/>
    </row>
    <row r="91" spans="16:16" x14ac:dyDescent="0.3">
      <c r="P91" s="75"/>
    </row>
    <row r="92" spans="16:16" x14ac:dyDescent="0.3">
      <c r="P92" s="75"/>
    </row>
    <row r="93" spans="16:16" x14ac:dyDescent="0.3">
      <c r="P93" s="75"/>
    </row>
    <row r="94" spans="16:16" x14ac:dyDescent="0.3">
      <c r="P94" s="74"/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17"/>
  <sheetViews>
    <sheetView workbookViewId="0">
      <selection activeCell="B24" sqref="B24"/>
    </sheetView>
  </sheetViews>
  <sheetFormatPr defaultRowHeight="16.5" x14ac:dyDescent="0.3"/>
  <sheetData>
    <row r="1" spans="1:9" x14ac:dyDescent="0.3">
      <c r="A1" s="126" t="s">
        <v>426</v>
      </c>
    </row>
    <row r="2" spans="1:9" x14ac:dyDescent="0.3">
      <c r="A2" s="126"/>
    </row>
    <row r="3" spans="1:9" x14ac:dyDescent="0.3">
      <c r="A3" t="s">
        <v>425</v>
      </c>
    </row>
    <row r="4" spans="1:9" x14ac:dyDescent="0.3">
      <c r="A4" t="s">
        <v>424</v>
      </c>
    </row>
    <row r="5" spans="1:9" x14ac:dyDescent="0.3">
      <c r="A5" t="s">
        <v>423</v>
      </c>
    </row>
    <row r="7" spans="1:9" x14ac:dyDescent="0.3">
      <c r="A7" t="s">
        <v>422</v>
      </c>
      <c r="E7" t="s">
        <v>421</v>
      </c>
      <c r="I7" t="s">
        <v>420</v>
      </c>
    </row>
    <row r="8" spans="1:9" x14ac:dyDescent="0.3">
      <c r="A8" s="128" t="s">
        <v>419</v>
      </c>
      <c r="B8" s="128" t="s">
        <v>418</v>
      </c>
      <c r="C8" s="128" t="s">
        <v>417</v>
      </c>
      <c r="E8" s="128" t="s">
        <v>416</v>
      </c>
      <c r="F8" s="128" t="s">
        <v>415</v>
      </c>
      <c r="G8" s="128" t="s">
        <v>414</v>
      </c>
      <c r="I8" s="127" t="s">
        <v>413</v>
      </c>
    </row>
    <row r="9" spans="1:9" x14ac:dyDescent="0.3">
      <c r="A9" s="125">
        <v>1</v>
      </c>
      <c r="B9" s="125" t="s">
        <v>412</v>
      </c>
      <c r="C9" s="124">
        <v>1268</v>
      </c>
      <c r="E9" s="125" t="s">
        <v>411</v>
      </c>
      <c r="F9" s="125">
        <v>999</v>
      </c>
      <c r="G9" s="124">
        <f t="array" ref="G9:G12">FREQUENCY(C9:C17, F9:F12)</f>
        <v>2</v>
      </c>
      <c r="I9" t="s">
        <v>410</v>
      </c>
    </row>
    <row r="10" spans="1:9" x14ac:dyDescent="0.3">
      <c r="A10" s="125">
        <v>2</v>
      </c>
      <c r="B10" s="125" t="s">
        <v>409</v>
      </c>
      <c r="C10" s="124">
        <v>890</v>
      </c>
      <c r="E10" s="125" t="s">
        <v>408</v>
      </c>
      <c r="F10" s="125">
        <v>2999</v>
      </c>
      <c r="G10" s="124">
        <v>3</v>
      </c>
      <c r="I10" s="2" t="s">
        <v>407</v>
      </c>
    </row>
    <row r="11" spans="1:9" x14ac:dyDescent="0.3">
      <c r="A11" s="125">
        <v>3</v>
      </c>
      <c r="B11" s="125" t="s">
        <v>406</v>
      </c>
      <c r="C11" s="124">
        <v>450</v>
      </c>
      <c r="E11" s="125" t="s">
        <v>405</v>
      </c>
      <c r="F11" s="125">
        <v>3999</v>
      </c>
      <c r="G11" s="124">
        <v>0</v>
      </c>
      <c r="I11" t="s">
        <v>404</v>
      </c>
    </row>
    <row r="12" spans="1:9" x14ac:dyDescent="0.3">
      <c r="A12" s="125">
        <v>4</v>
      </c>
      <c r="B12" s="125" t="s">
        <v>403</v>
      </c>
      <c r="C12" s="124">
        <v>7881</v>
      </c>
      <c r="E12" s="125" t="s">
        <v>402</v>
      </c>
      <c r="F12" s="125">
        <v>9999</v>
      </c>
      <c r="G12" s="124">
        <v>4</v>
      </c>
    </row>
    <row r="13" spans="1:9" x14ac:dyDescent="0.3">
      <c r="A13" s="125">
        <v>5</v>
      </c>
      <c r="B13" s="125" t="s">
        <v>401</v>
      </c>
      <c r="C13" s="124">
        <v>2987</v>
      </c>
      <c r="I13" s="126" t="s">
        <v>400</v>
      </c>
    </row>
    <row r="14" spans="1:9" x14ac:dyDescent="0.3">
      <c r="A14" s="125">
        <v>6</v>
      </c>
      <c r="B14" s="125" t="s">
        <v>399</v>
      </c>
      <c r="C14" s="124">
        <v>4561</v>
      </c>
      <c r="I14" t="s">
        <v>398</v>
      </c>
    </row>
    <row r="15" spans="1:9" x14ac:dyDescent="0.3">
      <c r="A15" s="125">
        <v>8</v>
      </c>
      <c r="B15" s="125" t="s">
        <v>397</v>
      </c>
      <c r="C15" s="124">
        <v>2949</v>
      </c>
      <c r="I15" t="s">
        <v>396</v>
      </c>
    </row>
    <row r="16" spans="1:9" x14ac:dyDescent="0.3">
      <c r="A16" s="125">
        <v>9</v>
      </c>
      <c r="B16" s="125" t="s">
        <v>395</v>
      </c>
      <c r="C16" s="124">
        <v>5349</v>
      </c>
    </row>
    <row r="17" spans="1:3" x14ac:dyDescent="0.3">
      <c r="A17" s="125">
        <v>10</v>
      </c>
      <c r="B17" s="125" t="s">
        <v>394</v>
      </c>
      <c r="C17" s="124">
        <v>4412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24"/>
  <sheetViews>
    <sheetView zoomScaleNormal="100" workbookViewId="0">
      <selection activeCell="D28" sqref="D28"/>
    </sheetView>
  </sheetViews>
  <sheetFormatPr defaultColWidth="9" defaultRowHeight="13.5" x14ac:dyDescent="0.3"/>
  <cols>
    <col min="1" max="7" width="9.625" style="7" customWidth="1"/>
    <col min="8" max="8" width="7" style="7" customWidth="1"/>
    <col min="9" max="14" width="9.75" style="7" customWidth="1"/>
    <col min="15" max="16384" width="9" style="7"/>
  </cols>
  <sheetData>
    <row r="1" spans="1:14" ht="17.25" x14ac:dyDescent="0.3">
      <c r="A1" s="92" t="s">
        <v>111</v>
      </c>
    </row>
    <row r="2" spans="1:14" ht="17.25" x14ac:dyDescent="0.3">
      <c r="A2" s="92"/>
    </row>
    <row r="3" spans="1:14" x14ac:dyDescent="0.3">
      <c r="A3" s="76" t="s">
        <v>110</v>
      </c>
    </row>
    <row r="4" spans="1:14" x14ac:dyDescent="0.3">
      <c r="A4" s="76" t="s">
        <v>109</v>
      </c>
    </row>
    <row r="5" spans="1:14" x14ac:dyDescent="0.3">
      <c r="A5" s="76" t="s">
        <v>108</v>
      </c>
    </row>
    <row r="6" spans="1:14" x14ac:dyDescent="0.3">
      <c r="A6" s="76"/>
    </row>
    <row r="7" spans="1:14" x14ac:dyDescent="0.3">
      <c r="A7" s="91" t="s">
        <v>71</v>
      </c>
      <c r="B7" s="90" t="s">
        <v>107</v>
      </c>
      <c r="C7" s="90" t="s">
        <v>106</v>
      </c>
      <c r="D7" s="90" t="s">
        <v>105</v>
      </c>
      <c r="E7" s="90" t="s">
        <v>104</v>
      </c>
      <c r="F7" s="90" t="s">
        <v>103</v>
      </c>
      <c r="G7" s="90" t="s">
        <v>102</v>
      </c>
      <c r="I7" s="89" t="s">
        <v>101</v>
      </c>
      <c r="J7" s="89" t="s">
        <v>100</v>
      </c>
    </row>
    <row r="8" spans="1:14" x14ac:dyDescent="0.3">
      <c r="A8" s="87" t="s">
        <v>85</v>
      </c>
      <c r="B8" s="80" t="s">
        <v>99</v>
      </c>
      <c r="C8" s="80" t="s">
        <v>98</v>
      </c>
      <c r="D8" s="86">
        <v>43105</v>
      </c>
      <c r="E8" s="85">
        <v>2290</v>
      </c>
      <c r="F8" s="85">
        <v>2000</v>
      </c>
      <c r="G8" s="85">
        <f t="shared" ref="G8:G14" si="0">E8-F8</f>
        <v>290</v>
      </c>
      <c r="I8" s="89" t="s">
        <v>97</v>
      </c>
      <c r="J8" s="88" t="s">
        <v>96</v>
      </c>
      <c r="K8" s="88" t="s">
        <v>95</v>
      </c>
      <c r="L8" s="88" t="s">
        <v>94</v>
      </c>
      <c r="M8" s="88" t="s">
        <v>93</v>
      </c>
      <c r="N8" s="88" t="s">
        <v>72</v>
      </c>
    </row>
    <row r="9" spans="1:14" x14ac:dyDescent="0.3">
      <c r="A9" s="87" t="s">
        <v>64</v>
      </c>
      <c r="B9" s="80" t="s">
        <v>92</v>
      </c>
      <c r="C9" s="80" t="s">
        <v>91</v>
      </c>
      <c r="D9" s="86">
        <v>43154</v>
      </c>
      <c r="E9" s="85">
        <v>1439</v>
      </c>
      <c r="F9" s="85">
        <v>1430</v>
      </c>
      <c r="G9" s="85">
        <f t="shared" si="0"/>
        <v>9</v>
      </c>
      <c r="I9" s="75" t="s">
        <v>90</v>
      </c>
      <c r="J9" s="84"/>
      <c r="K9" s="84"/>
      <c r="L9" s="84">
        <v>2586</v>
      </c>
      <c r="M9" s="84">
        <v>1300</v>
      </c>
      <c r="N9" s="84">
        <v>3886</v>
      </c>
    </row>
    <row r="10" spans="1:14" x14ac:dyDescent="0.3">
      <c r="A10" s="87" t="s">
        <v>89</v>
      </c>
      <c r="B10" s="80" t="s">
        <v>88</v>
      </c>
      <c r="C10" s="80" t="s">
        <v>87</v>
      </c>
      <c r="D10" s="86">
        <v>43147</v>
      </c>
      <c r="E10" s="85">
        <v>3075</v>
      </c>
      <c r="F10" s="85">
        <v>2542</v>
      </c>
      <c r="G10" s="85">
        <f t="shared" si="0"/>
        <v>533</v>
      </c>
      <c r="I10" s="75" t="s">
        <v>86</v>
      </c>
      <c r="J10" s="84">
        <v>2290</v>
      </c>
      <c r="K10" s="84"/>
      <c r="L10" s="84">
        <v>1702</v>
      </c>
      <c r="M10" s="84"/>
      <c r="N10" s="84">
        <v>3992</v>
      </c>
    </row>
    <row r="11" spans="1:14" x14ac:dyDescent="0.3">
      <c r="A11" s="87" t="s">
        <v>85</v>
      </c>
      <c r="B11" s="80" t="s">
        <v>84</v>
      </c>
      <c r="C11" s="80" t="s">
        <v>83</v>
      </c>
      <c r="D11" s="86">
        <v>43182</v>
      </c>
      <c r="E11" s="85">
        <v>1702</v>
      </c>
      <c r="F11" s="85">
        <v>250</v>
      </c>
      <c r="G11" s="85">
        <f t="shared" si="0"/>
        <v>1452</v>
      </c>
      <c r="I11" s="75" t="s">
        <v>82</v>
      </c>
      <c r="J11" s="84"/>
      <c r="K11" s="84">
        <v>1439</v>
      </c>
      <c r="L11" s="84"/>
      <c r="M11" s="84"/>
      <c r="N11" s="84">
        <v>1439</v>
      </c>
    </row>
    <row r="12" spans="1:14" x14ac:dyDescent="0.3">
      <c r="A12" s="87" t="s">
        <v>81</v>
      </c>
      <c r="B12" s="80" t="s">
        <v>80</v>
      </c>
      <c r="C12" s="80" t="s">
        <v>79</v>
      </c>
      <c r="D12" s="86">
        <v>43189</v>
      </c>
      <c r="E12" s="85">
        <v>2586</v>
      </c>
      <c r="F12" s="85">
        <v>2166</v>
      </c>
      <c r="G12" s="85">
        <f t="shared" si="0"/>
        <v>420</v>
      </c>
      <c r="I12" s="75" t="s">
        <v>78</v>
      </c>
      <c r="J12" s="84"/>
      <c r="K12" s="84">
        <v>3510</v>
      </c>
      <c r="L12" s="84"/>
      <c r="M12" s="84"/>
      <c r="N12" s="84">
        <v>3510</v>
      </c>
    </row>
    <row r="13" spans="1:14" x14ac:dyDescent="0.3">
      <c r="A13" s="87" t="s">
        <v>67</v>
      </c>
      <c r="B13" s="80" t="s">
        <v>77</v>
      </c>
      <c r="C13" s="80" t="s">
        <v>76</v>
      </c>
      <c r="D13" s="86">
        <v>43196</v>
      </c>
      <c r="E13" s="85">
        <v>1300</v>
      </c>
      <c r="F13" s="85">
        <v>398</v>
      </c>
      <c r="G13" s="85">
        <f t="shared" si="0"/>
        <v>902</v>
      </c>
      <c r="I13" s="75" t="s">
        <v>75</v>
      </c>
      <c r="J13" s="84"/>
      <c r="K13" s="84">
        <v>3075</v>
      </c>
      <c r="L13" s="84"/>
      <c r="M13" s="84"/>
      <c r="N13" s="84">
        <v>3075</v>
      </c>
    </row>
    <row r="14" spans="1:14" x14ac:dyDescent="0.3">
      <c r="A14" s="87" t="s">
        <v>62</v>
      </c>
      <c r="B14" s="80" t="s">
        <v>74</v>
      </c>
      <c r="C14" s="80" t="s">
        <v>73</v>
      </c>
      <c r="D14" s="86">
        <v>43133</v>
      </c>
      <c r="E14" s="85">
        <v>3510</v>
      </c>
      <c r="F14" s="85">
        <v>2500</v>
      </c>
      <c r="G14" s="85">
        <f t="shared" si="0"/>
        <v>1010</v>
      </c>
      <c r="I14" s="75" t="s">
        <v>72</v>
      </c>
      <c r="J14" s="84">
        <v>2290</v>
      </c>
      <c r="K14" s="84">
        <v>8024</v>
      </c>
      <c r="L14" s="84">
        <v>4288</v>
      </c>
      <c r="M14" s="84">
        <v>1300</v>
      </c>
      <c r="N14" s="84">
        <v>15902</v>
      </c>
    </row>
    <row r="15" spans="1:14" ht="14.25" thickBot="1" x14ac:dyDescent="0.35">
      <c r="L15" s="83"/>
      <c r="M15" s="83"/>
    </row>
    <row r="16" spans="1:14" x14ac:dyDescent="0.3">
      <c r="A16" s="142" t="s">
        <v>71</v>
      </c>
      <c r="B16" s="143"/>
      <c r="C16" s="82">
        <v>1</v>
      </c>
      <c r="D16" s="82">
        <v>2</v>
      </c>
      <c r="E16" s="81" t="s">
        <v>70</v>
      </c>
    </row>
    <row r="17" spans="1:5" x14ac:dyDescent="0.3">
      <c r="A17" s="144" t="s">
        <v>69</v>
      </c>
      <c r="B17" s="80" t="s">
        <v>68</v>
      </c>
      <c r="C17" s="24">
        <f>GETPIVOTDATA("판매",$I$7,"지역",$B17,"방문일",C$16)</f>
        <v>2290</v>
      </c>
      <c r="D17" s="24">
        <f>GETPIVOTDATA("판매",$I$7,"지역",$B17,"방문일",D$16)</f>
        <v>0</v>
      </c>
      <c r="E17" s="23">
        <f t="shared" ref="E17:E24" si="1">SUM(C17:D17)</f>
        <v>2290</v>
      </c>
    </row>
    <row r="18" spans="1:5" x14ac:dyDescent="0.3">
      <c r="A18" s="144"/>
      <c r="B18" s="80" t="s">
        <v>67</v>
      </c>
      <c r="C18" s="24">
        <f>GETPIVOTDATA("판매",$I$7,"지역",$B18,"방문일",C$16)</f>
        <v>0</v>
      </c>
      <c r="D18" s="24">
        <f>GETPIVOTDATA("판매",$I$7,"지역",$B18,"방문일",D$16)</f>
        <v>0</v>
      </c>
      <c r="E18" s="23">
        <f t="shared" si="1"/>
        <v>0</v>
      </c>
    </row>
    <row r="19" spans="1:5" x14ac:dyDescent="0.3">
      <c r="A19" s="144" t="s">
        <v>66</v>
      </c>
      <c r="B19" s="145"/>
      <c r="C19" s="24">
        <f>SUM(C17:C18)</f>
        <v>2290</v>
      </c>
      <c r="D19" s="24">
        <f>SUM(D17:D18)</f>
        <v>0</v>
      </c>
      <c r="E19" s="23">
        <f t="shared" si="1"/>
        <v>2290</v>
      </c>
    </row>
    <row r="20" spans="1:5" x14ac:dyDescent="0.3">
      <c r="A20" s="144" t="s">
        <v>65</v>
      </c>
      <c r="B20" s="80" t="s">
        <v>64</v>
      </c>
      <c r="C20" s="24">
        <f t="shared" ref="C20:D22" si="2">GETPIVOTDATA("판매",$I$7,"지역",$B20,"방문일",C$16)</f>
        <v>0</v>
      </c>
      <c r="D20" s="24">
        <f t="shared" si="2"/>
        <v>1439</v>
      </c>
      <c r="E20" s="79">
        <f t="shared" si="1"/>
        <v>1439</v>
      </c>
    </row>
    <row r="21" spans="1:5" x14ac:dyDescent="0.3">
      <c r="A21" s="144"/>
      <c r="B21" s="80" t="s">
        <v>63</v>
      </c>
      <c r="C21" s="24">
        <f t="shared" si="2"/>
        <v>0</v>
      </c>
      <c r="D21" s="24">
        <f t="shared" si="2"/>
        <v>3075</v>
      </c>
      <c r="E21" s="79">
        <f t="shared" si="1"/>
        <v>3075</v>
      </c>
    </row>
    <row r="22" spans="1:5" x14ac:dyDescent="0.3">
      <c r="A22" s="144"/>
      <c r="B22" s="80" t="s">
        <v>62</v>
      </c>
      <c r="C22" s="24">
        <f t="shared" si="2"/>
        <v>0</v>
      </c>
      <c r="D22" s="24">
        <f t="shared" si="2"/>
        <v>3510</v>
      </c>
      <c r="E22" s="79">
        <f t="shared" si="1"/>
        <v>3510</v>
      </c>
    </row>
    <row r="23" spans="1:5" x14ac:dyDescent="0.3">
      <c r="A23" s="144" t="s">
        <v>61</v>
      </c>
      <c r="B23" s="145"/>
      <c r="C23" s="24">
        <f>SUM(C20:C22)</f>
        <v>0</v>
      </c>
      <c r="D23" s="24">
        <f>SUM(D20:D22)</f>
        <v>8024</v>
      </c>
      <c r="E23" s="79">
        <f t="shared" si="1"/>
        <v>8024</v>
      </c>
    </row>
    <row r="24" spans="1:5" ht="14.25" thickBot="1" x14ac:dyDescent="0.35">
      <c r="A24" s="140" t="s">
        <v>60</v>
      </c>
      <c r="B24" s="141"/>
      <c r="C24" s="78">
        <f>SUM(C23,C19)</f>
        <v>2290</v>
      </c>
      <c r="D24" s="78">
        <f>SUM(D23,D19)</f>
        <v>8024</v>
      </c>
      <c r="E24" s="77">
        <f t="shared" si="1"/>
        <v>10314</v>
      </c>
    </row>
  </sheetData>
  <mergeCells count="6">
    <mergeCell ref="A24:B24"/>
    <mergeCell ref="A16:B16"/>
    <mergeCell ref="A17:A18"/>
    <mergeCell ref="A20:A22"/>
    <mergeCell ref="A23:B23"/>
    <mergeCell ref="A19:B19"/>
  </mergeCells>
  <phoneticPr fontId="2" type="noConversion"/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18"/>
  <sheetViews>
    <sheetView zoomScaleNormal="100" workbookViewId="0">
      <selection activeCell="D34" sqref="D34"/>
    </sheetView>
  </sheetViews>
  <sheetFormatPr defaultColWidth="9" defaultRowHeight="13.5" x14ac:dyDescent="0.3"/>
  <cols>
    <col min="1" max="1" width="2.625" style="7" customWidth="1"/>
    <col min="2" max="2" width="16.5" style="7" customWidth="1"/>
    <col min="3" max="3" width="24.5" style="7" customWidth="1"/>
    <col min="4" max="4" width="11.625" style="7" customWidth="1"/>
    <col min="5" max="7" width="13.375" style="7" customWidth="1"/>
    <col min="8" max="8" width="14.75" style="7" customWidth="1"/>
    <col min="9" max="16384" width="9" style="7"/>
  </cols>
  <sheetData>
    <row r="1" spans="1:8" ht="17.25" x14ac:dyDescent="0.3">
      <c r="A1" s="17" t="s">
        <v>36</v>
      </c>
    </row>
    <row r="3" spans="1:8" x14ac:dyDescent="0.3">
      <c r="B3" s="34" t="s">
        <v>35</v>
      </c>
      <c r="C3" s="39">
        <v>-300000</v>
      </c>
      <c r="E3" s="34" t="s">
        <v>35</v>
      </c>
      <c r="F3" s="38">
        <v>-300000</v>
      </c>
    </row>
    <row r="4" spans="1:8" x14ac:dyDescent="0.3">
      <c r="B4" s="34" t="s">
        <v>34</v>
      </c>
      <c r="C4" s="37">
        <v>4.2000000000000003E-2</v>
      </c>
      <c r="E4" s="34" t="s">
        <v>34</v>
      </c>
      <c r="F4" s="36">
        <v>4.2000000000000003E-2</v>
      </c>
    </row>
    <row r="5" spans="1:8" x14ac:dyDescent="0.3">
      <c r="B5" s="34" t="s">
        <v>33</v>
      </c>
      <c r="C5" s="34">
        <v>3</v>
      </c>
      <c r="E5" s="34" t="s">
        <v>33</v>
      </c>
      <c r="F5" s="35">
        <v>3</v>
      </c>
    </row>
    <row r="6" spans="1:8" x14ac:dyDescent="0.3">
      <c r="B6" s="34" t="s">
        <v>32</v>
      </c>
      <c r="C6" s="33">
        <f>FV(C4/12,C5*12,C3)</f>
        <v>11488514.448838906</v>
      </c>
      <c r="E6" s="34" t="s">
        <v>32</v>
      </c>
      <c r="F6" s="33">
        <f>FV(F4/12,F5*12,F3)</f>
        <v>11488514.448838906</v>
      </c>
    </row>
    <row r="7" spans="1:8" ht="14.25" thickBot="1" x14ac:dyDescent="0.35"/>
    <row r="8" spans="1:8" x14ac:dyDescent="0.3">
      <c r="B8" s="32"/>
      <c r="C8" s="31">
        <f>C6</f>
        <v>11488514.448838906</v>
      </c>
      <c r="E8" s="30">
        <f>F6</f>
        <v>11488514.448838906</v>
      </c>
      <c r="F8" s="29">
        <v>3</v>
      </c>
      <c r="G8" s="29">
        <v>5</v>
      </c>
      <c r="H8" s="28">
        <v>10</v>
      </c>
    </row>
    <row r="9" spans="1:8" x14ac:dyDescent="0.3">
      <c r="B9" s="27">
        <v>-200000</v>
      </c>
      <c r="C9" s="26">
        <f t="dataTable" ref="C9:C11" dt2D="0" dtr="0" r1="C3"/>
        <v>7659009.6325592715</v>
      </c>
      <c r="E9" s="25">
        <v>3.5000000000000003E-2</v>
      </c>
      <c r="F9" s="24">
        <f t="dataTable" ref="F9:H11" dt2D="1" dtr="1" r1="F5" r2="F4"/>
        <v>11369918.648422465</v>
      </c>
      <c r="G9" s="24">
        <v>19639833.854697675</v>
      </c>
      <c r="H9" s="23">
        <v>43029753.149507672</v>
      </c>
    </row>
    <row r="10" spans="1:8" x14ac:dyDescent="0.3">
      <c r="B10" s="27">
        <v>-250000</v>
      </c>
      <c r="C10" s="26">
        <v>9573762.0406990889</v>
      </c>
      <c r="E10" s="25">
        <v>0.04</v>
      </c>
      <c r="F10" s="24">
        <v>11454468.706612337</v>
      </c>
      <c r="G10" s="24">
        <v>19889693.454791028</v>
      </c>
      <c r="H10" s="23">
        <v>44174941.417643778</v>
      </c>
    </row>
    <row r="11" spans="1:8" ht="14.25" thickBot="1" x14ac:dyDescent="0.35">
      <c r="B11" s="22">
        <v>-350000</v>
      </c>
      <c r="C11" s="21">
        <v>13403266.856978724</v>
      </c>
      <c r="E11" s="20">
        <v>4.4999999999999998E-2</v>
      </c>
      <c r="F11" s="19">
        <v>11539826.576391194</v>
      </c>
      <c r="G11" s="19">
        <v>20143665.64193349</v>
      </c>
      <c r="H11" s="18">
        <v>45359422.102542095</v>
      </c>
    </row>
    <row r="13" spans="1:8" x14ac:dyDescent="0.3">
      <c r="B13" s="7" t="s">
        <v>31</v>
      </c>
      <c r="E13" s="7" t="s">
        <v>30</v>
      </c>
    </row>
    <row r="14" spans="1:8" x14ac:dyDescent="0.3">
      <c r="B14" s="7" t="s">
        <v>29</v>
      </c>
      <c r="E14" s="7" t="s">
        <v>28</v>
      </c>
    </row>
    <row r="15" spans="1:8" x14ac:dyDescent="0.3">
      <c r="B15" s="7" t="s">
        <v>27</v>
      </c>
      <c r="E15" s="7" t="s">
        <v>27</v>
      </c>
    </row>
    <row r="16" spans="1:8" x14ac:dyDescent="0.3">
      <c r="B16" s="7" t="s">
        <v>26</v>
      </c>
      <c r="E16" s="7" t="s">
        <v>26</v>
      </c>
    </row>
    <row r="17" spans="2:5" x14ac:dyDescent="0.3">
      <c r="B17" s="7" t="s">
        <v>25</v>
      </c>
      <c r="E17" s="7" t="s">
        <v>24</v>
      </c>
    </row>
    <row r="18" spans="2:5" x14ac:dyDescent="0.3">
      <c r="E18" s="7" t="s">
        <v>23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17"/>
  <sheetViews>
    <sheetView zoomScaleNormal="100" workbookViewId="0">
      <selection activeCell="C31" sqref="C31"/>
    </sheetView>
  </sheetViews>
  <sheetFormatPr defaultColWidth="9" defaultRowHeight="13.5" x14ac:dyDescent="0.3"/>
  <cols>
    <col min="1" max="3" width="9" style="7"/>
    <col min="4" max="18" width="3.5" style="8" customWidth="1"/>
    <col min="19" max="16384" width="9" style="7"/>
  </cols>
  <sheetData>
    <row r="1" spans="1:19" ht="17.25" x14ac:dyDescent="0.3">
      <c r="A1" s="17" t="s">
        <v>22</v>
      </c>
    </row>
    <row r="2" spans="1:19" x14ac:dyDescent="0.3">
      <c r="A2" s="16"/>
    </row>
    <row r="3" spans="1:19" x14ac:dyDescent="0.3">
      <c r="D3" s="15">
        <v>43221</v>
      </c>
      <c r="E3" s="15">
        <v>43222</v>
      </c>
      <c r="F3" s="15">
        <v>43223</v>
      </c>
      <c r="G3" s="15">
        <v>43224</v>
      </c>
      <c r="H3" s="15">
        <v>43225</v>
      </c>
      <c r="I3" s="15">
        <v>43226</v>
      </c>
      <c r="J3" s="15">
        <v>43227</v>
      </c>
      <c r="K3" s="15">
        <v>43228</v>
      </c>
      <c r="L3" s="15">
        <v>43229</v>
      </c>
      <c r="M3" s="15">
        <v>43230</v>
      </c>
      <c r="N3" s="15">
        <v>43231</v>
      </c>
      <c r="O3" s="15">
        <v>43232</v>
      </c>
      <c r="P3" s="15">
        <v>43233</v>
      </c>
      <c r="Q3" s="15">
        <v>43234</v>
      </c>
      <c r="R3" s="15">
        <v>43235</v>
      </c>
      <c r="S3" s="7" t="s">
        <v>21</v>
      </c>
    </row>
    <row r="4" spans="1:19" x14ac:dyDescent="0.3">
      <c r="A4" s="8" t="s">
        <v>20</v>
      </c>
      <c r="B4" s="8" t="s">
        <v>19</v>
      </c>
      <c r="C4" s="8" t="s">
        <v>18</v>
      </c>
      <c r="D4" s="14">
        <v>43221</v>
      </c>
      <c r="E4" s="14">
        <v>43222</v>
      </c>
      <c r="F4" s="14">
        <v>43223</v>
      </c>
      <c r="G4" s="14">
        <v>43224</v>
      </c>
      <c r="H4" s="14">
        <v>43225</v>
      </c>
      <c r="I4" s="14">
        <v>43226</v>
      </c>
      <c r="J4" s="14">
        <v>43227</v>
      </c>
      <c r="K4" s="14">
        <v>43228</v>
      </c>
      <c r="L4" s="14">
        <v>43229</v>
      </c>
      <c r="M4" s="14">
        <v>43230</v>
      </c>
      <c r="N4" s="14">
        <v>43231</v>
      </c>
      <c r="O4" s="14">
        <v>43232</v>
      </c>
      <c r="P4" s="14">
        <v>43233</v>
      </c>
      <c r="Q4" s="14">
        <v>43234</v>
      </c>
      <c r="R4" s="14">
        <v>43235</v>
      </c>
      <c r="S4" s="7" t="s">
        <v>17</v>
      </c>
    </row>
    <row r="5" spans="1:19" s="11" customFormat="1" ht="5.25" customHeight="1" x14ac:dyDescent="0.3">
      <c r="A5" s="13"/>
      <c r="B5" s="13"/>
      <c r="C5" s="13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9" x14ac:dyDescent="0.3">
      <c r="A6" s="9">
        <v>43222</v>
      </c>
      <c r="B6" s="9">
        <v>43224</v>
      </c>
      <c r="C6" s="10">
        <f>IF(COUNTA(A6:B6)=2,B6-A6+1,"")</f>
        <v>3</v>
      </c>
      <c r="S6" s="7" t="s">
        <v>16</v>
      </c>
    </row>
    <row r="7" spans="1:19" ht="3.75" customHeight="1" x14ac:dyDescent="0.3">
      <c r="A7" s="9"/>
      <c r="B7" s="9"/>
      <c r="C7" s="10"/>
    </row>
    <row r="8" spans="1:19" x14ac:dyDescent="0.3">
      <c r="A8" s="9">
        <v>43226</v>
      </c>
      <c r="B8" s="9">
        <v>43230</v>
      </c>
      <c r="C8" s="10">
        <f>IF(COUNTA(A8:B8)=2,B8-A8+1,"")</f>
        <v>5</v>
      </c>
    </row>
    <row r="9" spans="1:19" ht="3.75" customHeight="1" x14ac:dyDescent="0.3">
      <c r="A9" s="9"/>
      <c r="B9" s="9"/>
      <c r="C9" s="10"/>
    </row>
    <row r="10" spans="1:19" x14ac:dyDescent="0.3">
      <c r="A10" s="9">
        <v>43228</v>
      </c>
      <c r="B10" s="9">
        <v>43231</v>
      </c>
      <c r="C10" s="10">
        <f>IF(COUNTA(A10:B10)=2,B10-A10+1,"")</f>
        <v>4</v>
      </c>
    </row>
    <row r="11" spans="1:19" ht="3" customHeight="1" x14ac:dyDescent="0.3">
      <c r="A11" s="8"/>
      <c r="B11" s="8"/>
      <c r="C11" s="10"/>
    </row>
    <row r="12" spans="1:19" x14ac:dyDescent="0.3">
      <c r="C12" s="10"/>
    </row>
    <row r="13" spans="1:19" x14ac:dyDescent="0.3">
      <c r="A13" s="9"/>
      <c r="B13" s="9"/>
      <c r="C13" s="10"/>
    </row>
    <row r="14" spans="1:19" x14ac:dyDescent="0.3">
      <c r="A14" s="9"/>
      <c r="B14" s="9"/>
      <c r="C14" s="10"/>
    </row>
    <row r="15" spans="1:19" x14ac:dyDescent="0.3">
      <c r="A15" s="9"/>
      <c r="B15" s="9"/>
    </row>
    <row r="16" spans="1:19" x14ac:dyDescent="0.3">
      <c r="A16" s="9"/>
      <c r="B16" s="9"/>
    </row>
    <row r="17" spans="1:2" x14ac:dyDescent="0.3">
      <c r="A17" s="9"/>
      <c r="B17" s="9"/>
    </row>
  </sheetData>
  <phoneticPr fontId="2" type="noConversion"/>
  <conditionalFormatting sqref="D4:R4">
    <cfRule type="expression" dxfId="1" priority="2">
      <formula>OR(TEXT(D4,"AAA")="토",TEXT(D4,"AAA")="일")</formula>
    </cfRule>
  </conditionalFormatting>
  <conditionalFormatting sqref="D6:R10">
    <cfRule type="expression" dxfId="0" priority="1">
      <formula>AND(D$3&gt;=$A6,D$3&lt;=$B6)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261"/>
  <sheetViews>
    <sheetView workbookViewId="0">
      <selection activeCell="A33" sqref="A33"/>
    </sheetView>
  </sheetViews>
  <sheetFormatPr defaultColWidth="8.75" defaultRowHeight="13.5" x14ac:dyDescent="0.25"/>
  <cols>
    <col min="1" max="1" width="115.125" style="96" bestFit="1" customWidth="1"/>
    <col min="2" max="16384" width="8.75" style="95"/>
  </cols>
  <sheetData>
    <row r="1" spans="1:1" s="7" customFormat="1" ht="17.25" x14ac:dyDescent="0.3">
      <c r="A1" s="17" t="s">
        <v>432</v>
      </c>
    </row>
    <row r="2" spans="1:1" customFormat="1" ht="16.5" x14ac:dyDescent="0.3"/>
    <row r="3" spans="1:1" x14ac:dyDescent="0.25">
      <c r="A3" s="96" t="s">
        <v>347</v>
      </c>
    </row>
    <row r="4" spans="1:1" x14ac:dyDescent="0.25">
      <c r="A4" s="98" t="s">
        <v>346</v>
      </c>
    </row>
    <row r="5" spans="1:1" x14ac:dyDescent="0.25">
      <c r="A5" s="98" t="s">
        <v>345</v>
      </c>
    </row>
    <row r="6" spans="1:1" x14ac:dyDescent="0.25">
      <c r="A6" s="98" t="s">
        <v>344</v>
      </c>
    </row>
    <row r="7" spans="1:1" x14ac:dyDescent="0.25">
      <c r="A7" s="98" t="s">
        <v>343</v>
      </c>
    </row>
    <row r="8" spans="1:1" x14ac:dyDescent="0.25">
      <c r="A8" s="96" t="s">
        <v>124</v>
      </c>
    </row>
    <row r="9" spans="1:1" x14ac:dyDescent="0.25">
      <c r="A9" s="96" t="s">
        <v>342</v>
      </c>
    </row>
    <row r="10" spans="1:1" x14ac:dyDescent="0.25">
      <c r="A10" s="98" t="s">
        <v>341</v>
      </c>
    </row>
    <row r="11" spans="1:1" x14ac:dyDescent="0.25">
      <c r="A11" s="98" t="s">
        <v>340</v>
      </c>
    </row>
    <row r="12" spans="1:1" x14ac:dyDescent="0.25">
      <c r="A12" s="98" t="s">
        <v>339</v>
      </c>
    </row>
    <row r="13" spans="1:1" x14ac:dyDescent="0.25">
      <c r="A13" s="96" t="s">
        <v>117</v>
      </c>
    </row>
    <row r="14" spans="1:1" x14ac:dyDescent="0.25">
      <c r="A14" s="96" t="s">
        <v>338</v>
      </c>
    </row>
    <row r="15" spans="1:1" x14ac:dyDescent="0.25">
      <c r="A15" s="98" t="s">
        <v>337</v>
      </c>
    </row>
    <row r="16" spans="1:1" x14ac:dyDescent="0.25">
      <c r="A16" s="98" t="s">
        <v>336</v>
      </c>
    </row>
    <row r="17" spans="1:1" x14ac:dyDescent="0.25">
      <c r="A17" s="98" t="s">
        <v>335</v>
      </c>
    </row>
    <row r="18" spans="1:1" x14ac:dyDescent="0.25">
      <c r="A18" s="98" t="s">
        <v>334</v>
      </c>
    </row>
    <row r="19" spans="1:1" x14ac:dyDescent="0.25">
      <c r="A19" s="98" t="s">
        <v>333</v>
      </c>
    </row>
    <row r="20" spans="1:1" x14ac:dyDescent="0.25">
      <c r="A20" s="98" t="s">
        <v>332</v>
      </c>
    </row>
    <row r="21" spans="1:1" x14ac:dyDescent="0.25">
      <c r="A21" s="98" t="s">
        <v>331</v>
      </c>
    </row>
    <row r="22" spans="1:1" x14ac:dyDescent="0.25">
      <c r="A22" s="98" t="s">
        <v>330</v>
      </c>
    </row>
    <row r="23" spans="1:1" x14ac:dyDescent="0.25">
      <c r="A23" s="98" t="s">
        <v>329</v>
      </c>
    </row>
    <row r="24" spans="1:1" x14ac:dyDescent="0.25">
      <c r="A24" s="96" t="s">
        <v>117</v>
      </c>
    </row>
    <row r="25" spans="1:1" x14ac:dyDescent="0.25">
      <c r="A25" s="101" t="s">
        <v>328</v>
      </c>
    </row>
    <row r="26" spans="1:1" x14ac:dyDescent="0.25">
      <c r="A26" s="98" t="s">
        <v>327</v>
      </c>
    </row>
    <row r="27" spans="1:1" x14ac:dyDescent="0.25">
      <c r="A27" s="96" t="s">
        <v>117</v>
      </c>
    </row>
    <row r="28" spans="1:1" x14ac:dyDescent="0.25">
      <c r="A28" s="96" t="s">
        <v>326</v>
      </c>
    </row>
    <row r="29" spans="1:1" x14ac:dyDescent="0.25">
      <c r="A29" s="96" t="s">
        <v>325</v>
      </c>
    </row>
    <row r="30" spans="1:1" x14ac:dyDescent="0.25">
      <c r="A30" s="96" t="s">
        <v>324</v>
      </c>
    </row>
    <row r="31" spans="1:1" x14ac:dyDescent="0.25">
      <c r="A31" s="96" t="s">
        <v>323</v>
      </c>
    </row>
    <row r="32" spans="1:1" x14ac:dyDescent="0.25">
      <c r="A32" s="96" t="s">
        <v>322</v>
      </c>
    </row>
    <row r="33" spans="1:1" x14ac:dyDescent="0.25">
      <c r="A33" s="96" t="s">
        <v>321</v>
      </c>
    </row>
    <row r="34" spans="1:1" x14ac:dyDescent="0.25">
      <c r="A34" s="96" t="s">
        <v>117</v>
      </c>
    </row>
    <row r="35" spans="1:1" ht="13.5" customHeight="1" x14ac:dyDescent="0.25">
      <c r="A35" s="96" t="s">
        <v>320</v>
      </c>
    </row>
    <row r="36" spans="1:1" ht="13.5" customHeight="1" x14ac:dyDescent="0.25">
      <c r="A36" s="96" t="s">
        <v>319</v>
      </c>
    </row>
    <row r="37" spans="1:1" ht="13.5" customHeight="1" x14ac:dyDescent="0.25">
      <c r="A37" s="96" t="s">
        <v>318</v>
      </c>
    </row>
    <row r="38" spans="1:1" ht="13.5" customHeight="1" x14ac:dyDescent="0.25">
      <c r="A38" s="96" t="s">
        <v>317</v>
      </c>
    </row>
    <row r="39" spans="1:1" ht="13.5" customHeight="1" x14ac:dyDescent="0.25">
      <c r="A39" s="96" t="s">
        <v>316</v>
      </c>
    </row>
    <row r="40" spans="1:1" ht="13.5" customHeight="1" x14ac:dyDescent="0.25">
      <c r="A40" s="96" t="s">
        <v>315</v>
      </c>
    </row>
    <row r="41" spans="1:1" x14ac:dyDescent="0.25">
      <c r="A41" s="96" t="s">
        <v>314</v>
      </c>
    </row>
    <row r="42" spans="1:1" x14ac:dyDescent="0.25">
      <c r="A42" s="96" t="s">
        <v>313</v>
      </c>
    </row>
    <row r="43" spans="1:1" x14ac:dyDescent="0.25">
      <c r="A43" s="96" t="s">
        <v>124</v>
      </c>
    </row>
    <row r="44" spans="1:1" x14ac:dyDescent="0.25">
      <c r="A44" s="96" t="s">
        <v>312</v>
      </c>
    </row>
    <row r="45" spans="1:1" x14ac:dyDescent="0.25">
      <c r="A45" s="98" t="s">
        <v>311</v>
      </c>
    </row>
    <row r="46" spans="1:1" x14ac:dyDescent="0.25">
      <c r="A46" s="98" t="s">
        <v>310</v>
      </c>
    </row>
    <row r="47" spans="1:1" x14ac:dyDescent="0.25">
      <c r="A47" s="98" t="s">
        <v>309</v>
      </c>
    </row>
    <row r="48" spans="1:1" x14ac:dyDescent="0.25">
      <c r="A48" s="96" t="s">
        <v>124</v>
      </c>
    </row>
    <row r="49" spans="1:1" x14ac:dyDescent="0.25">
      <c r="A49" s="96" t="s">
        <v>308</v>
      </c>
    </row>
    <row r="50" spans="1:1" x14ac:dyDescent="0.25">
      <c r="A50" s="98" t="s">
        <v>307</v>
      </c>
    </row>
    <row r="51" spans="1:1" x14ac:dyDescent="0.25">
      <c r="A51" s="98" t="s">
        <v>306</v>
      </c>
    </row>
    <row r="52" spans="1:1" x14ac:dyDescent="0.25">
      <c r="A52" s="98" t="s">
        <v>305</v>
      </c>
    </row>
    <row r="53" spans="1:1" x14ac:dyDescent="0.25">
      <c r="A53" s="98" t="s">
        <v>304</v>
      </c>
    </row>
    <row r="54" spans="1:1" x14ac:dyDescent="0.25">
      <c r="A54" s="98" t="s">
        <v>303</v>
      </c>
    </row>
    <row r="55" spans="1:1" x14ac:dyDescent="0.25">
      <c r="A55" s="96" t="s">
        <v>177</v>
      </c>
    </row>
    <row r="56" spans="1:1" x14ac:dyDescent="0.25">
      <c r="A56" s="96" t="s">
        <v>302</v>
      </c>
    </row>
    <row r="57" spans="1:1" x14ac:dyDescent="0.25">
      <c r="A57" s="98" t="s">
        <v>301</v>
      </c>
    </row>
    <row r="58" spans="1:1" x14ac:dyDescent="0.25">
      <c r="A58" s="98" t="s">
        <v>300</v>
      </c>
    </row>
    <row r="59" spans="1:1" x14ac:dyDescent="0.25">
      <c r="A59" s="98" t="s">
        <v>299</v>
      </c>
    </row>
    <row r="60" spans="1:1" x14ac:dyDescent="0.25">
      <c r="A60" s="98" t="s">
        <v>298</v>
      </c>
    </row>
    <row r="61" spans="1:1" x14ac:dyDescent="0.25">
      <c r="A61" s="98" t="s">
        <v>297</v>
      </c>
    </row>
    <row r="62" spans="1:1" x14ac:dyDescent="0.25">
      <c r="A62" s="98" t="s">
        <v>296</v>
      </c>
    </row>
    <row r="63" spans="1:1" x14ac:dyDescent="0.25">
      <c r="A63" s="96" t="s">
        <v>124</v>
      </c>
    </row>
    <row r="64" spans="1:1" x14ac:dyDescent="0.25">
      <c r="A64" s="96" t="s">
        <v>295</v>
      </c>
    </row>
    <row r="65" spans="1:1" x14ac:dyDescent="0.25">
      <c r="A65" s="98" t="s">
        <v>294</v>
      </c>
    </row>
    <row r="66" spans="1:1" x14ac:dyDescent="0.25">
      <c r="A66" s="98" t="s">
        <v>293</v>
      </c>
    </row>
    <row r="67" spans="1:1" x14ac:dyDescent="0.25">
      <c r="A67" s="98" t="s">
        <v>292</v>
      </c>
    </row>
    <row r="68" spans="1:1" x14ac:dyDescent="0.25">
      <c r="A68" s="98" t="s">
        <v>291</v>
      </c>
    </row>
    <row r="69" spans="1:1" x14ac:dyDescent="0.25">
      <c r="A69" s="98" t="s">
        <v>290</v>
      </c>
    </row>
    <row r="70" spans="1:1" x14ac:dyDescent="0.25">
      <c r="A70" s="98" t="s">
        <v>289</v>
      </c>
    </row>
    <row r="71" spans="1:1" x14ac:dyDescent="0.25">
      <c r="A71" s="98" t="s">
        <v>288</v>
      </c>
    </row>
    <row r="72" spans="1:1" x14ac:dyDescent="0.25">
      <c r="A72" s="98" t="s">
        <v>287</v>
      </c>
    </row>
    <row r="73" spans="1:1" x14ac:dyDescent="0.25">
      <c r="A73" s="98" t="s">
        <v>286</v>
      </c>
    </row>
    <row r="74" spans="1:1" x14ac:dyDescent="0.25">
      <c r="A74" s="98" t="s">
        <v>285</v>
      </c>
    </row>
    <row r="75" spans="1:1" x14ac:dyDescent="0.25">
      <c r="A75" s="98" t="s">
        <v>284</v>
      </c>
    </row>
    <row r="76" spans="1:1" x14ac:dyDescent="0.25">
      <c r="A76" s="98" t="s">
        <v>283</v>
      </c>
    </row>
    <row r="77" spans="1:1" x14ac:dyDescent="0.25">
      <c r="A77" s="98" t="s">
        <v>282</v>
      </c>
    </row>
    <row r="78" spans="1:1" x14ac:dyDescent="0.25">
      <c r="A78" s="98" t="s">
        <v>281</v>
      </c>
    </row>
    <row r="79" spans="1:1" x14ac:dyDescent="0.25">
      <c r="A79" s="98" t="s">
        <v>280</v>
      </c>
    </row>
    <row r="80" spans="1:1" x14ac:dyDescent="0.25">
      <c r="A80" s="96" t="s">
        <v>117</v>
      </c>
    </row>
    <row r="81" spans="1:1" x14ac:dyDescent="0.25">
      <c r="A81" s="101" t="s">
        <v>279</v>
      </c>
    </row>
    <row r="82" spans="1:1" x14ac:dyDescent="0.25">
      <c r="A82" s="98" t="s">
        <v>278</v>
      </c>
    </row>
    <row r="83" spans="1:1" x14ac:dyDescent="0.25">
      <c r="A83" s="98" t="s">
        <v>277</v>
      </c>
    </row>
    <row r="84" spans="1:1" x14ac:dyDescent="0.25">
      <c r="A84" s="98" t="s">
        <v>276</v>
      </c>
    </row>
    <row r="85" spans="1:1" x14ac:dyDescent="0.25">
      <c r="A85" s="98" t="s">
        <v>275</v>
      </c>
    </row>
    <row r="86" spans="1:1" x14ac:dyDescent="0.25">
      <c r="A86" s="98" t="s">
        <v>274</v>
      </c>
    </row>
    <row r="87" spans="1:1" x14ac:dyDescent="0.25">
      <c r="A87" s="98" t="s">
        <v>273</v>
      </c>
    </row>
    <row r="88" spans="1:1" x14ac:dyDescent="0.25">
      <c r="A88" s="98" t="s">
        <v>272</v>
      </c>
    </row>
    <row r="89" spans="1:1" x14ac:dyDescent="0.25">
      <c r="A89" s="96" t="s">
        <v>124</v>
      </c>
    </row>
    <row r="90" spans="1:1" x14ac:dyDescent="0.25">
      <c r="A90" s="96" t="s">
        <v>271</v>
      </c>
    </row>
    <row r="91" spans="1:1" x14ac:dyDescent="0.25">
      <c r="A91" s="98" t="s">
        <v>270</v>
      </c>
    </row>
    <row r="92" spans="1:1" x14ac:dyDescent="0.25">
      <c r="A92" s="98" t="s">
        <v>269</v>
      </c>
    </row>
    <row r="93" spans="1:1" x14ac:dyDescent="0.25">
      <c r="A93" s="98" t="s">
        <v>268</v>
      </c>
    </row>
    <row r="94" spans="1:1" x14ac:dyDescent="0.25">
      <c r="A94" s="98" t="s">
        <v>267</v>
      </c>
    </row>
    <row r="95" spans="1:1" x14ac:dyDescent="0.25">
      <c r="A95" s="98" t="s">
        <v>266</v>
      </c>
    </row>
    <row r="96" spans="1:1" x14ac:dyDescent="0.25">
      <c r="A96" s="98" t="s">
        <v>265</v>
      </c>
    </row>
    <row r="97" spans="1:1" x14ac:dyDescent="0.25">
      <c r="A97" s="96" t="s">
        <v>124</v>
      </c>
    </row>
    <row r="98" spans="1:1" x14ac:dyDescent="0.25">
      <c r="A98" s="96" t="s">
        <v>264</v>
      </c>
    </row>
    <row r="99" spans="1:1" x14ac:dyDescent="0.25">
      <c r="A99" s="98" t="s">
        <v>263</v>
      </c>
    </row>
    <row r="100" spans="1:1" x14ac:dyDescent="0.25">
      <c r="A100" s="98" t="s">
        <v>262</v>
      </c>
    </row>
    <row r="101" spans="1:1" x14ac:dyDescent="0.25">
      <c r="A101" s="98" t="s">
        <v>261</v>
      </c>
    </row>
    <row r="102" spans="1:1" x14ac:dyDescent="0.25">
      <c r="A102" s="98" t="s">
        <v>260</v>
      </c>
    </row>
    <row r="103" spans="1:1" x14ac:dyDescent="0.25">
      <c r="A103" s="98" t="s">
        <v>259</v>
      </c>
    </row>
    <row r="104" spans="1:1" x14ac:dyDescent="0.25">
      <c r="A104" s="98" t="s">
        <v>258</v>
      </c>
    </row>
    <row r="105" spans="1:1" x14ac:dyDescent="0.25">
      <c r="A105" s="98" t="s">
        <v>257</v>
      </c>
    </row>
    <row r="106" spans="1:1" x14ac:dyDescent="0.25">
      <c r="A106" s="98" t="s">
        <v>256</v>
      </c>
    </row>
    <row r="107" spans="1:1" x14ac:dyDescent="0.25">
      <c r="A107" s="96" t="s">
        <v>124</v>
      </c>
    </row>
    <row r="108" spans="1:1" x14ac:dyDescent="0.25">
      <c r="A108" s="96" t="s">
        <v>255</v>
      </c>
    </row>
    <row r="109" spans="1:1" x14ac:dyDescent="0.25">
      <c r="A109" s="98" t="s">
        <v>254</v>
      </c>
    </row>
    <row r="110" spans="1:1" x14ac:dyDescent="0.25">
      <c r="A110" s="98" t="s">
        <v>253</v>
      </c>
    </row>
    <row r="111" spans="1:1" x14ac:dyDescent="0.25">
      <c r="A111" s="98" t="s">
        <v>252</v>
      </c>
    </row>
    <row r="112" spans="1:1" x14ac:dyDescent="0.25">
      <c r="A112" s="98" t="s">
        <v>251</v>
      </c>
    </row>
    <row r="113" spans="1:1" x14ac:dyDescent="0.25">
      <c r="A113" s="98" t="s">
        <v>250</v>
      </c>
    </row>
    <row r="114" spans="1:1" x14ac:dyDescent="0.25">
      <c r="A114" s="98" t="s">
        <v>249</v>
      </c>
    </row>
    <row r="115" spans="1:1" x14ac:dyDescent="0.25">
      <c r="A115" s="98" t="s">
        <v>248</v>
      </c>
    </row>
    <row r="116" spans="1:1" x14ac:dyDescent="0.25">
      <c r="A116" s="98" t="s">
        <v>247</v>
      </c>
    </row>
    <row r="117" spans="1:1" x14ac:dyDescent="0.25">
      <c r="A117" s="96" t="s">
        <v>117</v>
      </c>
    </row>
    <row r="118" spans="1:1" x14ac:dyDescent="0.25">
      <c r="A118" s="96" t="s">
        <v>246</v>
      </c>
    </row>
    <row r="119" spans="1:1" x14ac:dyDescent="0.25">
      <c r="A119" s="96" t="s">
        <v>245</v>
      </c>
    </row>
    <row r="120" spans="1:1" x14ac:dyDescent="0.25">
      <c r="A120" s="99" t="s">
        <v>244</v>
      </c>
    </row>
    <row r="121" spans="1:1" x14ac:dyDescent="0.25">
      <c r="A121" s="99" t="s">
        <v>243</v>
      </c>
    </row>
    <row r="122" spans="1:1" x14ac:dyDescent="0.25">
      <c r="A122" s="100" t="s">
        <v>242</v>
      </c>
    </row>
    <row r="123" spans="1:1" x14ac:dyDescent="0.25">
      <c r="A123" s="99" t="s">
        <v>241</v>
      </c>
    </row>
    <row r="124" spans="1:1" x14ac:dyDescent="0.25">
      <c r="A124" s="99" t="s">
        <v>240</v>
      </c>
    </row>
    <row r="125" spans="1:1" x14ac:dyDescent="0.25">
      <c r="A125" s="100" t="s">
        <v>239</v>
      </c>
    </row>
    <row r="126" spans="1:1" x14ac:dyDescent="0.25">
      <c r="A126" s="99" t="s">
        <v>238</v>
      </c>
    </row>
    <row r="127" spans="1:1" x14ac:dyDescent="0.25">
      <c r="A127" s="99" t="s">
        <v>237</v>
      </c>
    </row>
    <row r="128" spans="1:1" x14ac:dyDescent="0.25">
      <c r="A128" s="99" t="s">
        <v>236</v>
      </c>
    </row>
    <row r="129" spans="1:1" x14ac:dyDescent="0.25">
      <c r="A129" s="99" t="s">
        <v>235</v>
      </c>
    </row>
    <row r="130" spans="1:1" x14ac:dyDescent="0.25">
      <c r="A130" s="99" t="s">
        <v>234</v>
      </c>
    </row>
    <row r="131" spans="1:1" x14ac:dyDescent="0.25">
      <c r="A131" s="99" t="s">
        <v>233</v>
      </c>
    </row>
    <row r="132" spans="1:1" x14ac:dyDescent="0.25">
      <c r="A132" s="96" t="s">
        <v>177</v>
      </c>
    </row>
    <row r="133" spans="1:1" x14ac:dyDescent="0.25">
      <c r="A133" s="96" t="s">
        <v>232</v>
      </c>
    </row>
    <row r="134" spans="1:1" x14ac:dyDescent="0.25">
      <c r="A134" s="96" t="s">
        <v>231</v>
      </c>
    </row>
    <row r="135" spans="1:1" x14ac:dyDescent="0.25">
      <c r="A135" s="98" t="s">
        <v>230</v>
      </c>
    </row>
    <row r="136" spans="1:1" x14ac:dyDescent="0.25">
      <c r="A136" s="98" t="s">
        <v>229</v>
      </c>
    </row>
    <row r="137" spans="1:1" x14ac:dyDescent="0.25">
      <c r="A137" s="99" t="s">
        <v>228</v>
      </c>
    </row>
    <row r="138" spans="1:1" x14ac:dyDescent="0.25">
      <c r="A138" s="96" t="s">
        <v>227</v>
      </c>
    </row>
    <row r="139" spans="1:1" x14ac:dyDescent="0.25">
      <c r="A139" s="98" t="s">
        <v>226</v>
      </c>
    </row>
    <row r="140" spans="1:1" x14ac:dyDescent="0.25">
      <c r="A140" s="98" t="s">
        <v>225</v>
      </c>
    </row>
    <row r="141" spans="1:1" x14ac:dyDescent="0.25">
      <c r="A141" s="98" t="s">
        <v>224</v>
      </c>
    </row>
    <row r="142" spans="1:1" x14ac:dyDescent="0.25">
      <c r="A142" s="98" t="s">
        <v>223</v>
      </c>
    </row>
    <row r="143" spans="1:1" x14ac:dyDescent="0.25">
      <c r="A143" s="98" t="s">
        <v>222</v>
      </c>
    </row>
    <row r="144" spans="1:1" x14ac:dyDescent="0.25">
      <c r="A144" s="98" t="s">
        <v>221</v>
      </c>
    </row>
    <row r="145" spans="1:1" x14ac:dyDescent="0.25">
      <c r="A145" s="98" t="s">
        <v>220</v>
      </c>
    </row>
    <row r="146" spans="1:1" x14ac:dyDescent="0.25">
      <c r="A146" s="98" t="s">
        <v>219</v>
      </c>
    </row>
    <row r="147" spans="1:1" x14ac:dyDescent="0.25">
      <c r="A147" s="98" t="s">
        <v>218</v>
      </c>
    </row>
    <row r="148" spans="1:1" x14ac:dyDescent="0.25">
      <c r="A148" s="98" t="s">
        <v>217</v>
      </c>
    </row>
    <row r="149" spans="1:1" x14ac:dyDescent="0.25">
      <c r="A149" s="98" t="s">
        <v>216</v>
      </c>
    </row>
    <row r="150" spans="1:1" x14ac:dyDescent="0.25">
      <c r="A150" s="98" t="s">
        <v>215</v>
      </c>
    </row>
    <row r="151" spans="1:1" x14ac:dyDescent="0.25">
      <c r="A151" s="98" t="s">
        <v>214</v>
      </c>
    </row>
    <row r="152" spans="1:1" x14ac:dyDescent="0.25">
      <c r="A152" s="98" t="s">
        <v>213</v>
      </c>
    </row>
    <row r="153" spans="1:1" x14ac:dyDescent="0.25">
      <c r="A153" s="98" t="s">
        <v>212</v>
      </c>
    </row>
    <row r="154" spans="1:1" x14ac:dyDescent="0.25">
      <c r="A154" s="97" t="s">
        <v>211</v>
      </c>
    </row>
    <row r="155" spans="1:1" x14ac:dyDescent="0.25">
      <c r="A155" s="96" t="s">
        <v>124</v>
      </c>
    </row>
    <row r="156" spans="1:1" x14ac:dyDescent="0.25">
      <c r="A156" s="96" t="s">
        <v>210</v>
      </c>
    </row>
    <row r="157" spans="1:1" x14ac:dyDescent="0.25">
      <c r="A157" s="97" t="s">
        <v>209</v>
      </c>
    </row>
    <row r="158" spans="1:1" x14ac:dyDescent="0.25">
      <c r="A158" s="97" t="s">
        <v>208</v>
      </c>
    </row>
    <row r="159" spans="1:1" x14ac:dyDescent="0.25">
      <c r="A159" s="97" t="s">
        <v>207</v>
      </c>
    </row>
    <row r="160" spans="1:1" x14ac:dyDescent="0.25">
      <c r="A160" s="97" t="s">
        <v>206</v>
      </c>
    </row>
    <row r="161" spans="1:1" x14ac:dyDescent="0.25">
      <c r="A161" s="97" t="s">
        <v>205</v>
      </c>
    </row>
    <row r="162" spans="1:1" x14ac:dyDescent="0.25">
      <c r="A162" s="97" t="s">
        <v>204</v>
      </c>
    </row>
    <row r="163" spans="1:1" x14ac:dyDescent="0.25">
      <c r="A163" s="97" t="s">
        <v>203</v>
      </c>
    </row>
    <row r="164" spans="1:1" x14ac:dyDescent="0.25">
      <c r="A164" s="97" t="s">
        <v>202</v>
      </c>
    </row>
    <row r="165" spans="1:1" x14ac:dyDescent="0.25">
      <c r="A165" s="97" t="s">
        <v>201</v>
      </c>
    </row>
    <row r="166" spans="1:1" x14ac:dyDescent="0.25">
      <c r="A166" s="96" t="s">
        <v>124</v>
      </c>
    </row>
    <row r="167" spans="1:1" x14ac:dyDescent="0.25">
      <c r="A167" s="96" t="s">
        <v>200</v>
      </c>
    </row>
    <row r="168" spans="1:1" x14ac:dyDescent="0.25">
      <c r="A168" s="97" t="s">
        <v>199</v>
      </c>
    </row>
    <row r="169" spans="1:1" x14ac:dyDescent="0.25">
      <c r="A169" s="97" t="s">
        <v>198</v>
      </c>
    </row>
    <row r="170" spans="1:1" x14ac:dyDescent="0.25">
      <c r="A170" s="97" t="s">
        <v>197</v>
      </c>
    </row>
    <row r="171" spans="1:1" x14ac:dyDescent="0.25">
      <c r="A171" s="97" t="s">
        <v>196</v>
      </c>
    </row>
    <row r="172" spans="1:1" x14ac:dyDescent="0.25">
      <c r="A172" s="97" t="s">
        <v>195</v>
      </c>
    </row>
    <row r="173" spans="1:1" x14ac:dyDescent="0.25">
      <c r="A173" s="96" t="s">
        <v>177</v>
      </c>
    </row>
    <row r="174" spans="1:1" x14ac:dyDescent="0.25">
      <c r="A174" s="96" t="s">
        <v>194</v>
      </c>
    </row>
    <row r="175" spans="1:1" x14ac:dyDescent="0.25">
      <c r="A175" s="97" t="s">
        <v>193</v>
      </c>
    </row>
    <row r="176" spans="1:1" x14ac:dyDescent="0.25">
      <c r="A176" s="97" t="s">
        <v>192</v>
      </c>
    </row>
    <row r="177" spans="1:1" x14ac:dyDescent="0.25">
      <c r="A177" s="97" t="s">
        <v>191</v>
      </c>
    </row>
    <row r="178" spans="1:1" x14ac:dyDescent="0.25">
      <c r="A178" s="97" t="s">
        <v>190</v>
      </c>
    </row>
    <row r="179" spans="1:1" x14ac:dyDescent="0.25">
      <c r="A179" s="97" t="s">
        <v>189</v>
      </c>
    </row>
    <row r="180" spans="1:1" x14ac:dyDescent="0.25">
      <c r="A180" s="97" t="s">
        <v>188</v>
      </c>
    </row>
    <row r="181" spans="1:1" x14ac:dyDescent="0.25">
      <c r="A181" s="97" t="s">
        <v>187</v>
      </c>
    </row>
    <row r="182" spans="1:1" x14ac:dyDescent="0.25">
      <c r="A182" s="96" t="s">
        <v>124</v>
      </c>
    </row>
    <row r="183" spans="1:1" x14ac:dyDescent="0.25">
      <c r="A183" s="96" t="s">
        <v>186</v>
      </c>
    </row>
    <row r="184" spans="1:1" x14ac:dyDescent="0.25">
      <c r="A184" s="97" t="s">
        <v>185</v>
      </c>
    </row>
    <row r="185" spans="1:1" x14ac:dyDescent="0.25">
      <c r="A185" s="97" t="s">
        <v>184</v>
      </c>
    </row>
    <row r="186" spans="1:1" x14ac:dyDescent="0.25">
      <c r="A186" s="97" t="s">
        <v>183</v>
      </c>
    </row>
    <row r="187" spans="1:1" x14ac:dyDescent="0.25">
      <c r="A187" s="96" t="s">
        <v>177</v>
      </c>
    </row>
    <row r="188" spans="1:1" x14ac:dyDescent="0.25">
      <c r="A188" s="96" t="s">
        <v>182</v>
      </c>
    </row>
    <row r="189" spans="1:1" x14ac:dyDescent="0.25">
      <c r="A189" s="96" t="s">
        <v>181</v>
      </c>
    </row>
    <row r="190" spans="1:1" x14ac:dyDescent="0.25">
      <c r="A190" s="96" t="s">
        <v>180</v>
      </c>
    </row>
    <row r="191" spans="1:1" x14ac:dyDescent="0.25">
      <c r="A191" s="96" t="s">
        <v>179</v>
      </c>
    </row>
    <row r="192" spans="1:1" x14ac:dyDescent="0.25">
      <c r="A192" s="96" t="s">
        <v>178</v>
      </c>
    </row>
    <row r="193" spans="1:1" x14ac:dyDescent="0.25">
      <c r="A193" s="96" t="s">
        <v>177</v>
      </c>
    </row>
    <row r="194" spans="1:1" x14ac:dyDescent="0.25">
      <c r="A194" s="96" t="s">
        <v>176</v>
      </c>
    </row>
    <row r="195" spans="1:1" x14ac:dyDescent="0.25">
      <c r="A195" s="96" t="s">
        <v>175</v>
      </c>
    </row>
    <row r="196" spans="1:1" x14ac:dyDescent="0.25">
      <c r="A196" s="96" t="s">
        <v>174</v>
      </c>
    </row>
    <row r="197" spans="1:1" x14ac:dyDescent="0.25">
      <c r="A197" s="96" t="s">
        <v>173</v>
      </c>
    </row>
    <row r="198" spans="1:1" x14ac:dyDescent="0.25">
      <c r="A198" s="96" t="s">
        <v>172</v>
      </c>
    </row>
    <row r="199" spans="1:1" x14ac:dyDescent="0.25">
      <c r="A199" s="96" t="s">
        <v>171</v>
      </c>
    </row>
    <row r="200" spans="1:1" x14ac:dyDescent="0.25">
      <c r="A200" s="96" t="s">
        <v>170</v>
      </c>
    </row>
    <row r="201" spans="1:1" x14ac:dyDescent="0.25">
      <c r="A201" s="96" t="s">
        <v>169</v>
      </c>
    </row>
    <row r="202" spans="1:1" x14ac:dyDescent="0.25">
      <c r="A202" s="96" t="s">
        <v>168</v>
      </c>
    </row>
    <row r="203" spans="1:1" x14ac:dyDescent="0.25">
      <c r="A203" s="96" t="s">
        <v>167</v>
      </c>
    </row>
    <row r="204" spans="1:1" x14ac:dyDescent="0.25">
      <c r="A204" s="97" t="s">
        <v>166</v>
      </c>
    </row>
    <row r="205" spans="1:1" x14ac:dyDescent="0.25">
      <c r="A205" s="97" t="s">
        <v>165</v>
      </c>
    </row>
    <row r="206" spans="1:1" x14ac:dyDescent="0.25">
      <c r="A206" s="97" t="s">
        <v>164</v>
      </c>
    </row>
    <row r="207" spans="1:1" x14ac:dyDescent="0.25">
      <c r="A207" s="97" t="s">
        <v>163</v>
      </c>
    </row>
    <row r="208" spans="1:1" x14ac:dyDescent="0.25">
      <c r="A208" s="97" t="s">
        <v>162</v>
      </c>
    </row>
    <row r="209" spans="1:1" x14ac:dyDescent="0.25">
      <c r="A209" s="97" t="s">
        <v>161</v>
      </c>
    </row>
    <row r="210" spans="1:1" x14ac:dyDescent="0.25">
      <c r="A210" s="97" t="s">
        <v>160</v>
      </c>
    </row>
    <row r="211" spans="1:1" x14ac:dyDescent="0.25">
      <c r="A211" s="97" t="s">
        <v>159</v>
      </c>
    </row>
    <row r="212" spans="1:1" x14ac:dyDescent="0.25">
      <c r="A212" s="97" t="s">
        <v>158</v>
      </c>
    </row>
    <row r="213" spans="1:1" x14ac:dyDescent="0.25">
      <c r="A213" s="97" t="s">
        <v>157</v>
      </c>
    </row>
    <row r="214" spans="1:1" x14ac:dyDescent="0.25">
      <c r="A214" s="97" t="s">
        <v>156</v>
      </c>
    </row>
    <row r="215" spans="1:1" x14ac:dyDescent="0.25">
      <c r="A215" s="97" t="s">
        <v>155</v>
      </c>
    </row>
    <row r="216" spans="1:1" x14ac:dyDescent="0.25">
      <c r="A216" s="96" t="s">
        <v>117</v>
      </c>
    </row>
    <row r="217" spans="1:1" x14ac:dyDescent="0.25">
      <c r="A217" s="96" t="s">
        <v>154</v>
      </c>
    </row>
    <row r="218" spans="1:1" x14ac:dyDescent="0.25">
      <c r="A218" s="97" t="s">
        <v>153</v>
      </c>
    </row>
    <row r="219" spans="1:1" x14ac:dyDescent="0.25">
      <c r="A219" s="97" t="s">
        <v>152</v>
      </c>
    </row>
    <row r="220" spans="1:1" x14ac:dyDescent="0.25">
      <c r="A220" s="97" t="s">
        <v>151</v>
      </c>
    </row>
    <row r="221" spans="1:1" x14ac:dyDescent="0.25">
      <c r="A221" s="97" t="s">
        <v>150</v>
      </c>
    </row>
    <row r="222" spans="1:1" x14ac:dyDescent="0.25">
      <c r="A222" s="97" t="s">
        <v>149</v>
      </c>
    </row>
    <row r="223" spans="1:1" x14ac:dyDescent="0.25">
      <c r="A223" s="97" t="s">
        <v>148</v>
      </c>
    </row>
    <row r="224" spans="1:1" x14ac:dyDescent="0.25">
      <c r="A224" s="97" t="s">
        <v>147</v>
      </c>
    </row>
    <row r="225" spans="1:1" x14ac:dyDescent="0.25">
      <c r="A225" s="97" t="s">
        <v>146</v>
      </c>
    </row>
    <row r="226" spans="1:1" x14ac:dyDescent="0.25">
      <c r="A226" s="97" t="s">
        <v>145</v>
      </c>
    </row>
    <row r="227" spans="1:1" x14ac:dyDescent="0.25">
      <c r="A227" s="96" t="s">
        <v>124</v>
      </c>
    </row>
    <row r="228" spans="1:1" x14ac:dyDescent="0.25">
      <c r="A228" s="96" t="s">
        <v>144</v>
      </c>
    </row>
    <row r="229" spans="1:1" x14ac:dyDescent="0.25">
      <c r="A229" s="97" t="s">
        <v>143</v>
      </c>
    </row>
    <row r="230" spans="1:1" x14ac:dyDescent="0.25">
      <c r="A230" s="97" t="s">
        <v>142</v>
      </c>
    </row>
    <row r="231" spans="1:1" x14ac:dyDescent="0.25">
      <c r="A231" s="97" t="s">
        <v>141</v>
      </c>
    </row>
    <row r="232" spans="1:1" x14ac:dyDescent="0.25">
      <c r="A232" s="97" t="s">
        <v>140</v>
      </c>
    </row>
    <row r="233" spans="1:1" x14ac:dyDescent="0.25">
      <c r="A233" s="97" t="s">
        <v>139</v>
      </c>
    </row>
    <row r="234" spans="1:1" x14ac:dyDescent="0.25">
      <c r="A234" s="97" t="s">
        <v>138</v>
      </c>
    </row>
    <row r="235" spans="1:1" x14ac:dyDescent="0.25">
      <c r="A235" s="96" t="s">
        <v>124</v>
      </c>
    </row>
    <row r="236" spans="1:1" x14ac:dyDescent="0.25">
      <c r="A236" s="96" t="s">
        <v>137</v>
      </c>
    </row>
    <row r="237" spans="1:1" x14ac:dyDescent="0.25">
      <c r="A237" s="97" t="s">
        <v>136</v>
      </c>
    </row>
    <row r="238" spans="1:1" x14ac:dyDescent="0.25">
      <c r="A238" s="97" t="s">
        <v>135</v>
      </c>
    </row>
    <row r="239" spans="1:1" x14ac:dyDescent="0.25">
      <c r="A239" s="97" t="s">
        <v>134</v>
      </c>
    </row>
    <row r="240" spans="1:1" x14ac:dyDescent="0.25">
      <c r="A240" s="97" t="s">
        <v>133</v>
      </c>
    </row>
    <row r="241" spans="1:1" x14ac:dyDescent="0.25">
      <c r="A241" s="97" t="s">
        <v>132</v>
      </c>
    </row>
    <row r="242" spans="1:1" x14ac:dyDescent="0.25">
      <c r="A242" s="97" t="s">
        <v>131</v>
      </c>
    </row>
    <row r="243" spans="1:1" x14ac:dyDescent="0.25">
      <c r="A243" s="97" t="s">
        <v>130</v>
      </c>
    </row>
    <row r="244" spans="1:1" x14ac:dyDescent="0.25">
      <c r="A244" s="97" t="s">
        <v>129</v>
      </c>
    </row>
    <row r="245" spans="1:1" x14ac:dyDescent="0.25">
      <c r="A245" s="97" t="s">
        <v>128</v>
      </c>
    </row>
    <row r="246" spans="1:1" x14ac:dyDescent="0.25">
      <c r="A246" s="97" t="s">
        <v>127</v>
      </c>
    </row>
    <row r="247" spans="1:1" x14ac:dyDescent="0.25">
      <c r="A247" s="97" t="s">
        <v>126</v>
      </c>
    </row>
    <row r="248" spans="1:1" x14ac:dyDescent="0.25">
      <c r="A248" s="97" t="s">
        <v>125</v>
      </c>
    </row>
    <row r="249" spans="1:1" x14ac:dyDescent="0.25">
      <c r="A249" s="96" t="s">
        <v>124</v>
      </c>
    </row>
    <row r="250" spans="1:1" x14ac:dyDescent="0.25">
      <c r="A250" s="96" t="s">
        <v>123</v>
      </c>
    </row>
    <row r="251" spans="1:1" x14ac:dyDescent="0.25">
      <c r="A251" s="97" t="s">
        <v>122</v>
      </c>
    </row>
    <row r="252" spans="1:1" x14ac:dyDescent="0.25">
      <c r="A252" s="97" t="s">
        <v>121</v>
      </c>
    </row>
    <row r="253" spans="1:1" x14ac:dyDescent="0.25">
      <c r="A253" s="97" t="s">
        <v>120</v>
      </c>
    </row>
    <row r="254" spans="1:1" x14ac:dyDescent="0.25">
      <c r="A254" s="96" t="s">
        <v>117</v>
      </c>
    </row>
    <row r="255" spans="1:1" x14ac:dyDescent="0.25">
      <c r="A255" s="96" t="s">
        <v>119</v>
      </c>
    </row>
    <row r="256" spans="1:1" x14ac:dyDescent="0.25">
      <c r="A256" s="97" t="s">
        <v>118</v>
      </c>
    </row>
    <row r="257" spans="1:1" x14ac:dyDescent="0.25">
      <c r="A257" s="96" t="s">
        <v>117</v>
      </c>
    </row>
    <row r="258" spans="1:1" x14ac:dyDescent="0.25">
      <c r="A258" s="96" t="s">
        <v>116</v>
      </c>
    </row>
    <row r="259" spans="1:1" x14ac:dyDescent="0.25">
      <c r="A259" s="96" t="s">
        <v>115</v>
      </c>
    </row>
    <row r="260" spans="1:1" x14ac:dyDescent="0.25">
      <c r="A260" s="96" t="s">
        <v>114</v>
      </c>
    </row>
    <row r="261" spans="1:1" x14ac:dyDescent="0.25">
      <c r="A261" s="96" t="s">
        <v>113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D27"/>
  <sheetViews>
    <sheetView workbookViewId="0">
      <selection activeCell="D9" sqref="D9"/>
    </sheetView>
  </sheetViews>
  <sheetFormatPr defaultRowHeight="16.5" x14ac:dyDescent="0.3"/>
  <cols>
    <col min="1" max="1" width="16.875" customWidth="1"/>
    <col min="2" max="2" width="17.125" customWidth="1"/>
    <col min="3" max="3" width="24.375" customWidth="1"/>
    <col min="4" max="4" width="60" customWidth="1"/>
  </cols>
  <sheetData>
    <row r="1" spans="1:3" s="7" customFormat="1" ht="17.25" x14ac:dyDescent="0.3">
      <c r="A1" s="17" t="s">
        <v>433</v>
      </c>
    </row>
    <row r="3" spans="1:3" x14ac:dyDescent="0.3">
      <c r="A3" t="s">
        <v>0</v>
      </c>
    </row>
    <row r="4" spans="1:3" x14ac:dyDescent="0.3">
      <c r="A4" t="s">
        <v>11</v>
      </c>
    </row>
    <row r="5" spans="1:3" x14ac:dyDescent="0.3">
      <c r="A5" t="s">
        <v>1</v>
      </c>
    </row>
    <row r="6" spans="1:3" x14ac:dyDescent="0.3">
      <c r="A6" t="s">
        <v>349</v>
      </c>
      <c r="B6" t="s">
        <v>348</v>
      </c>
    </row>
    <row r="7" spans="1:3" x14ac:dyDescent="0.3">
      <c r="A7" s="102" t="s">
        <v>6</v>
      </c>
      <c r="B7" t="s">
        <v>5</v>
      </c>
    </row>
    <row r="8" spans="1:3" x14ac:dyDescent="0.3">
      <c r="A8" s="102" t="s">
        <v>7</v>
      </c>
      <c r="B8" t="s">
        <v>8</v>
      </c>
    </row>
    <row r="9" spans="1:3" x14ac:dyDescent="0.3">
      <c r="A9" s="102" t="s">
        <v>9</v>
      </c>
      <c r="B9" t="s">
        <v>10</v>
      </c>
    </row>
    <row r="10" spans="1:3" x14ac:dyDescent="0.3">
      <c r="A10" t="s">
        <v>12</v>
      </c>
    </row>
    <row r="11" spans="1:3" x14ac:dyDescent="0.3">
      <c r="A11" t="s">
        <v>13</v>
      </c>
    </row>
    <row r="13" spans="1:3" x14ac:dyDescent="0.3">
      <c r="A13" s="4" t="s">
        <v>3</v>
      </c>
      <c r="B13" t="str">
        <f>"https://search.naver.com/search.naver?&amp;where=news&amp;query="&amp;_xlfn.ENCODEURL(B14)&amp;"&amp;start="&amp;(B15-1)*10+1</f>
        <v>https://search.naver.com/search.naver?&amp;where=news&amp;query=%EB%B0%98%EB%A0%A4%EB%8F%99%EB%AC%BC&amp;start=11</v>
      </c>
    </row>
    <row r="14" spans="1:3" x14ac:dyDescent="0.3">
      <c r="A14" s="3" t="s">
        <v>2</v>
      </c>
      <c r="B14" s="5" t="s">
        <v>350</v>
      </c>
      <c r="C14" s="104"/>
    </row>
    <row r="15" spans="1:3" x14ac:dyDescent="0.3">
      <c r="A15" s="3" t="s">
        <v>4</v>
      </c>
      <c r="B15" s="6">
        <v>2</v>
      </c>
      <c r="C15" s="105"/>
    </row>
    <row r="17" spans="1:4" x14ac:dyDescent="0.3">
      <c r="A17" s="146" t="s">
        <v>14</v>
      </c>
      <c r="B17" s="146"/>
      <c r="C17" s="103"/>
      <c r="D17" s="103" t="s">
        <v>15</v>
      </c>
    </row>
    <row r="18" spans="1:4" x14ac:dyDescent="0.3">
      <c r="A18" t="s">
        <v>351</v>
      </c>
      <c r="D18" s="1" t="s">
        <v>352</v>
      </c>
    </row>
    <row r="19" spans="1:4" x14ac:dyDescent="0.3">
      <c r="A19" s="2" t="s">
        <v>353</v>
      </c>
      <c r="D19" s="1" t="s">
        <v>354</v>
      </c>
    </row>
    <row r="20" spans="1:4" x14ac:dyDescent="0.3">
      <c r="A20" t="s">
        <v>355</v>
      </c>
      <c r="D20" s="1" t="s">
        <v>356</v>
      </c>
    </row>
    <row r="21" spans="1:4" x14ac:dyDescent="0.3">
      <c r="A21" s="2" t="s">
        <v>357</v>
      </c>
      <c r="D21" s="1" t="s">
        <v>358</v>
      </c>
    </row>
    <row r="22" spans="1:4" x14ac:dyDescent="0.3">
      <c r="A22" s="2" t="s">
        <v>359</v>
      </c>
      <c r="D22" s="1" t="s">
        <v>360</v>
      </c>
    </row>
    <row r="23" spans="1:4" x14ac:dyDescent="0.3">
      <c r="A23" s="2" t="s">
        <v>361</v>
      </c>
      <c r="D23" s="1" t="s">
        <v>362</v>
      </c>
    </row>
    <row r="24" spans="1:4" x14ac:dyDescent="0.3">
      <c r="A24" s="2" t="s">
        <v>363</v>
      </c>
      <c r="D24" s="1" t="s">
        <v>364</v>
      </c>
    </row>
    <row r="25" spans="1:4" x14ac:dyDescent="0.3">
      <c r="A25" t="s">
        <v>365</v>
      </c>
      <c r="D25" s="1" t="s">
        <v>366</v>
      </c>
    </row>
    <row r="26" spans="1:4" x14ac:dyDescent="0.3">
      <c r="A26" s="2" t="s">
        <v>367</v>
      </c>
      <c r="D26" s="1" t="s">
        <v>368</v>
      </c>
    </row>
    <row r="27" spans="1:4" x14ac:dyDescent="0.3">
      <c r="A27" t="s">
        <v>369</v>
      </c>
      <c r="D27" s="1" t="s">
        <v>370</v>
      </c>
    </row>
  </sheetData>
  <mergeCells count="1">
    <mergeCell ref="A17:B17"/>
  </mergeCells>
  <phoneticPr fontId="2" type="noConversion"/>
  <hyperlinks>
    <hyperlink ref="D18" r:id="rId1" xr:uid="{00000000-0004-0000-0800-000000000000}"/>
    <hyperlink ref="D19" r:id="rId2" xr:uid="{00000000-0004-0000-0800-000001000000}"/>
    <hyperlink ref="D20" r:id="rId3" xr:uid="{00000000-0004-0000-0800-000002000000}"/>
    <hyperlink ref="D21" r:id="rId4" xr:uid="{00000000-0004-0000-0800-000003000000}"/>
    <hyperlink ref="D22" r:id="rId5" xr:uid="{00000000-0004-0000-0800-000004000000}"/>
    <hyperlink ref="D23" r:id="rId6" xr:uid="{00000000-0004-0000-0800-000005000000}"/>
    <hyperlink ref="D24" r:id="rId7" xr:uid="{00000000-0004-0000-0800-000006000000}"/>
    <hyperlink ref="D25" r:id="rId8" xr:uid="{00000000-0004-0000-0800-000007000000}"/>
    <hyperlink ref="D26" r:id="rId9" xr:uid="{00000000-0004-0000-0800-000008000000}"/>
    <hyperlink ref="D27" r:id="rId10" xr:uid="{00000000-0004-0000-0800-000009000000}"/>
  </hyperlinks>
  <pageMargins left="0.7" right="0.7" top="0.75" bottom="0.75" header="0.3" footer="0.3"/>
  <pageSetup paperSize="9" orientation="portrait" r:id="rId11"/>
  <drawing r:id="rId12"/>
  <legacyDrawing r:id="rId13"/>
  <controls>
    <mc:AlternateContent xmlns:mc="http://schemas.openxmlformats.org/markup-compatibility/2006">
      <mc:Choice Requires="x14">
        <control shapeId="1025" r:id="rId14" name="WebBrowser1">
          <controlPr defaultSize="0" print="0" autoLine="0" r:id="rId15">
            <anchor moveWithCells="1">
              <from>
                <xdr:col>0</xdr:col>
                <xdr:colOff>38100</xdr:colOff>
                <xdr:row>27</xdr:row>
                <xdr:rowOff>123825</xdr:rowOff>
              </from>
              <to>
                <xdr:col>4</xdr:col>
                <xdr:colOff>133350</xdr:colOff>
                <xdr:row>53</xdr:row>
                <xdr:rowOff>152400</xdr:rowOff>
              </to>
            </anchor>
          </controlPr>
        </control>
      </mc:Choice>
      <mc:Fallback>
        <control shapeId="1025" r:id="rId14" name="WebBrowser1"/>
      </mc:Fallback>
    </mc:AlternateContent>
    <mc:AlternateContent xmlns:mc="http://schemas.openxmlformats.org/markup-compatibility/2006">
      <mc:Choice Requires="x14">
        <control shapeId="1026" r:id="rId16" name="Button 2">
          <controlPr defaultSize="0" print="0" autoFill="0" autoPict="0" macro="[0]!Web_scraping">
            <anchor moveWithCells="1" sizeWithCells="1">
              <from>
                <xdr:col>2</xdr:col>
                <xdr:colOff>9525</xdr:colOff>
                <xdr:row>13</xdr:row>
                <xdr:rowOff>9525</xdr:rowOff>
              </from>
              <to>
                <xdr:col>2</xdr:col>
                <xdr:colOff>1057275</xdr:colOff>
                <xdr:row>14</xdr:row>
                <xdr:rowOff>190500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M24"/>
  <sheetViews>
    <sheetView workbookViewId="0">
      <selection activeCell="N11" sqref="N11"/>
    </sheetView>
  </sheetViews>
  <sheetFormatPr defaultRowHeight="16.5" x14ac:dyDescent="0.3"/>
  <sheetData>
    <row r="24" spans="13:13" x14ac:dyDescent="0.3">
      <c r="M24" s="130"/>
    </row>
  </sheetData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81"/>
  <sheetViews>
    <sheetView topLeftCell="A64" zoomScaleNormal="100" workbookViewId="0">
      <selection activeCell="D60" sqref="D60"/>
    </sheetView>
  </sheetViews>
  <sheetFormatPr defaultColWidth="8.75" defaultRowHeight="13.5" x14ac:dyDescent="0.3"/>
  <cols>
    <col min="1" max="1" width="51" style="109" customWidth="1"/>
    <col min="2" max="2" width="17.375" style="108" bestFit="1" customWidth="1"/>
    <col min="3" max="3" width="13.625" style="108" customWidth="1"/>
    <col min="4" max="4" width="19.25" style="108" bestFit="1" customWidth="1"/>
    <col min="5" max="5" width="10" style="108" bestFit="1" customWidth="1"/>
    <col min="6" max="16384" width="8.75" style="108"/>
  </cols>
  <sheetData>
    <row r="1" spans="1:2" ht="17.25" x14ac:dyDescent="0.3">
      <c r="A1" s="107" t="s">
        <v>447</v>
      </c>
      <c r="B1" s="111"/>
    </row>
    <row r="2" spans="1:2" x14ac:dyDescent="0.3">
      <c r="A2" s="108" t="s">
        <v>372</v>
      </c>
      <c r="B2" s="108" t="s">
        <v>376</v>
      </c>
    </row>
    <row r="3" spans="1:2" x14ac:dyDescent="0.3">
      <c r="A3" s="108" t="s">
        <v>377</v>
      </c>
      <c r="B3" s="108" t="s">
        <v>378</v>
      </c>
    </row>
    <row r="4" spans="1:2" x14ac:dyDescent="0.3">
      <c r="A4" s="110" t="s">
        <v>374</v>
      </c>
      <c r="B4" s="108" t="s">
        <v>375</v>
      </c>
    </row>
    <row r="5" spans="1:2" x14ac:dyDescent="0.3">
      <c r="A5" s="112" t="s">
        <v>371</v>
      </c>
      <c r="B5" s="112" t="s">
        <v>112</v>
      </c>
    </row>
    <row r="6" spans="1:2" x14ac:dyDescent="0.3">
      <c r="A6" s="110" t="s">
        <v>373</v>
      </c>
      <c r="B6" s="108" t="s">
        <v>444</v>
      </c>
    </row>
    <row r="7" spans="1:2" x14ac:dyDescent="0.3">
      <c r="A7" s="110" t="s">
        <v>445</v>
      </c>
      <c r="B7" s="108" t="s">
        <v>443</v>
      </c>
    </row>
    <row r="8" spans="1:2" x14ac:dyDescent="0.3">
      <c r="A8" s="110" t="s">
        <v>446</v>
      </c>
      <c r="B8" s="108" t="s">
        <v>427</v>
      </c>
    </row>
    <row r="9" spans="1:2" x14ac:dyDescent="0.3">
      <c r="A9" s="110" t="s">
        <v>428</v>
      </c>
      <c r="B9" s="108" t="s">
        <v>429</v>
      </c>
    </row>
    <row r="10" spans="1:2" x14ac:dyDescent="0.3">
      <c r="A10" s="113"/>
      <c r="B10" s="111"/>
    </row>
    <row r="11" spans="1:2" ht="17.25" x14ac:dyDescent="0.3">
      <c r="A11" s="107" t="s">
        <v>478</v>
      </c>
      <c r="B11" s="111"/>
    </row>
    <row r="12" spans="1:2" x14ac:dyDescent="0.3">
      <c r="A12" s="133" t="s">
        <v>479</v>
      </c>
      <c r="B12" s="111"/>
    </row>
    <row r="13" spans="1:2" x14ac:dyDescent="0.3">
      <c r="A13" s="133" t="s">
        <v>480</v>
      </c>
      <c r="B13" s="111"/>
    </row>
    <row r="14" spans="1:2" x14ac:dyDescent="0.3">
      <c r="A14" s="133" t="s">
        <v>481</v>
      </c>
      <c r="B14" s="111"/>
    </row>
    <row r="15" spans="1:2" x14ac:dyDescent="0.3">
      <c r="A15" s="133" t="s">
        <v>482</v>
      </c>
      <c r="B15" s="111"/>
    </row>
    <row r="16" spans="1:2" x14ac:dyDescent="0.3">
      <c r="A16" s="113"/>
      <c r="B16" s="111"/>
    </row>
    <row r="17" spans="1:5" s="115" customFormat="1" ht="17.25" x14ac:dyDescent="0.3">
      <c r="A17" s="107" t="s">
        <v>379</v>
      </c>
      <c r="B17" s="114"/>
      <c r="E17" s="106"/>
    </row>
    <row r="18" spans="1:5" x14ac:dyDescent="0.3">
      <c r="A18" s="110" t="s">
        <v>386</v>
      </c>
      <c r="B18" s="118" t="s">
        <v>387</v>
      </c>
      <c r="C18" s="119"/>
      <c r="D18" s="119"/>
      <c r="E18" s="94"/>
    </row>
    <row r="19" spans="1:5" x14ac:dyDescent="0.3">
      <c r="A19" s="110" t="s">
        <v>388</v>
      </c>
      <c r="B19" s="120" t="s">
        <v>389</v>
      </c>
    </row>
    <row r="20" spans="1:5" s="115" customFormat="1" x14ac:dyDescent="0.3">
      <c r="A20" s="116" t="s">
        <v>380</v>
      </c>
      <c r="B20" s="117" t="s">
        <v>381</v>
      </c>
      <c r="E20" s="106"/>
    </row>
    <row r="21" spans="1:5" s="115" customFormat="1" x14ac:dyDescent="0.3">
      <c r="A21" s="116" t="s">
        <v>382</v>
      </c>
      <c r="B21" s="117" t="s">
        <v>383</v>
      </c>
      <c r="E21" s="106"/>
    </row>
    <row r="22" spans="1:5" s="115" customFormat="1" x14ac:dyDescent="0.3">
      <c r="A22" s="116" t="s">
        <v>384</v>
      </c>
      <c r="B22" s="117" t="s">
        <v>385</v>
      </c>
      <c r="E22" s="106"/>
    </row>
    <row r="23" spans="1:5" s="115" customFormat="1" x14ac:dyDescent="0.3">
      <c r="A23" s="116" t="s">
        <v>392</v>
      </c>
      <c r="B23" s="114" t="s">
        <v>393</v>
      </c>
      <c r="E23" s="106"/>
    </row>
    <row r="24" spans="1:5" s="115" customFormat="1" x14ac:dyDescent="0.3">
      <c r="A24" s="116" t="s">
        <v>448</v>
      </c>
      <c r="B24" s="114" t="s">
        <v>449</v>
      </c>
      <c r="E24" s="106"/>
    </row>
    <row r="25" spans="1:5" s="115" customFormat="1" x14ac:dyDescent="0.3">
      <c r="A25" s="116" t="s">
        <v>476</v>
      </c>
      <c r="B25" s="114" t="s">
        <v>477</v>
      </c>
      <c r="E25" s="106"/>
    </row>
    <row r="26" spans="1:5" s="115" customFormat="1" x14ac:dyDescent="0.3">
      <c r="A26" s="116"/>
      <c r="B26" s="114"/>
      <c r="E26" s="106"/>
    </row>
    <row r="27" spans="1:5" ht="17.25" x14ac:dyDescent="0.3">
      <c r="A27" s="107" t="s">
        <v>442</v>
      </c>
      <c r="E27" s="106"/>
    </row>
    <row r="28" spans="1:5" x14ac:dyDescent="0.3">
      <c r="A28" s="109" t="s">
        <v>435</v>
      </c>
      <c r="E28" s="106"/>
    </row>
    <row r="29" spans="1:5" x14ac:dyDescent="0.3">
      <c r="A29" s="109" t="s">
        <v>436</v>
      </c>
      <c r="E29" s="106"/>
    </row>
    <row r="30" spans="1:5" x14ac:dyDescent="0.3">
      <c r="A30" s="109" t="s">
        <v>437</v>
      </c>
      <c r="E30" s="106"/>
    </row>
    <row r="31" spans="1:5" x14ac:dyDescent="0.3">
      <c r="A31" s="109" t="s">
        <v>390</v>
      </c>
      <c r="E31" s="106"/>
    </row>
    <row r="32" spans="1:5" x14ac:dyDescent="0.3">
      <c r="A32" s="109" t="s">
        <v>438</v>
      </c>
      <c r="E32" s="106"/>
    </row>
    <row r="33" spans="1:5" x14ac:dyDescent="0.3">
      <c r="A33" s="109" t="s">
        <v>439</v>
      </c>
      <c r="E33" s="106"/>
    </row>
    <row r="34" spans="1:5" x14ac:dyDescent="0.3">
      <c r="A34" s="109" t="s">
        <v>391</v>
      </c>
      <c r="E34" s="106"/>
    </row>
    <row r="35" spans="1:5" x14ac:dyDescent="0.3">
      <c r="A35" s="109" t="s">
        <v>440</v>
      </c>
      <c r="E35" s="106"/>
    </row>
    <row r="36" spans="1:5" x14ac:dyDescent="0.3">
      <c r="A36" s="109" t="s">
        <v>441</v>
      </c>
      <c r="E36" s="106"/>
    </row>
    <row r="37" spans="1:5" x14ac:dyDescent="0.3">
      <c r="A37" s="122"/>
    </row>
    <row r="38" spans="1:5" ht="17.25" x14ac:dyDescent="0.3">
      <c r="A38" s="107" t="s">
        <v>470</v>
      </c>
    </row>
    <row r="39" spans="1:5" x14ac:dyDescent="0.3">
      <c r="A39" s="122" t="s">
        <v>465</v>
      </c>
    </row>
    <row r="40" spans="1:5" x14ac:dyDescent="0.3">
      <c r="A40" s="122" t="s">
        <v>466</v>
      </c>
    </row>
    <row r="41" spans="1:5" x14ac:dyDescent="0.3">
      <c r="A41" s="122" t="s">
        <v>467</v>
      </c>
    </row>
    <row r="42" spans="1:5" x14ac:dyDescent="0.3">
      <c r="A42" s="122" t="s">
        <v>471</v>
      </c>
    </row>
    <row r="43" spans="1:5" x14ac:dyDescent="0.3">
      <c r="A43" s="122" t="s">
        <v>472</v>
      </c>
    </row>
    <row r="44" spans="1:5" x14ac:dyDescent="0.3">
      <c r="A44" s="108" t="s">
        <v>473</v>
      </c>
    </row>
    <row r="45" spans="1:5" x14ac:dyDescent="0.3">
      <c r="A45" s="122" t="s">
        <v>474</v>
      </c>
    </row>
    <row r="46" spans="1:5" x14ac:dyDescent="0.3">
      <c r="A46" s="108" t="s">
        <v>475</v>
      </c>
    </row>
    <row r="47" spans="1:5" x14ac:dyDescent="0.3">
      <c r="A47" s="108"/>
    </row>
    <row r="48" spans="1:5" x14ac:dyDescent="0.3">
      <c r="A48" s="122" t="s">
        <v>468</v>
      </c>
    </row>
    <row r="49" spans="1:5" x14ac:dyDescent="0.3">
      <c r="A49" s="122" t="s">
        <v>469</v>
      </c>
    </row>
    <row r="50" spans="1:5" x14ac:dyDescent="0.3">
      <c r="A50" s="122"/>
    </row>
    <row r="51" spans="1:5" ht="17.25" x14ac:dyDescent="0.3">
      <c r="A51" s="107" t="s">
        <v>434</v>
      </c>
      <c r="E51" s="93"/>
    </row>
    <row r="52" spans="1:5" x14ac:dyDescent="0.3">
      <c r="A52" s="123">
        <v>44661</v>
      </c>
      <c r="B52" s="108" t="str">
        <f>CHOOSE(WEEKDAY(A52,1),"일요일","월요일","화요일","수요일","목요일","금요일","토요일")</f>
        <v>일요일</v>
      </c>
      <c r="E52" s="93"/>
    </row>
    <row r="53" spans="1:5" x14ac:dyDescent="0.3">
      <c r="E53" s="93"/>
    </row>
    <row r="54" spans="1:5" ht="17.25" x14ac:dyDescent="0.3">
      <c r="A54" s="107" t="s">
        <v>483</v>
      </c>
      <c r="E54" s="93"/>
    </row>
    <row r="55" spans="1:5" x14ac:dyDescent="0.3">
      <c r="A55" s="134">
        <v>45056</v>
      </c>
      <c r="B55" s="134">
        <v>45148</v>
      </c>
      <c r="C55" s="135">
        <f>_xlfn.DAYS(B55,A55)</f>
        <v>92</v>
      </c>
      <c r="D55" s="108" t="s">
        <v>484</v>
      </c>
      <c r="E55" s="93"/>
    </row>
    <row r="56" spans="1:5" x14ac:dyDescent="0.3">
      <c r="A56" s="134">
        <v>45056</v>
      </c>
      <c r="B56" s="134">
        <v>45148</v>
      </c>
      <c r="C56" s="135">
        <f>DATEDIF(A56,B56,"D")</f>
        <v>92</v>
      </c>
      <c r="D56" s="108" t="s">
        <v>484</v>
      </c>
      <c r="E56" s="93"/>
    </row>
    <row r="57" spans="1:5" x14ac:dyDescent="0.3">
      <c r="A57" s="134">
        <v>45056</v>
      </c>
      <c r="B57" s="134">
        <v>45148</v>
      </c>
      <c r="C57" s="135">
        <f>DATEDIF(A57,B57,"M")</f>
        <v>3</v>
      </c>
      <c r="D57" s="108" t="s">
        <v>485</v>
      </c>
      <c r="E57" s="93"/>
    </row>
    <row r="58" spans="1:5" x14ac:dyDescent="0.3">
      <c r="A58" s="134">
        <v>45056</v>
      </c>
      <c r="B58" s="134">
        <v>45148</v>
      </c>
      <c r="C58" s="135">
        <f>DATEDIF(A58,B58,"Y")</f>
        <v>0</v>
      </c>
      <c r="D58" s="108" t="s">
        <v>486</v>
      </c>
      <c r="E58" s="93"/>
    </row>
    <row r="59" spans="1:5" x14ac:dyDescent="0.3">
      <c r="E59" s="93"/>
    </row>
    <row r="60" spans="1:5" x14ac:dyDescent="0.3">
      <c r="E60" s="93"/>
    </row>
    <row r="61" spans="1:5" x14ac:dyDescent="0.3">
      <c r="E61" s="93"/>
    </row>
    <row r="62" spans="1:5" x14ac:dyDescent="0.3">
      <c r="E62" s="93"/>
    </row>
    <row r="63" spans="1:5" ht="17.25" x14ac:dyDescent="0.3">
      <c r="A63" s="107" t="s">
        <v>450</v>
      </c>
    </row>
    <row r="64" spans="1:5" x14ac:dyDescent="0.3">
      <c r="A64" s="121" t="s">
        <v>451</v>
      </c>
    </row>
    <row r="65" spans="1:1" x14ac:dyDescent="0.3">
      <c r="A65" s="131" t="s">
        <v>455</v>
      </c>
    </row>
    <row r="66" spans="1:1" x14ac:dyDescent="0.3">
      <c r="A66" s="109" t="s">
        <v>452</v>
      </c>
    </row>
    <row r="68" spans="1:1" x14ac:dyDescent="0.3">
      <c r="A68" s="109" t="s">
        <v>453</v>
      </c>
    </row>
    <row r="69" spans="1:1" x14ac:dyDescent="0.3">
      <c r="A69" s="132" t="s">
        <v>456</v>
      </c>
    </row>
    <row r="71" spans="1:1" x14ac:dyDescent="0.3">
      <c r="A71" s="109" t="s">
        <v>454</v>
      </c>
    </row>
    <row r="72" spans="1:1" x14ac:dyDescent="0.3">
      <c r="A72" s="132" t="s">
        <v>457</v>
      </c>
    </row>
    <row r="74" spans="1:1" ht="17.25" x14ac:dyDescent="0.3">
      <c r="A74" s="107" t="s">
        <v>458</v>
      </c>
    </row>
    <row r="75" spans="1:1" x14ac:dyDescent="0.3">
      <c r="A75" s="109" t="s">
        <v>459</v>
      </c>
    </row>
    <row r="76" spans="1:1" x14ac:dyDescent="0.3">
      <c r="A76" s="132" t="s">
        <v>462</v>
      </c>
    </row>
    <row r="78" spans="1:1" x14ac:dyDescent="0.3">
      <c r="A78" s="132" t="s">
        <v>464</v>
      </c>
    </row>
    <row r="79" spans="1:1" x14ac:dyDescent="0.3">
      <c r="A79" s="132" t="s">
        <v>463</v>
      </c>
    </row>
    <row r="80" spans="1:1" x14ac:dyDescent="0.3">
      <c r="A80" s="109" t="s">
        <v>460</v>
      </c>
    </row>
    <row r="81" spans="1:1" x14ac:dyDescent="0.3">
      <c r="A81" s="109" t="s">
        <v>461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9D5ED-C69E-4B75-88C2-B79123D498C2}">
  <dimension ref="A1:A26"/>
  <sheetViews>
    <sheetView tabSelected="1" workbookViewId="0">
      <selection activeCell="N9" sqref="N9"/>
    </sheetView>
  </sheetViews>
  <sheetFormatPr defaultRowHeight="16.5" x14ac:dyDescent="0.3"/>
  <sheetData>
    <row r="1" spans="1:1" x14ac:dyDescent="0.3">
      <c r="A1" t="s">
        <v>487</v>
      </c>
    </row>
    <row r="2" spans="1:1" x14ac:dyDescent="0.3">
      <c r="A2" s="4" t="s">
        <v>488</v>
      </c>
    </row>
    <row r="4" spans="1:1" ht="17.25" x14ac:dyDescent="0.3">
      <c r="A4" s="17" t="s">
        <v>489</v>
      </c>
    </row>
    <row r="5" spans="1:1" x14ac:dyDescent="0.3">
      <c r="A5" t="s">
        <v>490</v>
      </c>
    </row>
    <row r="7" spans="1:1" ht="17.25" x14ac:dyDescent="0.3">
      <c r="A7" s="17" t="s">
        <v>491</v>
      </c>
    </row>
    <row r="8" spans="1:1" x14ac:dyDescent="0.3">
      <c r="A8" t="s">
        <v>492</v>
      </c>
    </row>
    <row r="9" spans="1:1" x14ac:dyDescent="0.3">
      <c r="A9" t="s">
        <v>499</v>
      </c>
    </row>
    <row r="10" spans="1:1" x14ac:dyDescent="0.3">
      <c r="A10" t="s">
        <v>493</v>
      </c>
    </row>
    <row r="12" spans="1:1" ht="17.25" x14ac:dyDescent="0.3">
      <c r="A12" s="17" t="s">
        <v>494</v>
      </c>
    </row>
    <row r="13" spans="1:1" x14ac:dyDescent="0.3">
      <c r="A13" t="s">
        <v>500</v>
      </c>
    </row>
    <row r="14" spans="1:1" x14ac:dyDescent="0.3">
      <c r="A14" t="s">
        <v>495</v>
      </c>
    </row>
    <row r="16" spans="1:1" ht="17.25" x14ac:dyDescent="0.3">
      <c r="A16" s="17" t="s">
        <v>496</v>
      </c>
    </row>
    <row r="17" spans="1:1" x14ac:dyDescent="0.3">
      <c r="A17" t="s">
        <v>497</v>
      </c>
    </row>
    <row r="18" spans="1:1" x14ac:dyDescent="0.3">
      <c r="A18" t="s">
        <v>498</v>
      </c>
    </row>
    <row r="19" spans="1:1" x14ac:dyDescent="0.3">
      <c r="A19" t="s">
        <v>501</v>
      </c>
    </row>
    <row r="21" spans="1:1" ht="17.25" x14ac:dyDescent="0.3">
      <c r="A21" s="17" t="s">
        <v>502</v>
      </c>
    </row>
    <row r="22" spans="1:1" x14ac:dyDescent="0.3">
      <c r="A22" t="s">
        <v>503</v>
      </c>
    </row>
    <row r="24" spans="1:1" ht="17.25" x14ac:dyDescent="0.3">
      <c r="A24" s="17" t="s">
        <v>504</v>
      </c>
    </row>
    <row r="25" spans="1:1" x14ac:dyDescent="0.3">
      <c r="A25" t="s">
        <v>505</v>
      </c>
    </row>
    <row r="26" spans="1:1" x14ac:dyDescent="0.3">
      <c r="A26" t="s">
        <v>506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매칭</vt:lpstr>
      <vt:lpstr>조건</vt:lpstr>
      <vt:lpstr>구간</vt:lpstr>
      <vt:lpstr>피벗</vt:lpstr>
      <vt:lpstr>데이터표</vt:lpstr>
      <vt:lpstr>조건부서식</vt:lpstr>
      <vt:lpstr>VBA</vt:lpstr>
      <vt:lpstr>Sheet1</vt:lpstr>
      <vt:lpstr>shortcut</vt:lpstr>
      <vt:lpstr>Tip</vt:lpstr>
      <vt:lpstr>보호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Clover</dc:creator>
  <cp:lastModifiedBy>Administrator</cp:lastModifiedBy>
  <dcterms:created xsi:type="dcterms:W3CDTF">2020-01-23T23:36:02Z</dcterms:created>
  <dcterms:modified xsi:type="dcterms:W3CDTF">2024-03-04T04:14:39Z</dcterms:modified>
</cp:coreProperties>
</file>