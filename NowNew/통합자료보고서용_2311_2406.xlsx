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ac\"/>
    </mc:Choice>
  </mc:AlternateContent>
  <xr:revisionPtr revIDLastSave="0" documentId="13_ncr:1_{4D867101-795E-4451-B7AA-75C2543AD439}" xr6:coauthVersionLast="36" xr6:coauthVersionMax="36" xr10:uidLastSave="{00000000-0000-0000-0000-000000000000}"/>
  <bookViews>
    <workbookView xWindow="0" yWindow="0" windowWidth="28800" windowHeight="11850" activeTab="2" xr2:uid="{00000000-000D-0000-FFFF-FFFF00000000}"/>
  </bookViews>
  <sheets>
    <sheet name="피벗(개수)" sheetId="20" r:id="rId1"/>
    <sheet name="통합(개수)" sheetId="19" r:id="rId2"/>
    <sheet name="Sheet1" sheetId="18" r:id="rId3"/>
    <sheet name="피벗(금액)" sheetId="7" r:id="rId4"/>
    <sheet name="통합(금액)" sheetId="4" r:id="rId5"/>
    <sheet name="24년추정" sheetId="1" r:id="rId6"/>
    <sheet name="23년실적" sheetId="6" r:id="rId7"/>
    <sheet name="code" sheetId="5" r:id="rId8"/>
  </sheets>
  <definedNames>
    <definedName name="_xlnm._FilterDatabase" localSheetId="6" hidden="1">'23년실적'!$A$1:$R$27</definedName>
    <definedName name="_xlnm._FilterDatabase" localSheetId="5" hidden="1">'24년추정'!$A$1:$BF$244</definedName>
    <definedName name="_xlnm._FilterDatabase" localSheetId="7" hidden="1">code!$A$1:$G$126</definedName>
    <definedName name="_xlnm._FilterDatabase" localSheetId="1" hidden="1">'통합(개수)'!$A$2:$F$107</definedName>
    <definedName name="_xlnm._FilterDatabase" localSheetId="4" hidden="1">'통합(금액)'!$A$2:$N$107</definedName>
  </definedNames>
  <calcPr calcId="191029"/>
  <pivotCaches>
    <pivotCache cacheId="13" r:id="rId9"/>
    <pivotCache cacheId="22" r:id="rId10"/>
  </pivotCaches>
</workbook>
</file>

<file path=xl/calcChain.xml><?xml version="1.0" encoding="utf-8"?>
<calcChain xmlns="http://schemas.openxmlformats.org/spreadsheetml/2006/main">
  <c r="I35" i="18" l="1"/>
  <c r="H35" i="18"/>
  <c r="J6" i="18"/>
  <c r="J35" i="18" s="1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5" i="18"/>
  <c r="N1" i="19"/>
  <c r="M1" i="19"/>
  <c r="L1" i="19"/>
  <c r="K1" i="19"/>
  <c r="J1" i="19"/>
  <c r="I1" i="19"/>
  <c r="H1" i="19"/>
  <c r="G1" i="19"/>
  <c r="A1" i="19"/>
  <c r="F35" i="18" l="1"/>
  <c r="E3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5" i="18"/>
  <c r="G35" i="18" l="1"/>
  <c r="G1" i="4"/>
  <c r="H1" i="4"/>
  <c r="I1" i="4"/>
  <c r="J1" i="4"/>
  <c r="K1" i="4"/>
  <c r="L1" i="4"/>
  <c r="M1" i="4"/>
  <c r="N1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2" i="5"/>
  <c r="A1" i="4"/>
  <c r="BE2" i="1" l="1"/>
  <c r="BF2" i="1"/>
  <c r="BE3" i="1"/>
  <c r="BF3" i="1"/>
  <c r="BE4" i="1"/>
  <c r="BF4" i="1"/>
  <c r="BE5" i="1"/>
  <c r="BF5" i="1"/>
  <c r="BE6" i="1"/>
  <c r="BF6" i="1"/>
  <c r="BE7" i="1"/>
  <c r="BF7" i="1"/>
  <c r="BE8" i="1"/>
  <c r="BF8" i="1"/>
  <c r="BE9" i="1"/>
  <c r="BF9" i="1"/>
  <c r="BE10" i="1"/>
  <c r="BF10" i="1"/>
  <c r="BE11" i="1"/>
  <c r="BF11" i="1"/>
  <c r="BE12" i="1"/>
  <c r="BF12" i="1"/>
  <c r="BE13" i="1"/>
  <c r="BF13" i="1"/>
  <c r="BE14" i="1"/>
  <c r="BF14" i="1"/>
  <c r="BE15" i="1"/>
  <c r="BF15" i="1"/>
  <c r="BE16" i="1"/>
  <c r="BF16" i="1"/>
  <c r="BE17" i="1"/>
  <c r="BF17" i="1"/>
  <c r="BE18" i="1"/>
  <c r="BF18" i="1"/>
  <c r="BE19" i="1"/>
  <c r="BF19" i="1"/>
  <c r="BE20" i="1"/>
  <c r="BF20" i="1"/>
  <c r="BE21" i="1"/>
  <c r="BF21" i="1"/>
  <c r="BE22" i="1"/>
  <c r="BF22" i="1"/>
  <c r="BE23" i="1"/>
  <c r="BF23" i="1"/>
  <c r="BE24" i="1"/>
  <c r="BF24" i="1"/>
  <c r="BE25" i="1"/>
  <c r="BF25" i="1"/>
  <c r="BE26" i="1"/>
  <c r="BF26" i="1"/>
  <c r="BE27" i="1"/>
  <c r="BF27" i="1"/>
  <c r="BE28" i="1"/>
  <c r="BF28" i="1"/>
  <c r="BE29" i="1"/>
  <c r="BF29" i="1"/>
  <c r="BE30" i="1"/>
  <c r="BF30" i="1"/>
  <c r="BE31" i="1"/>
  <c r="BF31" i="1"/>
  <c r="BE32" i="1"/>
  <c r="BF32" i="1"/>
  <c r="BE33" i="1"/>
  <c r="BF33" i="1"/>
  <c r="BE34" i="1"/>
  <c r="BF34" i="1"/>
  <c r="BE35" i="1"/>
  <c r="BF35" i="1"/>
  <c r="BE36" i="1"/>
  <c r="BF36" i="1"/>
  <c r="BE37" i="1"/>
  <c r="BF37" i="1"/>
  <c r="BE38" i="1"/>
  <c r="BF38" i="1"/>
  <c r="BE39" i="1"/>
  <c r="BF39" i="1"/>
  <c r="BE40" i="1"/>
  <c r="BF40" i="1"/>
  <c r="BE41" i="1"/>
  <c r="BF41" i="1"/>
  <c r="BE42" i="1"/>
  <c r="BF42" i="1"/>
  <c r="BE43" i="1"/>
  <c r="BF43" i="1"/>
  <c r="BE44" i="1"/>
  <c r="BF44" i="1"/>
  <c r="BE45" i="1"/>
  <c r="BF45" i="1"/>
  <c r="BE46" i="1"/>
  <c r="BF46" i="1"/>
  <c r="BE47" i="1"/>
  <c r="BF47" i="1"/>
  <c r="BE48" i="1"/>
  <c r="BF48" i="1"/>
  <c r="BE49" i="1"/>
  <c r="BF49" i="1"/>
  <c r="BE50" i="1"/>
  <c r="BF50" i="1"/>
  <c r="BE51" i="1"/>
  <c r="BF51" i="1"/>
  <c r="BE52" i="1"/>
  <c r="BF52" i="1"/>
  <c r="BE53" i="1"/>
  <c r="BF53" i="1"/>
  <c r="BE54" i="1"/>
  <c r="BF54" i="1"/>
  <c r="BE55" i="1"/>
  <c r="BF55" i="1"/>
  <c r="BE56" i="1"/>
  <c r="BF56" i="1"/>
  <c r="BE57" i="1"/>
  <c r="BF57" i="1"/>
  <c r="BE58" i="1"/>
  <c r="BF58" i="1"/>
  <c r="BE59" i="1"/>
  <c r="BF59" i="1"/>
  <c r="BE60" i="1"/>
  <c r="BF60" i="1"/>
  <c r="BE61" i="1"/>
  <c r="BF61" i="1"/>
  <c r="BE62" i="1"/>
  <c r="BF62" i="1"/>
  <c r="BE63" i="1"/>
  <c r="BF63" i="1"/>
  <c r="BE64" i="1"/>
  <c r="BF64" i="1"/>
  <c r="BE65" i="1"/>
  <c r="BF65" i="1"/>
  <c r="BE66" i="1"/>
  <c r="BF66" i="1"/>
  <c r="BE67" i="1"/>
  <c r="BF67" i="1"/>
  <c r="BE68" i="1"/>
  <c r="BF68" i="1"/>
  <c r="BE69" i="1"/>
  <c r="BF69" i="1"/>
  <c r="BE70" i="1"/>
  <c r="BF70" i="1"/>
  <c r="BE71" i="1"/>
  <c r="BF71" i="1"/>
  <c r="BE72" i="1"/>
  <c r="BF72" i="1"/>
  <c r="BE73" i="1"/>
  <c r="BF73" i="1"/>
  <c r="BE74" i="1"/>
  <c r="BF74" i="1"/>
  <c r="BE75" i="1"/>
  <c r="BF75" i="1"/>
  <c r="BE76" i="1"/>
  <c r="BF76" i="1"/>
  <c r="BE77" i="1"/>
  <c r="BF77" i="1"/>
  <c r="BE78" i="1"/>
  <c r="BF78" i="1"/>
  <c r="BE79" i="1"/>
  <c r="BF79" i="1"/>
  <c r="BE80" i="1"/>
  <c r="BF80" i="1"/>
  <c r="BE81" i="1"/>
  <c r="BF81" i="1"/>
  <c r="BE82" i="1"/>
  <c r="BF82" i="1"/>
  <c r="BE83" i="1"/>
  <c r="BF83" i="1"/>
  <c r="BE84" i="1"/>
  <c r="BF84" i="1"/>
  <c r="BE85" i="1"/>
  <c r="BF85" i="1"/>
  <c r="BE86" i="1"/>
  <c r="BF86" i="1"/>
  <c r="BE87" i="1"/>
  <c r="BF87" i="1"/>
  <c r="BE88" i="1"/>
  <c r="BF88" i="1"/>
  <c r="BE89" i="1"/>
  <c r="BF89" i="1"/>
  <c r="BE90" i="1"/>
  <c r="BF90" i="1"/>
  <c r="BE91" i="1"/>
  <c r="BF91" i="1"/>
  <c r="BE92" i="1"/>
  <c r="BF92" i="1"/>
  <c r="BE93" i="1"/>
  <c r="BF93" i="1"/>
  <c r="BE94" i="1"/>
  <c r="BF94" i="1"/>
  <c r="BE95" i="1"/>
  <c r="BF95" i="1"/>
  <c r="BE96" i="1"/>
  <c r="BF96" i="1"/>
  <c r="BE97" i="1"/>
  <c r="BF97" i="1"/>
  <c r="BE98" i="1"/>
  <c r="BF98" i="1"/>
  <c r="BE99" i="1"/>
  <c r="BF99" i="1"/>
  <c r="BE100" i="1"/>
  <c r="BF100" i="1"/>
  <c r="BE101" i="1"/>
  <c r="BF101" i="1"/>
  <c r="BE102" i="1"/>
  <c r="BF102" i="1"/>
  <c r="BE103" i="1"/>
  <c r="BF103" i="1"/>
  <c r="BE104" i="1"/>
  <c r="BF104" i="1"/>
  <c r="BE105" i="1"/>
  <c r="BF105" i="1"/>
  <c r="BE106" i="1"/>
  <c r="BF106" i="1"/>
  <c r="BE107" i="1"/>
  <c r="BF107" i="1"/>
  <c r="BE108" i="1"/>
  <c r="BF108" i="1"/>
  <c r="BE109" i="1"/>
  <c r="BF109" i="1"/>
  <c r="BE110" i="1"/>
  <c r="BF110" i="1"/>
  <c r="BE111" i="1"/>
  <c r="BF111" i="1"/>
  <c r="BE112" i="1"/>
  <c r="BF112" i="1"/>
  <c r="BE113" i="1"/>
  <c r="BF113" i="1"/>
  <c r="BE114" i="1"/>
  <c r="BF114" i="1"/>
  <c r="BE115" i="1"/>
  <c r="BF115" i="1"/>
  <c r="BE116" i="1"/>
  <c r="BF116" i="1"/>
  <c r="BE117" i="1"/>
  <c r="BF117" i="1"/>
  <c r="BE118" i="1"/>
  <c r="BF118" i="1"/>
  <c r="BE119" i="1"/>
  <c r="BF119" i="1"/>
  <c r="BE120" i="1"/>
  <c r="BF120" i="1"/>
  <c r="BE121" i="1"/>
  <c r="BF121" i="1"/>
  <c r="BE122" i="1"/>
  <c r="BF122" i="1"/>
  <c r="BE123" i="1"/>
  <c r="BF123" i="1"/>
  <c r="BE124" i="1"/>
  <c r="BF124" i="1"/>
  <c r="BE125" i="1"/>
  <c r="BF125" i="1"/>
  <c r="BE126" i="1"/>
  <c r="BF126" i="1"/>
  <c r="BE127" i="1"/>
  <c r="BF127" i="1"/>
  <c r="BE128" i="1"/>
  <c r="BF128" i="1"/>
  <c r="BE129" i="1"/>
  <c r="BF129" i="1"/>
  <c r="BE130" i="1"/>
  <c r="BF130" i="1"/>
  <c r="BE131" i="1"/>
  <c r="BF131" i="1"/>
  <c r="BE132" i="1"/>
  <c r="BF132" i="1"/>
  <c r="BE133" i="1"/>
  <c r="BF133" i="1"/>
  <c r="BE134" i="1"/>
  <c r="BF134" i="1"/>
  <c r="BE135" i="1"/>
  <c r="BF135" i="1"/>
  <c r="BE136" i="1"/>
  <c r="BF136" i="1"/>
  <c r="BE137" i="1"/>
  <c r="BF137" i="1"/>
  <c r="BE138" i="1"/>
  <c r="BF138" i="1"/>
  <c r="BE139" i="1"/>
  <c r="BF139" i="1"/>
  <c r="BE140" i="1"/>
  <c r="BF140" i="1"/>
  <c r="BE141" i="1"/>
  <c r="BF141" i="1"/>
  <c r="BE142" i="1"/>
  <c r="BF142" i="1"/>
  <c r="BE143" i="1"/>
  <c r="BF143" i="1"/>
  <c r="BE144" i="1"/>
  <c r="BF144" i="1"/>
  <c r="BE145" i="1"/>
  <c r="BF145" i="1"/>
  <c r="BE146" i="1"/>
  <c r="BF146" i="1"/>
  <c r="BE147" i="1"/>
  <c r="BF147" i="1"/>
  <c r="BE148" i="1"/>
  <c r="BF148" i="1"/>
  <c r="BE149" i="1"/>
  <c r="BF149" i="1"/>
  <c r="BE150" i="1"/>
  <c r="BF150" i="1"/>
  <c r="BE151" i="1"/>
  <c r="BF151" i="1"/>
  <c r="BE152" i="1"/>
  <c r="BF152" i="1"/>
  <c r="BE153" i="1"/>
  <c r="BF153" i="1"/>
  <c r="BE154" i="1"/>
  <c r="BF154" i="1"/>
  <c r="BE155" i="1"/>
  <c r="BF155" i="1"/>
  <c r="BE156" i="1"/>
  <c r="BF156" i="1"/>
  <c r="BE157" i="1"/>
  <c r="BF157" i="1"/>
  <c r="BE158" i="1"/>
  <c r="BF158" i="1"/>
  <c r="BE159" i="1"/>
  <c r="BF159" i="1"/>
  <c r="BE160" i="1"/>
  <c r="BF160" i="1"/>
  <c r="BE161" i="1"/>
  <c r="BF161" i="1"/>
  <c r="BE162" i="1"/>
  <c r="BF162" i="1"/>
  <c r="BE163" i="1"/>
  <c r="BF163" i="1"/>
  <c r="BE164" i="1"/>
  <c r="BF164" i="1"/>
  <c r="BE165" i="1"/>
  <c r="BF165" i="1"/>
  <c r="BE166" i="1"/>
  <c r="BF166" i="1"/>
  <c r="BE167" i="1"/>
  <c r="BF167" i="1"/>
  <c r="BE168" i="1"/>
  <c r="BF168" i="1"/>
  <c r="BE169" i="1"/>
  <c r="BF169" i="1"/>
  <c r="BE170" i="1"/>
  <c r="BF170" i="1"/>
  <c r="BE171" i="1"/>
  <c r="BF171" i="1"/>
  <c r="BE172" i="1"/>
  <c r="BF172" i="1"/>
  <c r="BE173" i="1"/>
  <c r="BF173" i="1"/>
  <c r="BE174" i="1"/>
  <c r="BF174" i="1"/>
  <c r="BE175" i="1"/>
  <c r="BF175" i="1"/>
  <c r="BE176" i="1"/>
  <c r="BF176" i="1"/>
  <c r="BE177" i="1"/>
  <c r="BF177" i="1"/>
  <c r="BE178" i="1"/>
  <c r="BF178" i="1"/>
  <c r="BE179" i="1"/>
  <c r="BF179" i="1"/>
  <c r="BE180" i="1"/>
  <c r="BF180" i="1"/>
  <c r="BE181" i="1"/>
  <c r="BF181" i="1"/>
  <c r="BE182" i="1"/>
  <c r="BF182" i="1"/>
  <c r="BE183" i="1"/>
  <c r="BF183" i="1"/>
  <c r="BE184" i="1"/>
  <c r="BF184" i="1"/>
  <c r="BE185" i="1"/>
  <c r="BF185" i="1"/>
  <c r="BE186" i="1"/>
  <c r="BF186" i="1"/>
  <c r="BE187" i="1"/>
  <c r="BF187" i="1"/>
  <c r="BE188" i="1"/>
  <c r="BF188" i="1"/>
  <c r="BE189" i="1"/>
  <c r="BF189" i="1"/>
  <c r="BE190" i="1"/>
  <c r="BF190" i="1"/>
  <c r="BE191" i="1"/>
  <c r="BF191" i="1"/>
  <c r="BE192" i="1"/>
  <c r="BF192" i="1"/>
  <c r="BE193" i="1"/>
  <c r="BF193" i="1"/>
  <c r="BE194" i="1"/>
  <c r="BF194" i="1"/>
  <c r="BE195" i="1"/>
  <c r="BF195" i="1"/>
  <c r="BE196" i="1"/>
  <c r="BF196" i="1"/>
  <c r="BE197" i="1"/>
  <c r="BF197" i="1"/>
  <c r="BE198" i="1"/>
  <c r="BF198" i="1"/>
  <c r="BE199" i="1"/>
  <c r="BF199" i="1"/>
  <c r="BE200" i="1"/>
  <c r="BF200" i="1"/>
  <c r="BE201" i="1"/>
  <c r="BF201" i="1"/>
  <c r="BE202" i="1"/>
  <c r="BF202" i="1"/>
  <c r="BE203" i="1"/>
  <c r="BF203" i="1"/>
  <c r="BE204" i="1"/>
  <c r="BF204" i="1"/>
  <c r="BE205" i="1"/>
  <c r="BF205" i="1"/>
  <c r="BE206" i="1"/>
  <c r="BF206" i="1"/>
  <c r="BE207" i="1"/>
  <c r="BF207" i="1"/>
  <c r="BE208" i="1"/>
  <c r="BF208" i="1"/>
  <c r="BE209" i="1"/>
  <c r="BF209" i="1"/>
  <c r="BE210" i="1"/>
  <c r="BF210" i="1"/>
  <c r="BE211" i="1"/>
  <c r="BF211" i="1"/>
  <c r="BE212" i="1"/>
  <c r="BF212" i="1"/>
  <c r="BE213" i="1"/>
  <c r="BF213" i="1"/>
  <c r="BE214" i="1"/>
  <c r="BF214" i="1"/>
  <c r="BE215" i="1"/>
  <c r="BF215" i="1"/>
  <c r="BE216" i="1"/>
  <c r="BF216" i="1"/>
  <c r="BE217" i="1"/>
  <c r="BF217" i="1"/>
  <c r="BE218" i="1"/>
  <c r="BF218" i="1"/>
  <c r="BE219" i="1"/>
  <c r="BF219" i="1"/>
  <c r="BE220" i="1"/>
  <c r="BF220" i="1"/>
  <c r="BE221" i="1"/>
  <c r="BF221" i="1"/>
  <c r="BE222" i="1"/>
  <c r="BF222" i="1"/>
  <c r="BE223" i="1"/>
  <c r="BF223" i="1"/>
  <c r="BE224" i="1"/>
  <c r="BF224" i="1"/>
  <c r="BE225" i="1"/>
  <c r="BF225" i="1"/>
  <c r="BE226" i="1"/>
  <c r="BF226" i="1"/>
  <c r="BE227" i="1"/>
  <c r="BF227" i="1"/>
  <c r="BE228" i="1"/>
  <c r="BF228" i="1"/>
  <c r="BE229" i="1"/>
  <c r="BF229" i="1"/>
  <c r="BE230" i="1"/>
  <c r="BF230" i="1"/>
  <c r="BE231" i="1"/>
  <c r="BF231" i="1"/>
  <c r="BE232" i="1"/>
  <c r="BF232" i="1"/>
  <c r="BE233" i="1"/>
  <c r="BF233" i="1"/>
  <c r="BE234" i="1"/>
  <c r="BF234" i="1"/>
  <c r="BE235" i="1"/>
  <c r="BF235" i="1"/>
  <c r="BE236" i="1"/>
  <c r="BF236" i="1"/>
  <c r="BE237" i="1"/>
  <c r="BF237" i="1"/>
  <c r="BE238" i="1"/>
  <c r="BF238" i="1"/>
  <c r="BE239" i="1"/>
  <c r="BF239" i="1"/>
  <c r="BE240" i="1"/>
  <c r="BF240" i="1"/>
  <c r="BE241" i="1"/>
  <c r="BF241" i="1"/>
  <c r="BE242" i="1"/>
  <c r="BF242" i="1"/>
  <c r="BE243" i="1"/>
  <c r="BF243" i="1"/>
  <c r="BE244" i="1"/>
  <c r="BF244" i="1"/>
</calcChain>
</file>

<file path=xl/sharedStrings.xml><?xml version="1.0" encoding="utf-8"?>
<sst xmlns="http://schemas.openxmlformats.org/spreadsheetml/2006/main" count="4691" uniqueCount="798">
  <si>
    <t/>
  </si>
  <si>
    <t>LG</t>
  </si>
  <si>
    <t>Sandi Life</t>
  </si>
  <si>
    <t>실적</t>
  </si>
  <si>
    <t/>
  </si>
  <si>
    <t>실행계획</t>
  </si>
  <si>
    <t>주간예상</t>
  </si>
  <si>
    <t/>
  </si>
  <si>
    <t>Sandi Safe</t>
  </si>
  <si>
    <t>NIB002</t>
  </si>
  <si>
    <t>솔루션-기계설비성능점검-남부1BS</t>
  </si>
  <si>
    <t>Open</t>
  </si>
  <si>
    <t>실행계획</t>
  </si>
  <si>
    <t>주간예상</t>
  </si>
  <si>
    <t>Open</t>
  </si>
  <si>
    <t>N0001</t>
  </si>
  <si>
    <t>실적</t>
  </si>
  <si>
    <t>기타</t>
  </si>
  <si>
    <t/>
  </si>
  <si>
    <t>Sandi Life</t>
  </si>
  <si>
    <t>NIE004</t>
  </si>
  <si>
    <t>솔루션-주차장세차-U+대전탄방</t>
  </si>
  <si>
    <t>실적</t>
  </si>
  <si>
    <t>NIE002</t>
  </si>
  <si>
    <t>솔루션-주차장세차-U+대전R&amp;D</t>
  </si>
  <si>
    <t>실적</t>
  </si>
  <si>
    <t>실행계획</t>
  </si>
  <si>
    <t>주간예상</t>
  </si>
  <si>
    <t>Open</t>
  </si>
  <si>
    <t>N0002</t>
  </si>
  <si>
    <t>남부1본부</t>
  </si>
  <si>
    <t>실적</t>
  </si>
  <si>
    <t>실행계획</t>
  </si>
  <si>
    <t>주간예상</t>
  </si>
  <si>
    <t>기타</t>
  </si>
  <si>
    <t>NZ0003</t>
  </si>
  <si>
    <t>솔루션-공기질서비스(P)-BIFC</t>
  </si>
  <si>
    <t>실적</t>
  </si>
  <si>
    <t>범LG(LS,GS)</t>
  </si>
  <si>
    <t>실행계획</t>
  </si>
  <si>
    <t>주간예상</t>
  </si>
  <si>
    <t>범LG(LS,GS)</t>
  </si>
  <si>
    <t>원격감시</t>
  </si>
  <si>
    <t>NJB001</t>
  </si>
  <si>
    <t>실적</t>
  </si>
  <si>
    <t>기타</t>
  </si>
  <si>
    <t>Sandi Life</t>
  </si>
  <si>
    <t>NJE007</t>
  </si>
  <si>
    <t>솔루션-주차장세차-한국교직원공제회대구</t>
  </si>
  <si>
    <t>실적</t>
  </si>
  <si>
    <t>NJE001</t>
  </si>
  <si>
    <t>솔루션-주차장세차-BIFC</t>
  </si>
  <si>
    <t>실적</t>
  </si>
  <si>
    <t>NJE002</t>
  </si>
  <si>
    <t>솔루션-주차장세차-NH투자증권부산</t>
  </si>
  <si>
    <t>실적</t>
  </si>
  <si>
    <t>기타</t>
  </si>
  <si>
    <t>Sandi Life</t>
  </si>
  <si>
    <t>NJE005</t>
  </si>
  <si>
    <t>솔루션-주차장세차-U+대구신천</t>
  </si>
  <si>
    <t>실적</t>
  </si>
  <si>
    <t>기타</t>
  </si>
  <si>
    <t>Sandi Life</t>
  </si>
  <si>
    <t>NJE006</t>
  </si>
  <si>
    <t>솔루션-주차장세차-U+대구효목</t>
  </si>
  <si>
    <t>실적</t>
  </si>
  <si>
    <t>NJE003</t>
  </si>
  <si>
    <t>솔루션-주차장세차-U+부산감전</t>
  </si>
  <si>
    <t>실적</t>
  </si>
  <si>
    <t>NJE004</t>
  </si>
  <si>
    <t>솔루션-주차장세차-U+부산초량</t>
  </si>
  <si>
    <t>실적</t>
  </si>
  <si>
    <t>기타</t>
  </si>
  <si>
    <t>실행계획</t>
  </si>
  <si>
    <t>주간예상</t>
  </si>
  <si>
    <t>기타</t>
  </si>
  <si>
    <t>캡슐커피</t>
  </si>
  <si>
    <t>Sandi Life</t>
  </si>
  <si>
    <t>NJE008</t>
  </si>
  <si>
    <t>솔루션-캡슐커피-BIFC</t>
  </si>
  <si>
    <t>남부2본부</t>
  </si>
  <si>
    <t>실적</t>
  </si>
  <si>
    <t>기타</t>
  </si>
  <si>
    <t>Sandi Safe</t>
  </si>
  <si>
    <t>NAB004</t>
  </si>
  <si>
    <t>솔루션-기계성능설비점검-LG아트센터</t>
  </si>
  <si>
    <t>실행계획</t>
  </si>
  <si>
    <t>기타</t>
  </si>
  <si>
    <t>NAE005</t>
  </si>
  <si>
    <t>솔루션-스마트메일룸(P)-SP(2차부지)</t>
  </si>
  <si>
    <t>실적</t>
  </si>
  <si>
    <t>실행계획</t>
  </si>
  <si>
    <t>주간예상</t>
  </si>
  <si>
    <t>Open</t>
  </si>
  <si>
    <t>NAB001</t>
  </si>
  <si>
    <t>솔루션-원격감시-건와빌딩</t>
  </si>
  <si>
    <t>실적</t>
  </si>
  <si>
    <t>기타</t>
  </si>
  <si>
    <t>실행계획</t>
  </si>
  <si>
    <t>주간예상</t>
  </si>
  <si>
    <t>기타</t>
  </si>
  <si>
    <t>Sandi Life</t>
  </si>
  <si>
    <t>NAE004</t>
  </si>
  <si>
    <t>솔루션-주차장세차-화학SP</t>
  </si>
  <si>
    <t>실적</t>
  </si>
  <si>
    <t>기타</t>
  </si>
  <si>
    <t>실행계획</t>
  </si>
  <si>
    <t>주간예상</t>
  </si>
  <si>
    <t>기타</t>
  </si>
  <si>
    <t>Sandi Life</t>
  </si>
  <si>
    <t>NAE003</t>
  </si>
  <si>
    <t>솔루션-주차장세차-SP(DP3_CA)</t>
  </si>
  <si>
    <t>실적</t>
  </si>
  <si>
    <t>기타</t>
  </si>
  <si>
    <t>실행계획</t>
  </si>
  <si>
    <t>주간예상</t>
  </si>
  <si>
    <t>기타</t>
  </si>
  <si>
    <t>Sandi Life</t>
  </si>
  <si>
    <t>NAE002</t>
  </si>
  <si>
    <t>솔루션-주차장세차-SP(DP3_EA)</t>
  </si>
  <si>
    <t>실적</t>
  </si>
  <si>
    <t>실행계획</t>
  </si>
  <si>
    <t>주간예상</t>
  </si>
  <si>
    <t>Open</t>
  </si>
  <si>
    <t>NAE001</t>
  </si>
  <si>
    <t>솔루션-주차장세차-SP운영센터(2차부지)</t>
  </si>
  <si>
    <t>실적</t>
  </si>
  <si>
    <t>기타</t>
  </si>
  <si>
    <t>실행계획</t>
  </si>
  <si>
    <t>주간예상</t>
  </si>
  <si>
    <t>기타</t>
  </si>
  <si>
    <t>청소로봇케어</t>
  </si>
  <si>
    <t>Sandi Clean</t>
  </si>
  <si>
    <t>NAC001</t>
  </si>
  <si>
    <t>솔루션-청소로봇케어-씨지인바이츠</t>
  </si>
  <si>
    <t>실행계획</t>
  </si>
  <si>
    <t>기타</t>
  </si>
  <si>
    <t>NAC002</t>
  </si>
  <si>
    <t>솔루션-청소로봇케어-SP(2차부지)</t>
  </si>
  <si>
    <t>실적</t>
  </si>
  <si>
    <t>기타</t>
  </si>
  <si>
    <t>실행계획</t>
  </si>
  <si>
    <t>주간예상</t>
  </si>
  <si>
    <t>기타</t>
  </si>
  <si>
    <t>Sandi Safe</t>
  </si>
  <si>
    <t>NAB003</t>
  </si>
  <si>
    <t>솔루션-AICCTV-디앤오강서</t>
  </si>
  <si>
    <t>실행계획</t>
  </si>
  <si>
    <t>주간예상</t>
  </si>
  <si>
    <t>LG</t>
  </si>
  <si>
    <t>NAB002</t>
  </si>
  <si>
    <t>솔루션-AICCTV-SP(정보보안)</t>
  </si>
  <si>
    <t>서울1본부</t>
  </si>
  <si>
    <t>실적</t>
  </si>
  <si>
    <t>기타</t>
  </si>
  <si>
    <t>Sandi Safe</t>
  </si>
  <si>
    <t>NBB003</t>
  </si>
  <si>
    <t>솔루션-기계성능설비점검-엘지가산디지털</t>
  </si>
  <si>
    <t>실적</t>
  </si>
  <si>
    <t>NBB002</t>
  </si>
  <si>
    <t>솔루션-비상주시설물안전점검(P)-LF팩토리</t>
  </si>
  <si>
    <t>실적</t>
  </si>
  <si>
    <t>실행계획</t>
  </si>
  <si>
    <t>주간예상</t>
  </si>
  <si>
    <t>LG</t>
  </si>
  <si>
    <t>사내카페</t>
  </si>
  <si>
    <t>NZ0007</t>
  </si>
  <si>
    <t>솔루션-사내카페-LG마그나</t>
  </si>
  <si>
    <t>실적</t>
  </si>
  <si>
    <t>기타</t>
  </si>
  <si>
    <t>Sandi Safe</t>
  </si>
  <si>
    <t>NBB004</t>
  </si>
  <si>
    <t>솔루션-상업용주방자동소화장치-엘지가산디지털</t>
  </si>
  <si>
    <t>실행계획</t>
  </si>
  <si>
    <t>주간예상</t>
  </si>
  <si>
    <t>LG</t>
  </si>
  <si>
    <t>제빙기</t>
  </si>
  <si>
    <t>NBE001</t>
  </si>
  <si>
    <t>솔루션-제빙기-전자가산R&amp;D캠퍼스</t>
  </si>
  <si>
    <t>실적</t>
  </si>
  <si>
    <t>NBE003</t>
  </si>
  <si>
    <t>솔루션-주차장세차-U+독산</t>
  </si>
  <si>
    <t>실적</t>
  </si>
  <si>
    <t>NBE004</t>
  </si>
  <si>
    <t>솔루션-주차장세차-U+시흥</t>
  </si>
  <si>
    <t>실적</t>
  </si>
  <si>
    <t>NBE002</t>
  </si>
  <si>
    <t>솔루션-주차장세차-U+인천구월</t>
  </si>
  <si>
    <t>실적</t>
  </si>
  <si>
    <t>주간예상</t>
  </si>
  <si>
    <t>NBB001</t>
  </si>
  <si>
    <t>솔루션-FM컨설팅(P)-서울시경로당</t>
  </si>
  <si>
    <t>서울2본부</t>
  </si>
  <si>
    <t>주간예상</t>
  </si>
  <si>
    <t>주차장비 구매</t>
  </si>
  <si>
    <t>Sandi Parking</t>
  </si>
  <si>
    <t>NCF001</t>
  </si>
  <si>
    <t>솔루션-주차장비구매-트윈타워</t>
  </si>
  <si>
    <t>서울3본부</t>
  </si>
  <si>
    <t>CD0001</t>
  </si>
  <si>
    <t>(마감)LGU+주차시스템납품설치공사(8개사업장)</t>
  </si>
  <si>
    <t>실적</t>
  </si>
  <si>
    <t>NDB002</t>
  </si>
  <si>
    <t>솔루션-비상주시설물안전점검(P)-신용회복위원회</t>
  </si>
  <si>
    <t>실적</t>
  </si>
  <si>
    <t>실행계획</t>
  </si>
  <si>
    <t>주간예상</t>
  </si>
  <si>
    <t>LG</t>
  </si>
  <si>
    <t>스낵플러스</t>
  </si>
  <si>
    <t>NDE001</t>
  </si>
  <si>
    <t>솔루션-스낵플러스-U+용산사옥</t>
  </si>
  <si>
    <t>실적</t>
  </si>
  <si>
    <t>실행계획</t>
  </si>
  <si>
    <t>Open</t>
  </si>
  <si>
    <t>NDB001</t>
  </si>
  <si>
    <t>실적</t>
  </si>
  <si>
    <t>기타</t>
  </si>
  <si>
    <t>실행계획</t>
  </si>
  <si>
    <t>주간예상</t>
  </si>
  <si>
    <t>기타</t>
  </si>
  <si>
    <t>Sandi Clean</t>
  </si>
  <si>
    <t>NDC003</t>
  </si>
  <si>
    <t>솔루션-정기방문청소-서울4BS1</t>
  </si>
  <si>
    <t>실행계획</t>
  </si>
  <si>
    <t>주간예상</t>
  </si>
  <si>
    <t>기타</t>
  </si>
  <si>
    <t>NDC002</t>
  </si>
  <si>
    <t>솔루션-정기방문청소-에퀴닉스</t>
  </si>
  <si>
    <t>주간예상</t>
  </si>
  <si>
    <t>NDF001</t>
  </si>
  <si>
    <t>실적</t>
  </si>
  <si>
    <t>실행계획</t>
  </si>
  <si>
    <t>주간예상</t>
  </si>
  <si>
    <t>Open</t>
  </si>
  <si>
    <t>NDE003</t>
  </si>
  <si>
    <t>솔루션-주차장세차-마포</t>
  </si>
  <si>
    <t>실적</t>
  </si>
  <si>
    <t>실행계획</t>
  </si>
  <si>
    <t>주간예상</t>
  </si>
  <si>
    <t>Open</t>
  </si>
  <si>
    <t>NDE002</t>
  </si>
  <si>
    <t>솔루션-주차장세차-U+상암</t>
  </si>
  <si>
    <t>실적</t>
  </si>
  <si>
    <t>실행계획</t>
  </si>
  <si>
    <t>주간예상</t>
  </si>
  <si>
    <t>Open</t>
  </si>
  <si>
    <t>NDE004</t>
  </si>
  <si>
    <t>솔루션-주차장세차-U+용산</t>
  </si>
  <si>
    <t>실적</t>
  </si>
  <si>
    <t>실행계획</t>
  </si>
  <si>
    <t>주간예상</t>
  </si>
  <si>
    <t/>
  </si>
  <si>
    <t>NDC001</t>
  </si>
  <si>
    <t>솔루션-청소로봇케어-서울4BS1</t>
  </si>
  <si>
    <t>실적</t>
  </si>
  <si>
    <t>기타</t>
  </si>
  <si>
    <t/>
  </si>
  <si>
    <t>체험형안전교육</t>
  </si>
  <si>
    <t>Sandi Safe</t>
  </si>
  <si>
    <t>NDB003</t>
  </si>
  <si>
    <t>솔루션-체험형안전교육-서울4BS1</t>
  </si>
  <si>
    <t>서울4본부</t>
  </si>
  <si>
    <t>실행계획</t>
  </si>
  <si>
    <t>주간예상</t>
  </si>
  <si>
    <t>기타</t>
  </si>
  <si>
    <t>NEC001</t>
  </si>
  <si>
    <t>솔루션-간판점검및세척(P)-서울5</t>
  </si>
  <si>
    <t>실적</t>
  </si>
  <si>
    <t>기타</t>
  </si>
  <si>
    <t>실행계획</t>
  </si>
  <si>
    <t>주간예상</t>
  </si>
  <si>
    <t>기타</t>
  </si>
  <si>
    <t>Sandi Life</t>
  </si>
  <si>
    <t>NEE003</t>
  </si>
  <si>
    <t>솔루션-다회용컵렌탈(P)-광화문빌딩</t>
  </si>
  <si>
    <t>사무환경개선</t>
  </si>
  <si>
    <t>Sandi Interior</t>
  </si>
  <si>
    <t>실적</t>
  </si>
  <si>
    <t>실행계획</t>
  </si>
  <si>
    <t>주간예상</t>
  </si>
  <si>
    <t>LG</t>
  </si>
  <si>
    <t>NEE001</t>
  </si>
  <si>
    <t>솔루션-주차장세차-광화문빌딩</t>
  </si>
  <si>
    <t>실적</t>
  </si>
  <si>
    <t>NEE002</t>
  </si>
  <si>
    <t>솔루션-주차장세차-서울역빌딩</t>
  </si>
  <si>
    <t>서울5본부</t>
  </si>
  <si>
    <t>실적</t>
  </si>
  <si>
    <t>실행계획</t>
  </si>
  <si>
    <t>주간예상</t>
  </si>
  <si>
    <t>Open</t>
  </si>
  <si>
    <t>FF0012</t>
  </si>
  <si>
    <t>라이프라이크_샌디클린</t>
  </si>
  <si>
    <t>실적</t>
  </si>
  <si>
    <t/>
  </si>
  <si>
    <t/>
  </si>
  <si>
    <t>Sandi Safe</t>
  </si>
  <si>
    <t>NFB003</t>
  </si>
  <si>
    <t>솔루션-건물맞춤형공조필터-메리츠타워</t>
  </si>
  <si>
    <t>실적</t>
  </si>
  <si>
    <t>실행계획</t>
  </si>
  <si>
    <t>주간예상</t>
  </si>
  <si>
    <t>Open</t>
  </si>
  <si>
    <t>NZ0008</t>
  </si>
  <si>
    <t>솔루션-사내카페-삼성화재</t>
  </si>
  <si>
    <t>실적</t>
  </si>
  <si>
    <t/>
  </si>
  <si>
    <t/>
  </si>
  <si>
    <t>실행계획</t>
  </si>
  <si>
    <t>주간예상</t>
  </si>
  <si>
    <t/>
  </si>
  <si>
    <t>Sandi Safe</t>
  </si>
  <si>
    <t>NFB001</t>
  </si>
  <si>
    <t>솔루션-원격감시-343강남</t>
  </si>
  <si>
    <t>실적</t>
  </si>
  <si>
    <t/>
  </si>
  <si>
    <t>실행계획</t>
  </si>
  <si>
    <t>주간예상</t>
  </si>
  <si>
    <t/>
  </si>
  <si>
    <t>Sandi Safe</t>
  </si>
  <si>
    <t>NFB002</t>
  </si>
  <si>
    <t>솔루션-AICCTV-343강남</t>
  </si>
  <si>
    <t>서울6본부</t>
  </si>
  <si>
    <t>실적</t>
  </si>
  <si>
    <t/>
  </si>
  <si>
    <t>실행계획</t>
  </si>
  <si>
    <t>주간예상</t>
  </si>
  <si>
    <t/>
  </si>
  <si>
    <t>Sandi Life</t>
  </si>
  <si>
    <t>NGE003</t>
  </si>
  <si>
    <t>솔루션-샌디APP-펄어비스</t>
  </si>
  <si>
    <t>실적</t>
  </si>
  <si>
    <t>NGE002</t>
  </si>
  <si>
    <t>솔루션-주차장세차-화학오산테크</t>
  </si>
  <si>
    <t>실적</t>
  </si>
  <si>
    <t>실행계획</t>
  </si>
  <si>
    <t>주간예상</t>
  </si>
  <si>
    <t>범LG(LS,GS)</t>
  </si>
  <si>
    <t>NGE001</t>
  </si>
  <si>
    <t>솔루션-커피머신렌탈-LS타워</t>
  </si>
  <si>
    <t>실적</t>
  </si>
  <si>
    <t>실행계획</t>
  </si>
  <si>
    <t>주간예상</t>
  </si>
  <si>
    <t>Open</t>
  </si>
  <si>
    <t>NGB001</t>
  </si>
  <si>
    <t>솔루션-AICCTV-펄어비스</t>
  </si>
  <si>
    <t>실적</t>
  </si>
  <si>
    <t>기타</t>
  </si>
  <si>
    <t>실행계획</t>
  </si>
  <si>
    <t>기타</t>
  </si>
  <si>
    <t>Sandi Safe</t>
  </si>
  <si>
    <t>NGB002</t>
  </si>
  <si>
    <t>솔루션-FM컨설팅(P)-중부1BS</t>
  </si>
  <si>
    <t>중부1본부</t>
  </si>
  <si>
    <t>실적</t>
  </si>
  <si>
    <t>기타</t>
  </si>
  <si>
    <t>Sandi Safe</t>
  </si>
  <si>
    <t>NHB003</t>
  </si>
  <si>
    <t>솔루션-기계설비성능점검-곤지암리조트</t>
  </si>
  <si>
    <t>실적</t>
  </si>
  <si>
    <t>기타</t>
  </si>
  <si>
    <t>Sandi Safe</t>
  </si>
  <si>
    <t>NHB002</t>
  </si>
  <si>
    <t>솔루션-기계설비성능점검-LF양주</t>
  </si>
  <si>
    <t>실적</t>
  </si>
  <si>
    <t>기타</t>
  </si>
  <si>
    <t>Sandi Clean</t>
  </si>
  <si>
    <t>NHC003</t>
  </si>
  <si>
    <t>솔루션-내자리케어-생활연수원</t>
  </si>
  <si>
    <t>실적</t>
  </si>
  <si>
    <t>실행계획</t>
  </si>
  <si>
    <t>주간예상</t>
  </si>
  <si>
    <t>Open</t>
  </si>
  <si>
    <t>NHB001</t>
  </si>
  <si>
    <t>솔루션-원격감시-픽셀플러스</t>
  </si>
  <si>
    <t>실적</t>
  </si>
  <si>
    <t>실행계획</t>
  </si>
  <si>
    <t>주간예상</t>
  </si>
  <si>
    <t/>
  </si>
  <si>
    <t>NHC002</t>
  </si>
  <si>
    <t>솔루션-청소로봇케어-중부2</t>
  </si>
  <si>
    <t>실적</t>
  </si>
  <si>
    <t>실행계획</t>
  </si>
  <si>
    <t>주간예상</t>
  </si>
  <si>
    <t>Open</t>
  </si>
  <si>
    <t>NHC001</t>
  </si>
  <si>
    <t>솔루션-청소로봇케어-픽셀플러스</t>
  </si>
  <si>
    <t>실행계획</t>
  </si>
  <si>
    <t>기타</t>
  </si>
  <si>
    <t>NHC004</t>
  </si>
  <si>
    <t>솔루션-청소장비솔루션-한국테크노플렉스</t>
  </si>
  <si>
    <t>중부2본부</t>
  </si>
  <si>
    <t>사업총괄</t>
  </si>
  <si>
    <t>실적</t>
  </si>
  <si>
    <t/>
  </si>
  <si>
    <t>Sandi Life</t>
  </si>
  <si>
    <t>NDE005</t>
  </si>
  <si>
    <t>솔루션-주차장세차-YTN상암</t>
  </si>
  <si>
    <t>실적</t>
  </si>
  <si>
    <t>기타</t>
  </si>
  <si>
    <t>Sandi Safe</t>
  </si>
  <si>
    <t>NDB004</t>
  </si>
  <si>
    <t>솔루션-AICCTV-누디트서울숲</t>
  </si>
  <si>
    <t>실적</t>
  </si>
  <si>
    <t>기타</t>
  </si>
  <si>
    <t>Sandi Life</t>
  </si>
  <si>
    <t>NHE001</t>
  </si>
  <si>
    <t>솔루션-주차장세차-인피니티타워</t>
  </si>
  <si>
    <t>실적</t>
  </si>
  <si>
    <t>기타</t>
  </si>
  <si>
    <t>실행계획</t>
  </si>
  <si>
    <t>주간예상</t>
  </si>
  <si>
    <t>기타</t>
  </si>
  <si>
    <t>Sandi Asset</t>
  </si>
  <si>
    <t>NHA001</t>
  </si>
  <si>
    <t>솔루션-중소형빌딩자산관리-NC백화점</t>
  </si>
  <si>
    <t>영업총괄</t>
  </si>
  <si>
    <t>폰부스</t>
  </si>
  <si>
    <t>원두구독</t>
  </si>
  <si>
    <t>실적</t>
  </si>
  <si>
    <t>NI0020</t>
  </si>
  <si>
    <t>LIFE-주차장세차-남부1</t>
  </si>
  <si>
    <t>주차장 위탁운영</t>
  </si>
  <si>
    <t>실적</t>
  </si>
  <si>
    <t>실행계획</t>
  </si>
  <si>
    <t>주간예상</t>
  </si>
  <si>
    <t>LG</t>
  </si>
  <si>
    <t>주차장비 구매</t>
  </si>
  <si>
    <t>F0548</t>
  </si>
  <si>
    <t>주차-CNS부산운영센터</t>
  </si>
  <si>
    <t>실적</t>
  </si>
  <si>
    <t>NJ0020</t>
  </si>
  <si>
    <t>LIFE-주차장세차-남부2</t>
  </si>
  <si>
    <t>실적</t>
  </si>
  <si>
    <t>실행계획</t>
  </si>
  <si>
    <t>주간예상</t>
  </si>
  <si>
    <t>LG</t>
  </si>
  <si>
    <t>주차장 위탁운영</t>
  </si>
  <si>
    <t>FA0001</t>
  </si>
  <si>
    <t>주차-LG아트센터</t>
  </si>
  <si>
    <t>실적</t>
  </si>
  <si>
    <t>실행계획</t>
  </si>
  <si>
    <t>주간예상</t>
  </si>
  <si>
    <t>기타</t>
  </si>
  <si>
    <t>NA0001</t>
  </si>
  <si>
    <t>ASSET-중소형빌딩자산관리-서울1</t>
  </si>
  <si>
    <t>실적</t>
  </si>
  <si>
    <t>실행계획</t>
  </si>
  <si>
    <t>주간예상</t>
  </si>
  <si>
    <t>기타</t>
  </si>
  <si>
    <t>NA0020</t>
  </si>
  <si>
    <t>LIFE-주차장세차-서울1</t>
  </si>
  <si>
    <t>FB0002</t>
  </si>
  <si>
    <t>주차-대방경남아너스빌</t>
  </si>
  <si>
    <t>실적</t>
  </si>
  <si>
    <t>실행계획</t>
  </si>
  <si>
    <t>주간예상</t>
  </si>
  <si>
    <t>Open</t>
  </si>
  <si>
    <t>주차장 위탁운영</t>
  </si>
  <si>
    <t>FG0001</t>
  </si>
  <si>
    <t>주차-서울구로기계공구단지운영</t>
  </si>
  <si>
    <t>실적</t>
  </si>
  <si>
    <t>실행계획</t>
  </si>
  <si>
    <t>주간예상</t>
  </si>
  <si>
    <t>LG</t>
  </si>
  <si>
    <t>주차장비 구매</t>
  </si>
  <si>
    <t>F0559</t>
  </si>
  <si>
    <t>주차-전자가산R&amp;D캠퍼스</t>
  </si>
  <si>
    <t>CB0001</t>
  </si>
  <si>
    <t>주차-파라다이스시티주차시스템납품공사</t>
  </si>
  <si>
    <t>실적</t>
  </si>
  <si>
    <t>실행계획</t>
  </si>
  <si>
    <t>주간예상</t>
  </si>
  <si>
    <t>LG</t>
  </si>
  <si>
    <t>주차장비 구매</t>
  </si>
  <si>
    <t>F0546</t>
  </si>
  <si>
    <t>주차-CNS부평운영센터</t>
  </si>
  <si>
    <t>실적</t>
  </si>
  <si>
    <t>NZ0006</t>
  </si>
  <si>
    <t>Clean-청소로봇케어-서울2</t>
  </si>
  <si>
    <t>실적</t>
  </si>
  <si>
    <t>NB0009</t>
  </si>
  <si>
    <t>CLEAN-친환경청소용품-서울2</t>
  </si>
  <si>
    <t>실적</t>
  </si>
  <si>
    <t>NB0020</t>
  </si>
  <si>
    <t>LIFE-주차장세차-서울2</t>
  </si>
  <si>
    <t>실행계획</t>
  </si>
  <si>
    <t>주간예상</t>
  </si>
  <si>
    <t>기타</t>
  </si>
  <si>
    <t>주차장 위탁운영</t>
  </si>
  <si>
    <t>NY0002</t>
  </si>
  <si>
    <t>실적</t>
  </si>
  <si>
    <t>NB0003</t>
  </si>
  <si>
    <t>SAFE-AICCTV-서울2</t>
  </si>
  <si>
    <t>실적</t>
  </si>
  <si>
    <t>NC0010</t>
  </si>
  <si>
    <t>INTERIOR-사무환경개선-서울3</t>
  </si>
  <si>
    <t>실적</t>
  </si>
  <si>
    <t>실행계획</t>
  </si>
  <si>
    <t>주간예상</t>
  </si>
  <si>
    <t>기타</t>
  </si>
  <si>
    <t>ND0001</t>
  </si>
  <si>
    <t>ASSET-중소형빌딩자산관리-서울4</t>
  </si>
  <si>
    <t>실적</t>
  </si>
  <si>
    <t>NZ0005</t>
  </si>
  <si>
    <t>CLEAN-청소로봇케어-서울4</t>
  </si>
  <si>
    <t>실적</t>
  </si>
  <si>
    <t>ND0017</t>
  </si>
  <si>
    <t>LIFE-원두구독-서울4</t>
  </si>
  <si>
    <t>CE0001</t>
  </si>
  <si>
    <t>주차-대림APT주차시스템공사</t>
  </si>
  <si>
    <t>실적</t>
  </si>
  <si>
    <t>실행계획</t>
  </si>
  <si>
    <t>주간예상</t>
  </si>
  <si>
    <t>Open</t>
  </si>
  <si>
    <t>주차장 위탁운영</t>
  </si>
  <si>
    <t>F0555</t>
  </si>
  <si>
    <t>주차-신한은행운영센터부산서면점</t>
  </si>
  <si>
    <t>실적</t>
  </si>
  <si>
    <t>실행계획</t>
  </si>
  <si>
    <t>주간예상</t>
  </si>
  <si>
    <t>Open</t>
  </si>
  <si>
    <t>주차장 위탁운영</t>
  </si>
  <si>
    <t>F0605</t>
  </si>
  <si>
    <t>주차-신한은행운영센터창원중앙점</t>
  </si>
  <si>
    <t>실적</t>
  </si>
  <si>
    <t>실행계획</t>
  </si>
  <si>
    <t>주간예상</t>
  </si>
  <si>
    <t>기타</t>
  </si>
  <si>
    <t>NE0001</t>
  </si>
  <si>
    <t>ASSET-중소형빌딩자산관리-서울5</t>
  </si>
  <si>
    <t>실적</t>
  </si>
  <si>
    <t/>
  </si>
  <si>
    <t/>
  </si>
  <si>
    <t>Sandi Interior</t>
  </si>
  <si>
    <t>NE0032</t>
  </si>
  <si>
    <t>INTERIOR-폰부스-서울5</t>
  </si>
  <si>
    <t>실적</t>
  </si>
  <si>
    <t>기타</t>
  </si>
  <si>
    <t/>
  </si>
  <si>
    <t>실행계획</t>
  </si>
  <si>
    <t>주간예상</t>
  </si>
  <si>
    <t>기타</t>
  </si>
  <si>
    <t>주차장 위탁운영</t>
  </si>
  <si>
    <t>Sandi Parking</t>
  </si>
  <si>
    <t>NY0001</t>
  </si>
  <si>
    <t>실적</t>
  </si>
  <si>
    <t>NZ0002</t>
  </si>
  <si>
    <t>SAFE-FM컨설팅-서울5(P)</t>
  </si>
  <si>
    <t>F0599</t>
  </si>
  <si>
    <t>강남/강동-주차-이레빌딩</t>
  </si>
  <si>
    <t>실적</t>
  </si>
  <si>
    <t>실행계획</t>
  </si>
  <si>
    <t>주간예상</t>
  </si>
  <si>
    <t>LG</t>
  </si>
  <si>
    <t>주차장 위탁운영</t>
  </si>
  <si>
    <t>FF0004</t>
  </si>
  <si>
    <t>주차-디앤오강남빌딩운영센터</t>
  </si>
  <si>
    <t>실적</t>
  </si>
  <si>
    <t>실행계획</t>
  </si>
  <si>
    <t>주간예상</t>
  </si>
  <si>
    <t>LG</t>
  </si>
  <si>
    <t>주차장 위탁운영</t>
  </si>
  <si>
    <t>F0536</t>
  </si>
  <si>
    <t>주차-전자서초R&amp;D캠퍼스</t>
  </si>
  <si>
    <t>실적</t>
  </si>
  <si>
    <t>실행계획</t>
  </si>
  <si>
    <t>주간예상</t>
  </si>
  <si>
    <t>범LG(LS,GS)</t>
  </si>
  <si>
    <t>주차장 위탁운영</t>
  </si>
  <si>
    <t>FF0001</t>
  </si>
  <si>
    <t>주차-GS타워운영센터</t>
  </si>
  <si>
    <t>실적</t>
  </si>
  <si>
    <t>실행계획</t>
  </si>
  <si>
    <t>주간예상</t>
  </si>
  <si>
    <t>Open</t>
  </si>
  <si>
    <t>주차장비 구매</t>
  </si>
  <si>
    <t>SF0002</t>
  </si>
  <si>
    <t>주차-LF서관</t>
  </si>
  <si>
    <t>실적</t>
  </si>
  <si>
    <t>실행계획</t>
  </si>
  <si>
    <t>주간예상</t>
  </si>
  <si>
    <t>기타</t>
  </si>
  <si>
    <t>NF0008</t>
  </si>
  <si>
    <t>CLEAN-법정의무소독서비스-서울6</t>
  </si>
  <si>
    <t>실적</t>
  </si>
  <si>
    <t>실행계획</t>
  </si>
  <si>
    <t>주간예상</t>
  </si>
  <si>
    <t>기타</t>
  </si>
  <si>
    <t>NF0006</t>
  </si>
  <si>
    <t>CLEAN-정기방문청소-서울6</t>
  </si>
  <si>
    <t>실적</t>
  </si>
  <si>
    <t>실행계획</t>
  </si>
  <si>
    <t>주간예상</t>
  </si>
  <si>
    <t>기타</t>
  </si>
  <si>
    <t>NF0029</t>
  </si>
  <si>
    <t>Clean-청소로봇케어-서울6</t>
  </si>
  <si>
    <t>실적</t>
  </si>
  <si>
    <t>기타</t>
  </si>
  <si>
    <t>실행계획</t>
  </si>
  <si>
    <t>주간예상</t>
  </si>
  <si>
    <t>기타</t>
  </si>
  <si>
    <t>Sandi Life</t>
  </si>
  <si>
    <t>NF0033</t>
  </si>
  <si>
    <t>LIFE-라운지-서울6</t>
  </si>
  <si>
    <t>실적</t>
  </si>
  <si>
    <t>NF0011</t>
  </si>
  <si>
    <t>LIFE-샌디APP-서울6</t>
  </si>
  <si>
    <t>실적</t>
  </si>
  <si>
    <t>실행계획</t>
  </si>
  <si>
    <t>주간예상</t>
  </si>
  <si>
    <t>기타</t>
  </si>
  <si>
    <t>NF0014</t>
  </si>
  <si>
    <t>LIFE-스낵플러스-서울6</t>
  </si>
  <si>
    <t>실적</t>
  </si>
  <si>
    <t>NF0017</t>
  </si>
  <si>
    <t>LIFE-원두구독-서울6</t>
  </si>
  <si>
    <t>실적</t>
  </si>
  <si>
    <t>실행계획</t>
  </si>
  <si>
    <t>주간예상</t>
  </si>
  <si>
    <t>기타</t>
  </si>
  <si>
    <t>NF0018</t>
  </si>
  <si>
    <t>LIFE-커피머신렌탈-서울6</t>
  </si>
  <si>
    <t>실적</t>
  </si>
  <si>
    <t>실행계획</t>
  </si>
  <si>
    <t>주간예상</t>
  </si>
  <si>
    <t>Open</t>
  </si>
  <si>
    <t>주차장 위탁운영</t>
  </si>
  <si>
    <t>FG0008</t>
  </si>
  <si>
    <t>주차-더맥심험프리스</t>
  </si>
  <si>
    <t>SG0007</t>
  </si>
  <si>
    <t>주차-안성성모병원</t>
  </si>
  <si>
    <t>실적</t>
  </si>
  <si>
    <t>실행계획</t>
  </si>
  <si>
    <t>주간예상</t>
  </si>
  <si>
    <t>Open</t>
  </si>
  <si>
    <t>주차장 위탁운영</t>
  </si>
  <si>
    <t>SG0006</t>
  </si>
  <si>
    <t>주차-JW이노스퀘어</t>
  </si>
  <si>
    <t>SG0001</t>
  </si>
  <si>
    <t>주차-LS일렉트릭글로벌R&amp;D캠퍼스</t>
  </si>
  <si>
    <t>SG0003</t>
  </si>
  <si>
    <t>주차-LS일렉트릭천안사업장</t>
  </si>
  <si>
    <t>실행계획</t>
  </si>
  <si>
    <t>주간예상</t>
  </si>
  <si>
    <t>기타</t>
  </si>
  <si>
    <t>NG0001</t>
  </si>
  <si>
    <t>ASSET-중소형빌딩자산관리-중부1</t>
  </si>
  <si>
    <t>실적</t>
  </si>
  <si>
    <t>NG0020</t>
  </si>
  <si>
    <t>LIFE-주차장세차-중부1</t>
  </si>
  <si>
    <t>실적</t>
  </si>
  <si>
    <t>CH0003</t>
  </si>
  <si>
    <t>주차-덕소벽산아파트주차시스템공사</t>
  </si>
  <si>
    <t>실적</t>
  </si>
  <si>
    <t>실행계획</t>
  </si>
  <si>
    <t>주간예상</t>
  </si>
  <si>
    <t>Open</t>
  </si>
  <si>
    <t>주차장 위탁운영</t>
  </si>
  <si>
    <t>SH0001</t>
  </si>
  <si>
    <t>주차-LF스퀘어양주</t>
  </si>
  <si>
    <t>실행계획</t>
  </si>
  <si>
    <t>주간예상</t>
  </si>
  <si>
    <t>기타</t>
  </si>
  <si>
    <t>NH0001</t>
  </si>
  <si>
    <t>ASSET-중소형빌딩자산관리-중부2</t>
  </si>
  <si>
    <t>실적</t>
  </si>
  <si>
    <t>NH0006</t>
  </si>
  <si>
    <t>CLEAN-정기방문청소-중부2</t>
  </si>
  <si>
    <t>실행계획</t>
  </si>
  <si>
    <t>주간예상</t>
  </si>
  <si>
    <t>기타</t>
  </si>
  <si>
    <t>주차장 위탁운영</t>
  </si>
  <si>
    <t>NY0003</t>
  </si>
  <si>
    <t>CMO</t>
  </si>
  <si>
    <t>총괄</t>
  </si>
  <si>
    <t>매출 추적 본부</t>
  </si>
  <si>
    <t>WBS/ZF</t>
  </si>
  <si>
    <t>Code</t>
  </si>
  <si>
    <t>사업유형2</t>
  </si>
  <si>
    <t>사업유형3(대시보드용)</t>
  </si>
  <si>
    <t>LG/Open</t>
  </si>
  <si>
    <t>금액 구분</t>
  </si>
  <si>
    <t>솔루션-정기방문청소-서울4BS1</t>
    <phoneticPr fontId="3" type="noConversion"/>
  </si>
  <si>
    <t>라이프라이크-정기방문청소-_샌디클린</t>
    <phoneticPr fontId="3" type="noConversion"/>
  </si>
  <si>
    <t>솔루션-원격감시-건와빌딩</t>
    <phoneticPr fontId="3" type="noConversion"/>
  </si>
  <si>
    <t>솔루션-원격감시-연산갤러리</t>
    <phoneticPr fontId="3" type="noConversion"/>
  </si>
  <si>
    <t>솔루션-원격감시-넷마블푸르니</t>
    <phoneticPr fontId="3" type="noConversion"/>
  </si>
  <si>
    <t>솔루션-비상주시설물안전점검(P)-메리츠화재광주사옥</t>
    <phoneticPr fontId="3" type="noConversion"/>
  </si>
  <si>
    <t>솔루션-비상주시설물안전점검(P)-LXMMA둔곡사옥</t>
    <phoneticPr fontId="3" type="noConversion"/>
  </si>
  <si>
    <t>솔루션-주차장비구매-한국타이어평택물류</t>
    <phoneticPr fontId="3" type="noConversion"/>
  </si>
  <si>
    <t>주차-주차장비구매-CNS부산운영센터</t>
    <phoneticPr fontId="3" type="noConversion"/>
  </si>
  <si>
    <t>주차-주차장비구매-전자가산R&amp;D캠퍼스</t>
    <phoneticPr fontId="3" type="noConversion"/>
  </si>
  <si>
    <t>주차-주차장비구매-CNS부평운영센터</t>
    <phoneticPr fontId="3" type="noConversion"/>
  </si>
  <si>
    <t>주차-주차장비구매-LF서관</t>
    <phoneticPr fontId="3" type="noConversion"/>
  </si>
  <si>
    <t>주차-주차장비구매-덕소벽산아파트주차시스템공사</t>
    <phoneticPr fontId="3" type="noConversion"/>
  </si>
  <si>
    <t>주차-주차장위탁운영-LG아트센터</t>
  </si>
  <si>
    <t>주차-주차장위탁운영-서울구로기계공구단지운영</t>
  </si>
  <si>
    <t>PARKING-주차장위탁운영-주차서비스-홈플러스인천논현</t>
  </si>
  <si>
    <t>주차-주차장위탁운영-신한은행운영센터부산서면점</t>
  </si>
  <si>
    <t>주차-주차장위탁운영-신한은행운영센터창원중앙점</t>
  </si>
  <si>
    <t>PARKING-주차장위탁운영-주차서비스-서울여대</t>
  </si>
  <si>
    <t>PARKING-주차장위탁운영-주차서비스-홈플러스하남</t>
  </si>
  <si>
    <t>주차-주차장위탁운영-주차서비스-디앤오강남빌딩운영센터</t>
  </si>
  <si>
    <t>주차-주차장위탁운영-주차서비스-전자서초R&amp;D캠퍼스</t>
  </si>
  <si>
    <t>주차-주차장위탁운영-주차서비스-GS타워운영센터</t>
  </si>
  <si>
    <t>주차-주차장위탁운영-더맥심험프리스</t>
  </si>
  <si>
    <t>주차-주차장위탁운영-JW이노스퀘어</t>
  </si>
  <si>
    <t>주차-주차장위탁운영-주차서비스-LF스퀘어양주</t>
  </si>
  <si>
    <t>sum</t>
    <phoneticPr fontId="3" type="noConversion"/>
  </si>
  <si>
    <t>count</t>
    <phoneticPr fontId="3" type="noConversion"/>
  </si>
  <si>
    <t>24-01</t>
  </si>
  <si>
    <t>24-02</t>
  </si>
  <si>
    <t>24-03</t>
  </si>
  <si>
    <t>24-04</t>
  </si>
  <si>
    <t>24-05</t>
  </si>
  <si>
    <t>24-06</t>
  </si>
  <si>
    <t>기타</t>
    <phoneticPr fontId="3" type="noConversion"/>
  </si>
  <si>
    <t>Safe</t>
  </si>
  <si>
    <t>Life</t>
  </si>
  <si>
    <t>Clean</t>
  </si>
  <si>
    <t>Parking</t>
  </si>
  <si>
    <t>Asset</t>
  </si>
  <si>
    <t>Interior</t>
  </si>
  <si>
    <t>category</t>
  </si>
  <si>
    <t>category</t>
    <phoneticPr fontId="3" type="noConversion"/>
  </si>
  <si>
    <t>code</t>
  </si>
  <si>
    <t>code</t>
    <phoneticPr fontId="3" type="noConversion"/>
  </si>
  <si>
    <t>wbs</t>
  </si>
  <si>
    <t>wbs</t>
    <phoneticPr fontId="3" type="noConversion"/>
  </si>
  <si>
    <t>item</t>
  </si>
  <si>
    <t>item</t>
    <phoneticPr fontId="3" type="noConversion"/>
  </si>
  <si>
    <t>솔루션-기계설비성능점검-남부1BS</t>
    <phoneticPr fontId="3" type="noConversion"/>
  </si>
  <si>
    <t>FM컨설팅(P)</t>
  </si>
  <si>
    <t>기계설비성능점검</t>
  </si>
  <si>
    <t>비상주시설물안전점검(P)</t>
  </si>
  <si>
    <t>주차장세차</t>
  </si>
  <si>
    <t>공기질서비스(P)</t>
  </si>
  <si>
    <t>스마트메일룸(P)</t>
  </si>
  <si>
    <t>AICCTV</t>
  </si>
  <si>
    <t>상업용주방자동소화장치</t>
  </si>
  <si>
    <t>주차장비구매</t>
  </si>
  <si>
    <t>정기방문청소</t>
  </si>
  <si>
    <t>간판점검및세척(P)</t>
  </si>
  <si>
    <t>다회용컵렌탈(P)</t>
  </si>
  <si>
    <t>건물맞춤형공조필터</t>
  </si>
  <si>
    <t>샌디APP</t>
  </si>
  <si>
    <t>커피머신렌탈</t>
  </si>
  <si>
    <t>내자리케어</t>
  </si>
  <si>
    <t>청소장비솔루션</t>
  </si>
  <si>
    <t>중소형빌딩자산관리</t>
  </si>
  <si>
    <t>주차장위탁운영</t>
  </si>
  <si>
    <t>친환경청소용품</t>
  </si>
  <si>
    <t>법정의무소독서비스</t>
  </si>
  <si>
    <t>라운지</t>
  </si>
  <si>
    <t>23-12</t>
    <phoneticPr fontId="3" type="noConversion"/>
  </si>
  <si>
    <t>23-11</t>
  </si>
  <si>
    <t>주차-주차장비구매-덕소벽산아파트주차시스템공사</t>
  </si>
  <si>
    <t>주차-주차장비구매-CNS부평운영센터</t>
  </si>
  <si>
    <t>주차-주차장비구매-CNS부산운영센터</t>
  </si>
  <si>
    <t>주차-주차장비구매-전자가산R&amp;D캠퍼스</t>
  </si>
  <si>
    <t>솔루션-비상주시설물안전점검(P)-LXMMA둔곡사옥</t>
  </si>
  <si>
    <t>솔루션-원격감시-넷마블푸르니</t>
  </si>
  <si>
    <t>솔루션-원격감시-연산갤러리</t>
  </si>
  <si>
    <t>주차-주차장비구매-LF서관</t>
  </si>
  <si>
    <t>라이프라이크-정기방문청소-샌디클린</t>
    <phoneticPr fontId="3" type="noConversion"/>
  </si>
  <si>
    <t>※ 세차서비스는 광화문, 화학대전만 법인간 계약 체결</t>
    <phoneticPr fontId="3" type="noConversion"/>
  </si>
  <si>
    <t>솔루션-주차장세차-화학오산테크</t>
    <phoneticPr fontId="3" type="noConversion"/>
  </si>
  <si>
    <t>솔루션-주차장세차-U+대전R&amp;D</t>
    <phoneticPr fontId="3" type="noConversion"/>
  </si>
  <si>
    <t>LG</t>
    <phoneticPr fontId="3" type="noConversion"/>
  </si>
  <si>
    <t>LG/Open(1)</t>
    <phoneticPr fontId="3" type="noConversion"/>
  </si>
  <si>
    <t>LG/Open</t>
    <phoneticPr fontId="3" type="noConversion"/>
  </si>
  <si>
    <t>합계 : 23-11</t>
  </si>
  <si>
    <t>합계 : 23-12</t>
  </si>
  <si>
    <t>합계 : 24-01</t>
  </si>
  <si>
    <t>합계 : 24-02</t>
  </si>
  <si>
    <t>합계 : 24-03</t>
  </si>
  <si>
    <t>합계 : 24-04</t>
  </si>
  <si>
    <t>합계 : 24-05</t>
  </si>
  <si>
    <t>합계 : 24-06</t>
  </si>
  <si>
    <t>단품</t>
  </si>
  <si>
    <t>리커링</t>
  </si>
  <si>
    <t>리커링</t>
    <phoneticPr fontId="3" type="noConversion"/>
  </si>
  <si>
    <t>값</t>
  </si>
  <si>
    <t>계</t>
  </si>
  <si>
    <t>계</t>
    <phoneticPr fontId="3" type="noConversion"/>
  </si>
  <si>
    <t>유형</t>
    <phoneticPr fontId="3" type="noConversion"/>
  </si>
  <si>
    <t>상품명칭</t>
    <phoneticPr fontId="3" type="noConversion"/>
  </si>
  <si>
    <t>카테고리명</t>
    <phoneticPr fontId="3" type="noConversion"/>
  </si>
  <si>
    <t>LG계열사</t>
  </si>
  <si>
    <t>Open마켓</t>
  </si>
  <si>
    <t>개수 : 리커링</t>
  </si>
  <si>
    <r>
      <t>LG</t>
    </r>
    <r>
      <rPr>
        <b/>
        <sz val="11"/>
        <rFont val="Arial Unicode MS"/>
        <family val="3"/>
        <charset val="129"/>
      </rPr>
      <t>계열사</t>
    </r>
    <phoneticPr fontId="3" type="noConversion"/>
  </si>
  <si>
    <r>
      <t>Open</t>
    </r>
    <r>
      <rPr>
        <b/>
        <sz val="11"/>
        <rFont val="Arial Unicode MS"/>
        <family val="3"/>
        <charset val="129"/>
      </rPr>
      <t>마켓</t>
    </r>
    <phoneticPr fontId="3" type="noConversion"/>
  </si>
  <si>
    <t>합계</t>
    <phoneticPr fontId="3" type="noConversion"/>
  </si>
  <si>
    <r>
      <t>매출액</t>
    </r>
    <r>
      <rPr>
        <b/>
        <sz val="9"/>
        <rFont val="맑은 고딕"/>
        <family val="3"/>
        <charset val="129"/>
      </rPr>
      <t xml:space="preserve"> </t>
    </r>
    <r>
      <rPr>
        <sz val="9"/>
        <rFont val="맑은 고딕"/>
        <family val="3"/>
        <charset val="129"/>
      </rPr>
      <t>(단위:천원)</t>
    </r>
    <phoneticPr fontId="3" type="noConversion"/>
  </si>
  <si>
    <r>
      <t>유효사이트수</t>
    </r>
    <r>
      <rPr>
        <sz val="9"/>
        <rFont val="맑은 고딕"/>
        <family val="3"/>
        <charset val="129"/>
      </rPr>
      <t xml:space="preserve"> (단위:개소)</t>
    </r>
    <phoneticPr fontId="3" type="noConversion"/>
  </si>
  <si>
    <t>(합산기간 : '23년11월 ~ '24년 6월)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</si>
</sst>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;@"/>
  </numFmts>
  <fonts count="16">
    <font>
      <sz val="11"/>
      <name val="Calibri"/>
    </font>
    <font>
      <b/>
      <sz val="10"/>
      <color rgb="FF000000"/>
      <name val="Pretendard"/>
      <family val="3"/>
      <charset val="129"/>
    </font>
    <font>
      <sz val="11"/>
      <name val="Calibri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Pretendard"/>
      <family val="3"/>
      <charset val="129"/>
    </font>
    <font>
      <sz val="10"/>
      <name val="Calibri"/>
      <family val="2"/>
    </font>
    <font>
      <sz val="10"/>
      <name val="맑은 고딕"/>
      <family val="2"/>
      <charset val="129"/>
    </font>
    <font>
      <b/>
      <sz val="11"/>
      <name val="Calibri"/>
      <family val="3"/>
    </font>
    <font>
      <b/>
      <sz val="10"/>
      <name val="맑은 고딕"/>
      <family val="3"/>
      <charset val="129"/>
      <scheme val="minor"/>
    </font>
    <font>
      <b/>
      <sz val="11"/>
      <name val="Calibri"/>
      <family val="2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Arial Unicode MS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4">
    <xf numFmtId="0" fontId="0" fillId="0" borderId="0"/>
    <xf numFmtId="41" fontId="2" fillId="0" borderId="0" applyFont="0" applyFill="0" applyBorder="0" applyAlignment="0" applyProtection="0">
      <alignment vertical="center"/>
    </xf>
    <xf numFmtId="0" fontId="2" fillId="0" borderId="4"/>
    <xf numFmtId="41" fontId="2" fillId="0" borderId="4" applyFont="0" applyFill="0" applyBorder="0" applyAlignment="0" applyProtection="0">
      <alignment vertical="center"/>
    </xf>
  </cellStyleXfs>
  <cellXfs count="139">
    <xf numFmtId="0" fontId="0" fillId="0" borderId="0" xfId="0"/>
    <xf numFmtId="0" fontId="1" fillId="0" borderId="3" xfId="0" applyFont="1" applyBorder="1" applyAlignment="1">
      <alignment horizontal="left"/>
    </xf>
    <xf numFmtId="41" fontId="0" fillId="0" borderId="0" xfId="1" applyFont="1" applyAlignment="1"/>
    <xf numFmtId="0" fontId="1" fillId="0" borderId="4" xfId="2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2" fillId="0" borderId="0" xfId="0" applyFont="1"/>
    <xf numFmtId="0" fontId="0" fillId="0" borderId="0" xfId="0" pivotButton="1"/>
    <xf numFmtId="0" fontId="4" fillId="0" borderId="0" xfId="0" applyFont="1"/>
    <xf numFmtId="0" fontId="5" fillId="0" borderId="1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2" fillId="0" borderId="0" xfId="0" applyFont="1" applyFill="1"/>
    <xf numFmtId="0" fontId="6" fillId="0" borderId="0" xfId="0" applyFont="1"/>
    <xf numFmtId="0" fontId="6" fillId="0" borderId="0" xfId="0" applyFont="1" applyFill="1"/>
    <xf numFmtId="176" fontId="1" fillId="0" borderId="4" xfId="2" applyNumberFormat="1" applyFont="1" applyBorder="1" applyAlignment="1">
      <alignment horizontal="center"/>
    </xf>
    <xf numFmtId="0" fontId="4" fillId="0" borderId="0" xfId="0" applyFont="1" applyFill="1"/>
    <xf numFmtId="0" fontId="7" fillId="0" borderId="0" xfId="0" applyFont="1"/>
    <xf numFmtId="0" fontId="4" fillId="3" borderId="0" xfId="0" applyFont="1" applyFill="1"/>
    <xf numFmtId="0" fontId="5" fillId="4" borderId="3" xfId="0" applyFont="1" applyFill="1" applyBorder="1" applyAlignment="1">
      <alignment horizontal="left"/>
    </xf>
    <xf numFmtId="0" fontId="2" fillId="0" borderId="4" xfId="2" applyFont="1"/>
    <xf numFmtId="0" fontId="5" fillId="0" borderId="4" xfId="2" applyFont="1" applyBorder="1" applyAlignment="1">
      <alignment vertical="top"/>
    </xf>
    <xf numFmtId="0" fontId="5" fillId="0" borderId="4" xfId="2" applyFont="1" applyFill="1" applyBorder="1" applyAlignment="1">
      <alignment vertical="top"/>
    </xf>
    <xf numFmtId="3" fontId="5" fillId="0" borderId="4" xfId="2" applyNumberFormat="1" applyFont="1" applyBorder="1" applyAlignment="1">
      <alignment vertical="center"/>
    </xf>
    <xf numFmtId="3" fontId="5" fillId="0" borderId="4" xfId="2" applyNumberFormat="1" applyFont="1" applyFill="1" applyBorder="1" applyAlignment="1">
      <alignment vertical="center"/>
    </xf>
    <xf numFmtId="0" fontId="2" fillId="0" borderId="4" xfId="2" applyFont="1" applyFill="1"/>
    <xf numFmtId="3" fontId="2" fillId="0" borderId="4" xfId="2" applyNumberFormat="1" applyFont="1"/>
    <xf numFmtId="14" fontId="2" fillId="0" borderId="4" xfId="2" applyNumberFormat="1" applyFont="1"/>
    <xf numFmtId="3" fontId="5" fillId="0" borderId="4" xfId="0" applyNumberFormat="1" applyFont="1" applyBorder="1" applyAlignment="1">
      <alignment vertical="center"/>
    </xf>
    <xf numFmtId="3" fontId="2" fillId="0" borderId="0" xfId="0" applyNumberFormat="1" applyFont="1"/>
    <xf numFmtId="0" fontId="7" fillId="4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1" quotePrefix="1" applyNumberFormat="1" applyFont="1" applyFill="1" applyAlignment="1"/>
    <xf numFmtId="0" fontId="10" fillId="2" borderId="0" xfId="1" applyNumberFormat="1" applyFont="1" applyFill="1" applyAlignment="1"/>
    <xf numFmtId="41" fontId="10" fillId="2" borderId="0" xfId="1" applyFont="1" applyFill="1" applyAlignment="1"/>
    <xf numFmtId="0" fontId="10" fillId="0" borderId="0" xfId="0" applyFont="1" applyFill="1"/>
    <xf numFmtId="0" fontId="10" fillId="0" borderId="0" xfId="0" applyFont="1"/>
    <xf numFmtId="0" fontId="10" fillId="0" borderId="4" xfId="2" applyFont="1"/>
    <xf numFmtId="41" fontId="0" fillId="0" borderId="0" xfId="0" applyNumberFormat="1"/>
    <xf numFmtId="0" fontId="0" fillId="0" borderId="0" xfId="0" applyNumberFormat="1"/>
    <xf numFmtId="0" fontId="10" fillId="5" borderId="0" xfId="1" quotePrefix="1" applyNumberFormat="1" applyFont="1" applyFill="1" applyAlignment="1"/>
    <xf numFmtId="0" fontId="10" fillId="5" borderId="0" xfId="1" applyNumberFormat="1" applyFont="1" applyFill="1" applyAlignment="1"/>
    <xf numFmtId="41" fontId="10" fillId="5" borderId="0" xfId="1" applyFont="1" applyFill="1" applyAlignment="1"/>
    <xf numFmtId="0" fontId="4" fillId="0" borderId="0" xfId="0" applyFont="1" applyAlignment="1">
      <alignment horizontal="right"/>
    </xf>
    <xf numFmtId="0" fontId="12" fillId="4" borderId="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41" fontId="10" fillId="4" borderId="10" xfId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41" fontId="10" fillId="4" borderId="16" xfId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41" fontId="0" fillId="4" borderId="13" xfId="1" applyFont="1" applyFill="1" applyBorder="1" applyAlignment="1"/>
    <xf numFmtId="41" fontId="0" fillId="4" borderId="16" xfId="1" applyFont="1" applyFill="1" applyBorder="1" applyAlignment="1"/>
    <xf numFmtId="41" fontId="0" fillId="4" borderId="15" xfId="1" applyFont="1" applyFill="1" applyBorder="1" applyAlignment="1"/>
    <xf numFmtId="41" fontId="0" fillId="4" borderId="14" xfId="0" applyNumberFormat="1" applyFill="1" applyBorder="1"/>
    <xf numFmtId="0" fontId="0" fillId="4" borderId="16" xfId="0" applyFill="1" applyBorder="1"/>
    <xf numFmtId="0" fontId="0" fillId="4" borderId="15" xfId="0" applyFill="1" applyBorder="1"/>
    <xf numFmtId="0" fontId="0" fillId="0" borderId="13" xfId="0" applyFill="1" applyBorder="1"/>
    <xf numFmtId="0" fontId="0" fillId="0" borderId="16" xfId="0" applyFill="1" applyBorder="1"/>
    <xf numFmtId="0" fontId="0" fillId="0" borderId="14" xfId="0" applyFill="1" applyBorder="1" applyAlignment="1">
      <alignment horizontal="center"/>
    </xf>
    <xf numFmtId="41" fontId="0" fillId="0" borderId="13" xfId="1" applyFont="1" applyFill="1" applyBorder="1" applyAlignment="1"/>
    <xf numFmtId="41" fontId="0" fillId="0" borderId="16" xfId="1" applyFont="1" applyFill="1" applyBorder="1" applyAlignment="1"/>
    <xf numFmtId="41" fontId="0" fillId="0" borderId="15" xfId="1" applyFont="1" applyFill="1" applyBorder="1" applyAlignment="1"/>
    <xf numFmtId="41" fontId="0" fillId="0" borderId="14" xfId="1" applyFont="1" applyFill="1" applyBorder="1" applyAlignment="1"/>
    <xf numFmtId="0" fontId="0" fillId="0" borderId="5" xfId="0" applyFill="1" applyBorder="1"/>
    <xf numFmtId="0" fontId="0" fillId="0" borderId="17" xfId="0" applyFill="1" applyBorder="1"/>
    <xf numFmtId="0" fontId="0" fillId="0" borderId="6" xfId="0" applyFill="1" applyBorder="1" applyAlignment="1">
      <alignment horizontal="center"/>
    </xf>
    <xf numFmtId="41" fontId="0" fillId="0" borderId="5" xfId="1" applyFont="1" applyFill="1" applyBorder="1" applyAlignment="1"/>
    <xf numFmtId="41" fontId="0" fillId="0" borderId="17" xfId="1" applyFont="1" applyFill="1" applyBorder="1" applyAlignment="1"/>
    <xf numFmtId="41" fontId="0" fillId="0" borderId="7" xfId="1" applyFont="1" applyFill="1" applyBorder="1" applyAlignment="1"/>
    <xf numFmtId="41" fontId="0" fillId="0" borderId="6" xfId="1" applyFont="1" applyFill="1" applyBorder="1" applyAlignment="1"/>
    <xf numFmtId="0" fontId="0" fillId="0" borderId="8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center"/>
    </xf>
    <xf numFmtId="41" fontId="0" fillId="0" borderId="22" xfId="1" applyFont="1" applyFill="1" applyBorder="1" applyAlignment="1"/>
    <xf numFmtId="41" fontId="0" fillId="0" borderId="20" xfId="1" applyFont="1" applyFill="1" applyBorder="1" applyAlignment="1"/>
    <xf numFmtId="41" fontId="0" fillId="0" borderId="23" xfId="1" applyFont="1" applyFill="1" applyBorder="1" applyAlignment="1"/>
    <xf numFmtId="41" fontId="0" fillId="0" borderId="21" xfId="1" applyFont="1" applyFill="1" applyBorder="1" applyAlignment="1"/>
    <xf numFmtId="0" fontId="0" fillId="0" borderId="10" xfId="0" applyFill="1" applyBorder="1"/>
    <xf numFmtId="0" fontId="0" fillId="0" borderId="18" xfId="0" applyFill="1" applyBorder="1"/>
    <xf numFmtId="0" fontId="0" fillId="0" borderId="11" xfId="0" applyFill="1" applyBorder="1" applyAlignment="1">
      <alignment horizontal="center"/>
    </xf>
    <xf numFmtId="41" fontId="0" fillId="0" borderId="10" xfId="1" applyFont="1" applyFill="1" applyBorder="1" applyAlignment="1"/>
    <xf numFmtId="41" fontId="0" fillId="0" borderId="18" xfId="1" applyFont="1" applyFill="1" applyBorder="1" applyAlignment="1"/>
    <xf numFmtId="41" fontId="0" fillId="0" borderId="12" xfId="1" applyFont="1" applyFill="1" applyBorder="1" applyAlignment="1"/>
    <xf numFmtId="41" fontId="0" fillId="0" borderId="11" xfId="1" applyFont="1" applyFill="1" applyBorder="1" applyAlignment="1"/>
    <xf numFmtId="0" fontId="0" fillId="0" borderId="24" xfId="0" applyFill="1" applyBorder="1"/>
    <xf numFmtId="0" fontId="0" fillId="0" borderId="25" xfId="0" applyFill="1" applyBorder="1" applyAlignment="1">
      <alignment horizontal="center"/>
    </xf>
    <xf numFmtId="41" fontId="0" fillId="0" borderId="26" xfId="1" applyFont="1" applyFill="1" applyBorder="1" applyAlignment="1"/>
    <xf numFmtId="41" fontId="0" fillId="0" borderId="24" xfId="1" applyFont="1" applyFill="1" applyBorder="1" applyAlignment="1"/>
    <xf numFmtId="41" fontId="0" fillId="0" borderId="27" xfId="1" applyFont="1" applyFill="1" applyBorder="1" applyAlignment="1"/>
    <xf numFmtId="41" fontId="0" fillId="0" borderId="25" xfId="1" applyFont="1" applyFill="1" applyBorder="1" applyAlignment="1"/>
    <xf numFmtId="0" fontId="0" fillId="0" borderId="19" xfId="0" applyFill="1" applyBorder="1"/>
    <xf numFmtId="0" fontId="0" fillId="0" borderId="4" xfId="0" applyFill="1" applyBorder="1" applyAlignment="1">
      <alignment horizontal="center"/>
    </xf>
    <xf numFmtId="41" fontId="0" fillId="0" borderId="8" xfId="1" applyFont="1" applyFill="1" applyBorder="1" applyAlignment="1"/>
    <xf numFmtId="41" fontId="0" fillId="0" borderId="19" xfId="1" applyFont="1" applyFill="1" applyBorder="1" applyAlignment="1"/>
    <xf numFmtId="41" fontId="0" fillId="0" borderId="9" xfId="1" applyFont="1" applyFill="1" applyBorder="1" applyAlignment="1"/>
    <xf numFmtId="41" fontId="0" fillId="0" borderId="4" xfId="1" applyFont="1" applyFill="1" applyBorder="1" applyAlignment="1"/>
    <xf numFmtId="0" fontId="0" fillId="0" borderId="32" xfId="0" applyFill="1" applyBorder="1"/>
    <xf numFmtId="0" fontId="0" fillId="0" borderId="33" xfId="0" applyFill="1" applyBorder="1" applyAlignment="1">
      <alignment horizontal="center"/>
    </xf>
    <xf numFmtId="41" fontId="0" fillId="0" borderId="34" xfId="1" applyFont="1" applyFill="1" applyBorder="1" applyAlignment="1"/>
    <xf numFmtId="41" fontId="0" fillId="0" borderId="32" xfId="1" applyFont="1" applyFill="1" applyBorder="1" applyAlignment="1"/>
    <xf numFmtId="41" fontId="0" fillId="0" borderId="35" xfId="1" applyFont="1" applyFill="1" applyBorder="1" applyAlignment="1"/>
    <xf numFmtId="41" fontId="0" fillId="0" borderId="33" xfId="1" applyFont="1" applyFill="1" applyBorder="1" applyAlignment="1"/>
    <xf numFmtId="0" fontId="0" fillId="0" borderId="32" xfId="0" applyFill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0" fillId="0" borderId="28" xfId="0" applyFill="1" applyBorder="1"/>
    <xf numFmtId="0" fontId="0" fillId="0" borderId="29" xfId="0" applyFill="1" applyBorder="1" applyAlignment="1">
      <alignment horizontal="center"/>
    </xf>
    <xf numFmtId="41" fontId="0" fillId="0" borderId="30" xfId="1" applyFont="1" applyFill="1" applyBorder="1" applyAlignment="1"/>
    <xf numFmtId="41" fontId="0" fillId="0" borderId="28" xfId="1" applyFont="1" applyFill="1" applyBorder="1" applyAlignment="1"/>
    <xf numFmtId="41" fontId="0" fillId="0" borderId="31" xfId="1" applyFont="1" applyFill="1" applyBorder="1" applyAlignment="1"/>
    <xf numFmtId="41" fontId="0" fillId="0" borderId="29" xfId="1" applyFont="1" applyFill="1" applyBorder="1" applyAlignment="1"/>
    <xf numFmtId="0" fontId="0" fillId="0" borderId="37" xfId="0" applyFill="1" applyBorder="1" applyAlignment="1">
      <alignment horizontal="center"/>
    </xf>
    <xf numFmtId="41" fontId="0" fillId="0" borderId="38" xfId="1" applyFont="1" applyFill="1" applyBorder="1" applyAlignment="1"/>
    <xf numFmtId="41" fontId="0" fillId="0" borderId="36" xfId="1" applyFont="1" applyFill="1" applyBorder="1" applyAlignment="1"/>
    <xf numFmtId="41" fontId="0" fillId="0" borderId="39" xfId="1" applyFont="1" applyFill="1" applyBorder="1" applyAlignment="1"/>
    <xf numFmtId="41" fontId="0" fillId="0" borderId="37" xfId="1" applyFont="1" applyFill="1" applyBorder="1" applyAlignment="1"/>
    <xf numFmtId="0" fontId="0" fillId="0" borderId="19" xfId="0" applyFill="1" applyBorder="1" applyAlignment="1">
      <alignment horizontal="left" vertical="center"/>
    </xf>
    <xf numFmtId="0" fontId="0" fillId="0" borderId="40" xfId="0" applyFill="1" applyBorder="1"/>
    <xf numFmtId="0" fontId="0" fillId="0" borderId="41" xfId="0" applyFill="1" applyBorder="1"/>
    <xf numFmtId="0" fontId="0" fillId="0" borderId="42" xfId="0" applyFill="1" applyBorder="1" applyAlignment="1">
      <alignment horizontal="center"/>
    </xf>
    <xf numFmtId="41" fontId="0" fillId="0" borderId="43" xfId="1" applyFont="1" applyFill="1" applyBorder="1" applyAlignment="1"/>
    <xf numFmtId="41" fontId="0" fillId="0" borderId="41" xfId="1" applyFont="1" applyFill="1" applyBorder="1" applyAlignment="1"/>
    <xf numFmtId="41" fontId="0" fillId="0" borderId="44" xfId="1" applyFont="1" applyFill="1" applyBorder="1" applyAlignment="1"/>
    <xf numFmtId="41" fontId="0" fillId="0" borderId="42" xfId="1" applyFont="1" applyFill="1" applyBorder="1" applyAlignment="1"/>
    <xf numFmtId="41" fontId="0" fillId="6" borderId="20" xfId="1" applyFont="1" applyFill="1" applyBorder="1" applyAlignment="1"/>
    <xf numFmtId="41" fontId="0" fillId="6" borderId="16" xfId="1" applyFont="1" applyFill="1" applyBorder="1" applyAlignment="1"/>
  </cellXfs>
  <cellStyles count="4">
    <cellStyle name="쉼표 [0]" xfId="1" builtinId="6"/>
    <cellStyle name="쉼표 [0] 2" xfId="3" xr:uid="{15474929-FA48-406E-90A9-27CE1117C80B}"/>
    <cellStyle name="표준" xfId="0" builtinId="0"/>
    <cellStyle name="표준 2" xfId="2" xr:uid="{8E867978-504D-4667-97B9-631C7E24F545}"/>
  </cellStyles>
  <dxfs count="1"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[통합자료보고서용_2311_2406.xlsx]피벗(금액)!피벗 테이블2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'피벗(금액)'!$D$6:$D$8</c:f>
              <c:strCache>
                <c:ptCount val="1"/>
                <c:pt idx="0">
                  <c:v>LG - 합계 : 23-11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'피벗(금액)'!$D$9:$D$38</c:f>
              <c:numCache>
                <c:formatCode>_(* #,##0_);_(* \(#,##0\);_(* "-"_);_(@_)</c:formatCode>
                <c:ptCount val="30"/>
                <c:pt idx="28">
                  <c:v>1170000</c:v>
                </c:pt>
                <c:pt idx="29">
                  <c:v>63294594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D-426A-935E-CB8B05A53A46}"/>
            </c:ext>
          </c:extLst>
        </c:ser>
        <c:ser>
          <c:idx val="1"/>
          <c:order val="1"/>
          <c:tx>
            <c:strRef>
              <c:f>'피벗(금액)'!$E$6:$E$8</c:f>
              <c:strCache>
                <c:ptCount val="1"/>
                <c:pt idx="0">
                  <c:v>LG - 합계 : 23-12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'피벗(금액)'!$E$9:$E$38</c:f>
              <c:numCache>
                <c:formatCode>_(* #,##0_);_(* \(#,##0\);_(* "-"_);_(@_)</c:formatCode>
                <c:ptCount val="30"/>
                <c:pt idx="28">
                  <c:v>1170000</c:v>
                </c:pt>
                <c:pt idx="29">
                  <c:v>70748961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0F-468F-BF56-F4D06A83049C}"/>
            </c:ext>
          </c:extLst>
        </c:ser>
        <c:ser>
          <c:idx val="2"/>
          <c:order val="2"/>
          <c:tx>
            <c:strRef>
              <c:f>'피벗(금액)'!$F$6:$F$8</c:f>
              <c:strCache>
                <c:ptCount val="1"/>
                <c:pt idx="0">
                  <c:v>LG - 합계 : 24-01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'피벗(금액)'!$F$9:$F$38</c:f>
              <c:numCache>
                <c:formatCode>_(* #,##0_);_(* \(#,##0\);_(* "-"_);_(@_)</c:formatCode>
                <c:ptCount val="30"/>
                <c:pt idx="10">
                  <c:v>0</c:v>
                </c:pt>
                <c:pt idx="28">
                  <c:v>1170000</c:v>
                </c:pt>
                <c:pt idx="29">
                  <c:v>38507612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0F-468F-BF56-F4D06A83049C}"/>
            </c:ext>
          </c:extLst>
        </c:ser>
        <c:ser>
          <c:idx val="3"/>
          <c:order val="3"/>
          <c:tx>
            <c:strRef>
              <c:f>'피벗(금액)'!$G$6:$G$8</c:f>
              <c:strCache>
                <c:ptCount val="1"/>
                <c:pt idx="0">
                  <c:v>LG - 합계 : 24-02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'피벗(금액)'!$G$9:$G$38</c:f>
              <c:numCache>
                <c:formatCode>_(* #,##0_);_(* \(#,##0\);_(* "-"_);_(@_)</c:formatCode>
                <c:ptCount val="30"/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28">
                  <c:v>1170000</c:v>
                </c:pt>
                <c:pt idx="29">
                  <c:v>148510618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0F-468F-BF56-F4D06A83049C}"/>
            </c:ext>
          </c:extLst>
        </c:ser>
        <c:ser>
          <c:idx val="4"/>
          <c:order val="4"/>
          <c:tx>
            <c:strRef>
              <c:f>'피벗(금액)'!$H$6:$H$8</c:f>
              <c:strCache>
                <c:ptCount val="1"/>
                <c:pt idx="0">
                  <c:v>LG - 합계 : 24-03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'피벗(금액)'!$H$9:$H$38</c:f>
              <c:numCache>
                <c:formatCode>_(* #,##0_);_(* \(#,##0\);_(* "-"_);_(@_)</c:formatCode>
                <c:ptCount val="30"/>
                <c:pt idx="10">
                  <c:v>7742430</c:v>
                </c:pt>
                <c:pt idx="12">
                  <c:v>54552</c:v>
                </c:pt>
                <c:pt idx="14">
                  <c:v>8930250</c:v>
                </c:pt>
                <c:pt idx="28">
                  <c:v>1170000</c:v>
                </c:pt>
                <c:pt idx="29">
                  <c:v>57740376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0F-468F-BF56-F4D06A83049C}"/>
            </c:ext>
          </c:extLst>
        </c:ser>
        <c:ser>
          <c:idx val="5"/>
          <c:order val="5"/>
          <c:tx>
            <c:strRef>
              <c:f>'피벗(금액)'!$I$6:$I$8</c:f>
              <c:strCache>
                <c:ptCount val="1"/>
                <c:pt idx="0">
                  <c:v>LG - 합계 : 24-04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'피벗(금액)'!$I$9:$I$38</c:f>
              <c:numCache>
                <c:formatCode>_(* #,##0_);_(* \(#,##0\);_(* "-"_);_(@_)</c:formatCode>
                <c:ptCount val="30"/>
                <c:pt idx="8">
                  <c:v>0</c:v>
                </c:pt>
                <c:pt idx="10">
                  <c:v>9650770</c:v>
                </c:pt>
                <c:pt idx="12">
                  <c:v>54552</c:v>
                </c:pt>
                <c:pt idx="14">
                  <c:v>8729750</c:v>
                </c:pt>
                <c:pt idx="17">
                  <c:v>280000</c:v>
                </c:pt>
                <c:pt idx="21">
                  <c:v>0</c:v>
                </c:pt>
                <c:pt idx="28">
                  <c:v>590000</c:v>
                </c:pt>
                <c:pt idx="29">
                  <c:v>74928211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0F-468F-BF56-F4D06A83049C}"/>
            </c:ext>
          </c:extLst>
        </c:ser>
        <c:ser>
          <c:idx val="6"/>
          <c:order val="6"/>
          <c:tx>
            <c:strRef>
              <c:f>'피벗(금액)'!$J$6:$J$8</c:f>
              <c:strCache>
                <c:ptCount val="1"/>
                <c:pt idx="0">
                  <c:v>LG - 합계 : 24-05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'피벗(금액)'!$J$9:$J$38</c:f>
              <c:numCache>
                <c:formatCode>_(* #,##0_);_(* \(#,##0\);_(* "-"_);_(@_)</c:formatCode>
                <c:ptCount val="30"/>
                <c:pt idx="1">
                  <c:v>0</c:v>
                </c:pt>
                <c:pt idx="8">
                  <c:v>0</c:v>
                </c:pt>
                <c:pt idx="10">
                  <c:v>10895370</c:v>
                </c:pt>
                <c:pt idx="12">
                  <c:v>54552</c:v>
                </c:pt>
                <c:pt idx="14">
                  <c:v>9080500</c:v>
                </c:pt>
                <c:pt idx="17">
                  <c:v>280000</c:v>
                </c:pt>
                <c:pt idx="21">
                  <c:v>0</c:v>
                </c:pt>
                <c:pt idx="28">
                  <c:v>1170000</c:v>
                </c:pt>
                <c:pt idx="29">
                  <c:v>71723572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60F-468F-BF56-F4D06A83049C}"/>
            </c:ext>
          </c:extLst>
        </c:ser>
        <c:ser>
          <c:idx val="7"/>
          <c:order val="7"/>
          <c:tx>
            <c:strRef>
              <c:f>'피벗(금액)'!$K$6:$K$8</c:f>
              <c:strCache>
                <c:ptCount val="1"/>
                <c:pt idx="0">
                  <c:v>LG - 합계 : 24-06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'피벗(금액)'!$K$9:$K$38</c:f>
              <c:numCache>
                <c:formatCode>_(* #,##0_);_(* \(#,##0\);_(* "-"_);_(@_)</c:formatCode>
                <c:ptCount val="30"/>
                <c:pt idx="1">
                  <c:v>1295600</c:v>
                </c:pt>
                <c:pt idx="8">
                  <c:v>10246749</c:v>
                </c:pt>
                <c:pt idx="10">
                  <c:v>11267770</c:v>
                </c:pt>
                <c:pt idx="12">
                  <c:v>54552</c:v>
                </c:pt>
                <c:pt idx="14">
                  <c:v>9070250</c:v>
                </c:pt>
                <c:pt idx="17">
                  <c:v>280000</c:v>
                </c:pt>
                <c:pt idx="21">
                  <c:v>83494280</c:v>
                </c:pt>
                <c:pt idx="24">
                  <c:v>16931000</c:v>
                </c:pt>
                <c:pt idx="28">
                  <c:v>9730000</c:v>
                </c:pt>
                <c:pt idx="29">
                  <c:v>90889629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60F-468F-BF56-F4D06A83049C}"/>
            </c:ext>
          </c:extLst>
        </c:ser>
        <c:ser>
          <c:idx val="8"/>
          <c:order val="8"/>
          <c:tx>
            <c:strRef>
              <c:f>'피벗(금액)'!$L$6:$L$8</c:f>
              <c:strCache>
                <c:ptCount val="1"/>
                <c:pt idx="0">
                  <c:v>Open - 합계 : 23-11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'피벗(금액)'!$L$9:$L$38</c:f>
              <c:numCache>
                <c:formatCode>_(* #,##0_);_(* \(#,##0\);_(* "-"_);_(@_)</c:formatCode>
                <c:ptCount val="30"/>
                <c:pt idx="3">
                  <c:v>230000</c:v>
                </c:pt>
                <c:pt idx="20">
                  <c:v>0</c:v>
                </c:pt>
                <c:pt idx="27">
                  <c:v>27000000</c:v>
                </c:pt>
                <c:pt idx="28">
                  <c:v>450000</c:v>
                </c:pt>
                <c:pt idx="29">
                  <c:v>141094919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D60F-468F-BF56-F4D06A83049C}"/>
            </c:ext>
          </c:extLst>
        </c:ser>
        <c:ser>
          <c:idx val="9"/>
          <c:order val="9"/>
          <c:tx>
            <c:strRef>
              <c:f>'피벗(금액)'!$M$6:$M$8</c:f>
              <c:strCache>
                <c:ptCount val="1"/>
                <c:pt idx="0">
                  <c:v>Open - 합계 : 23-12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'피벗(금액)'!$M$9:$M$38</c:f>
              <c:numCache>
                <c:formatCode>_(* #,##0_);_(* \(#,##0\);_(* "-"_);_(@_)</c:formatCode>
                <c:ptCount val="30"/>
                <c:pt idx="3">
                  <c:v>615000</c:v>
                </c:pt>
                <c:pt idx="20">
                  <c:v>3200000</c:v>
                </c:pt>
                <c:pt idx="27">
                  <c:v>1424750000</c:v>
                </c:pt>
                <c:pt idx="28">
                  <c:v>450000</c:v>
                </c:pt>
                <c:pt idx="29">
                  <c:v>161573730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D60F-468F-BF56-F4D06A83049C}"/>
            </c:ext>
          </c:extLst>
        </c:ser>
        <c:ser>
          <c:idx val="10"/>
          <c:order val="10"/>
          <c:tx>
            <c:strRef>
              <c:f>'피벗(금액)'!$N$6:$N$8</c:f>
              <c:strCache>
                <c:ptCount val="1"/>
                <c:pt idx="0">
                  <c:v>Open - 합계 : 24-01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'피벗(금액)'!$N$9:$N$38</c:f>
              <c:numCache>
                <c:formatCode>_(* #,##0_);_(* \(#,##0\);_(* "-"_);_(@_)</c:formatCode>
                <c:ptCount val="30"/>
                <c:pt idx="0">
                  <c:v>0</c:v>
                </c:pt>
                <c:pt idx="2">
                  <c:v>0</c:v>
                </c:pt>
                <c:pt idx="3">
                  <c:v>615000</c:v>
                </c:pt>
                <c:pt idx="4">
                  <c:v>1200000</c:v>
                </c:pt>
                <c:pt idx="5">
                  <c:v>0</c:v>
                </c:pt>
                <c:pt idx="6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2273400</c:v>
                </c:pt>
                <c:pt idx="18">
                  <c:v>20000000</c:v>
                </c:pt>
                <c:pt idx="23">
                  <c:v>980000</c:v>
                </c:pt>
                <c:pt idx="27">
                  <c:v>44750000</c:v>
                </c:pt>
                <c:pt idx="28">
                  <c:v>450000</c:v>
                </c:pt>
                <c:pt idx="29">
                  <c:v>146844070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D60F-468F-BF56-F4D06A83049C}"/>
            </c:ext>
          </c:extLst>
        </c:ser>
        <c:ser>
          <c:idx val="11"/>
          <c:order val="11"/>
          <c:tx>
            <c:strRef>
              <c:f>'피벗(금액)'!$O$6:$O$8</c:f>
              <c:strCache>
                <c:ptCount val="1"/>
                <c:pt idx="0">
                  <c:v>Open - 합계 : 24-02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'피벗(금액)'!$O$9:$O$38</c:f>
              <c:numCache>
                <c:formatCode>_(* #,##0_);_(* \(#,##0\);_(* "-"_);_(@_)</c:formatCode>
                <c:ptCount val="30"/>
                <c:pt idx="0">
                  <c:v>8230000</c:v>
                </c:pt>
                <c:pt idx="2">
                  <c:v>0</c:v>
                </c:pt>
                <c:pt idx="3">
                  <c:v>615000</c:v>
                </c:pt>
                <c:pt idx="4">
                  <c:v>1200000</c:v>
                </c:pt>
                <c:pt idx="5">
                  <c:v>0</c:v>
                </c:pt>
                <c:pt idx="6">
                  <c:v>0</c:v>
                </c:pt>
                <c:pt idx="10">
                  <c:v>4199564</c:v>
                </c:pt>
                <c:pt idx="11">
                  <c:v>0</c:v>
                </c:pt>
                <c:pt idx="12">
                  <c:v>940827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2710400</c:v>
                </c:pt>
                <c:pt idx="18">
                  <c:v>50000000</c:v>
                </c:pt>
                <c:pt idx="20">
                  <c:v>0</c:v>
                </c:pt>
                <c:pt idx="22">
                  <c:v>0</c:v>
                </c:pt>
                <c:pt idx="23">
                  <c:v>1740000</c:v>
                </c:pt>
                <c:pt idx="25">
                  <c:v>1000000</c:v>
                </c:pt>
                <c:pt idx="27">
                  <c:v>0</c:v>
                </c:pt>
                <c:pt idx="28">
                  <c:v>450000</c:v>
                </c:pt>
                <c:pt idx="29">
                  <c:v>130270667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D60F-468F-BF56-F4D06A83049C}"/>
            </c:ext>
          </c:extLst>
        </c:ser>
        <c:ser>
          <c:idx val="12"/>
          <c:order val="12"/>
          <c:tx>
            <c:strRef>
              <c:f>'피벗(금액)'!$P$6:$P$8</c:f>
              <c:strCache>
                <c:ptCount val="1"/>
                <c:pt idx="0">
                  <c:v>Open - 합계 : 24-03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'피벗(금액)'!$P$9:$P$38</c:f>
              <c:numCache>
                <c:formatCode>_(* #,##0_);_(* \(#,##0\);_(* "-"_);_(@_)</c:formatCode>
                <c:ptCount val="30"/>
                <c:pt idx="0">
                  <c:v>8230000</c:v>
                </c:pt>
                <c:pt idx="2">
                  <c:v>0</c:v>
                </c:pt>
                <c:pt idx="3">
                  <c:v>615000</c:v>
                </c:pt>
                <c:pt idx="4">
                  <c:v>1500000</c:v>
                </c:pt>
                <c:pt idx="5">
                  <c:v>0</c:v>
                </c:pt>
                <c:pt idx="6">
                  <c:v>0</c:v>
                </c:pt>
                <c:pt idx="10">
                  <c:v>4484727</c:v>
                </c:pt>
                <c:pt idx="11">
                  <c:v>0</c:v>
                </c:pt>
                <c:pt idx="12">
                  <c:v>921750</c:v>
                </c:pt>
                <c:pt idx="13">
                  <c:v>23364</c:v>
                </c:pt>
                <c:pt idx="14">
                  <c:v>1524449</c:v>
                </c:pt>
                <c:pt idx="16">
                  <c:v>174000</c:v>
                </c:pt>
                <c:pt idx="17">
                  <c:v>3126560</c:v>
                </c:pt>
                <c:pt idx="18">
                  <c:v>0</c:v>
                </c:pt>
                <c:pt idx="20">
                  <c:v>9600000</c:v>
                </c:pt>
                <c:pt idx="22">
                  <c:v>1500000</c:v>
                </c:pt>
                <c:pt idx="23">
                  <c:v>1740000</c:v>
                </c:pt>
                <c:pt idx="25">
                  <c:v>2380000</c:v>
                </c:pt>
                <c:pt idx="27">
                  <c:v>0</c:v>
                </c:pt>
                <c:pt idx="28">
                  <c:v>450000</c:v>
                </c:pt>
                <c:pt idx="29">
                  <c:v>145013100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D60F-468F-BF56-F4D06A83049C}"/>
            </c:ext>
          </c:extLst>
        </c:ser>
        <c:ser>
          <c:idx val="13"/>
          <c:order val="13"/>
          <c:tx>
            <c:strRef>
              <c:f>'피벗(금액)'!$Q$6:$Q$8</c:f>
              <c:strCache>
                <c:ptCount val="1"/>
                <c:pt idx="0">
                  <c:v>Open - 합계 : 24-04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'피벗(금액)'!$Q$9:$Q$38</c:f>
              <c:numCache>
                <c:formatCode>_(* #,##0_);_(* \(#,##0\);_(* "-"_);_(@_)</c:formatCode>
                <c:ptCount val="30"/>
                <c:pt idx="0">
                  <c:v>11680000</c:v>
                </c:pt>
                <c:pt idx="2">
                  <c:v>95000</c:v>
                </c:pt>
                <c:pt idx="3">
                  <c:v>615000</c:v>
                </c:pt>
                <c:pt idx="4">
                  <c:v>3321000</c:v>
                </c:pt>
                <c:pt idx="5">
                  <c:v>0</c:v>
                </c:pt>
                <c:pt idx="6">
                  <c:v>0</c:v>
                </c:pt>
                <c:pt idx="7">
                  <c:v>4090909</c:v>
                </c:pt>
                <c:pt idx="9">
                  <c:v>0</c:v>
                </c:pt>
                <c:pt idx="10">
                  <c:v>1325827</c:v>
                </c:pt>
                <c:pt idx="11">
                  <c:v>0</c:v>
                </c:pt>
                <c:pt idx="12">
                  <c:v>829367</c:v>
                </c:pt>
                <c:pt idx="13">
                  <c:v>0</c:v>
                </c:pt>
                <c:pt idx="14">
                  <c:v>642483</c:v>
                </c:pt>
                <c:pt idx="15">
                  <c:v>2124000</c:v>
                </c:pt>
                <c:pt idx="16">
                  <c:v>454000</c:v>
                </c:pt>
                <c:pt idx="17">
                  <c:v>3626560</c:v>
                </c:pt>
                <c:pt idx="18">
                  <c:v>0</c:v>
                </c:pt>
                <c:pt idx="20">
                  <c:v>3200000</c:v>
                </c:pt>
                <c:pt idx="21">
                  <c:v>8100000</c:v>
                </c:pt>
                <c:pt idx="22">
                  <c:v>8637000</c:v>
                </c:pt>
                <c:pt idx="23">
                  <c:v>1740000</c:v>
                </c:pt>
                <c:pt idx="25">
                  <c:v>2500000</c:v>
                </c:pt>
                <c:pt idx="27">
                  <c:v>0</c:v>
                </c:pt>
                <c:pt idx="28">
                  <c:v>450000</c:v>
                </c:pt>
                <c:pt idx="29">
                  <c:v>147607681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D60F-468F-BF56-F4D06A83049C}"/>
            </c:ext>
          </c:extLst>
        </c:ser>
        <c:ser>
          <c:idx val="14"/>
          <c:order val="14"/>
          <c:tx>
            <c:strRef>
              <c:f>'피벗(금액)'!$R$6:$R$8</c:f>
              <c:strCache>
                <c:ptCount val="1"/>
                <c:pt idx="0">
                  <c:v>Open - 합계 : 24-05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'피벗(금액)'!$R$9:$R$38</c:f>
              <c:numCache>
                <c:formatCode>_(* #,##0_);_(* \(#,##0\);_(* "-"_);_(@_)</c:formatCode>
                <c:ptCount val="30"/>
                <c:pt idx="0">
                  <c:v>13284000</c:v>
                </c:pt>
                <c:pt idx="2">
                  <c:v>95000</c:v>
                </c:pt>
                <c:pt idx="3">
                  <c:v>1415000</c:v>
                </c:pt>
                <c:pt idx="4">
                  <c:v>3321000</c:v>
                </c:pt>
                <c:pt idx="5">
                  <c:v>0</c:v>
                </c:pt>
                <c:pt idx="6">
                  <c:v>24900000</c:v>
                </c:pt>
                <c:pt idx="7">
                  <c:v>0</c:v>
                </c:pt>
                <c:pt idx="9">
                  <c:v>939600</c:v>
                </c:pt>
                <c:pt idx="10">
                  <c:v>5047263</c:v>
                </c:pt>
                <c:pt idx="11">
                  <c:v>0</c:v>
                </c:pt>
                <c:pt idx="12">
                  <c:v>970543</c:v>
                </c:pt>
                <c:pt idx="13">
                  <c:v>23909</c:v>
                </c:pt>
                <c:pt idx="14">
                  <c:v>677646</c:v>
                </c:pt>
                <c:pt idx="15">
                  <c:v>2124000</c:v>
                </c:pt>
                <c:pt idx="16">
                  <c:v>479000</c:v>
                </c:pt>
                <c:pt idx="17">
                  <c:v>3626560</c:v>
                </c:pt>
                <c:pt idx="18">
                  <c:v>0</c:v>
                </c:pt>
                <c:pt idx="19">
                  <c:v>0</c:v>
                </c:pt>
                <c:pt idx="20">
                  <c:v>3200000</c:v>
                </c:pt>
                <c:pt idx="21">
                  <c:v>6800000</c:v>
                </c:pt>
                <c:pt idx="22">
                  <c:v>38500000</c:v>
                </c:pt>
                <c:pt idx="23">
                  <c:v>1740000</c:v>
                </c:pt>
                <c:pt idx="25">
                  <c:v>2500000</c:v>
                </c:pt>
                <c:pt idx="26">
                  <c:v>1330000</c:v>
                </c:pt>
                <c:pt idx="27">
                  <c:v>0</c:v>
                </c:pt>
                <c:pt idx="28">
                  <c:v>450000</c:v>
                </c:pt>
                <c:pt idx="29">
                  <c:v>177718765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D60F-468F-BF56-F4D06A83049C}"/>
            </c:ext>
          </c:extLst>
        </c:ser>
        <c:ser>
          <c:idx val="15"/>
          <c:order val="15"/>
          <c:tx>
            <c:strRef>
              <c:f>'피벗(금액)'!$S$6:$S$8</c:f>
              <c:strCache>
                <c:ptCount val="1"/>
                <c:pt idx="0">
                  <c:v>Open - 합계 : 24-06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multiLvlStrRef>
              <c:f>'피벗(금액)'!$A$9:$C$38</c:f>
              <c:multiLvlStrCache>
                <c:ptCount val="30"/>
                <c:lvl>
                  <c:pt idx="0">
                    <c:v>리커링</c:v>
                  </c:pt>
                  <c:pt idx="1">
                    <c:v>단품</c:v>
                  </c:pt>
                  <c:pt idx="2">
                    <c:v>리커링</c:v>
                  </c:pt>
                  <c:pt idx="3">
                    <c:v>리커링</c:v>
                  </c:pt>
                  <c:pt idx="4">
                    <c:v>리커링</c:v>
                  </c:pt>
                  <c:pt idx="5">
                    <c:v>단품</c:v>
                  </c:pt>
                  <c:pt idx="6">
                    <c:v>단품</c:v>
                  </c:pt>
                  <c:pt idx="7">
                    <c:v>단품</c:v>
                  </c:pt>
                  <c:pt idx="8">
                    <c:v>리커링</c:v>
                  </c:pt>
                  <c:pt idx="9">
                    <c:v>리커링</c:v>
                  </c:pt>
                  <c:pt idx="10">
                    <c:v>리커링</c:v>
                  </c:pt>
                  <c:pt idx="11">
                    <c:v>리커링</c:v>
                  </c:pt>
                  <c:pt idx="12">
                    <c:v>리커링</c:v>
                  </c:pt>
                  <c:pt idx="13">
                    <c:v>리커링</c:v>
                  </c:pt>
                  <c:pt idx="14">
                    <c:v>리커링</c:v>
                  </c:pt>
                  <c:pt idx="15">
                    <c:v>리커링</c:v>
                  </c:pt>
                  <c:pt idx="16">
                    <c:v>리커링</c:v>
                  </c:pt>
                  <c:pt idx="17">
                    <c:v>리커링</c:v>
                  </c:pt>
                  <c:pt idx="18">
                    <c:v>단품</c:v>
                  </c:pt>
                  <c:pt idx="19">
                    <c:v>리커링</c:v>
                  </c:pt>
                  <c:pt idx="20">
                    <c:v>리커링</c:v>
                  </c:pt>
                  <c:pt idx="21">
                    <c:v>단품</c:v>
                  </c:pt>
                  <c:pt idx="22">
                    <c:v>단품</c:v>
                  </c:pt>
                  <c:pt idx="23">
                    <c:v>리커링</c:v>
                  </c:pt>
                  <c:pt idx="24">
                    <c:v>단품</c:v>
                  </c:pt>
                  <c:pt idx="25">
                    <c:v>리커링</c:v>
                  </c:pt>
                  <c:pt idx="26">
                    <c:v>단품</c:v>
                  </c:pt>
                  <c:pt idx="27">
                    <c:v>단품</c:v>
                  </c:pt>
                  <c:pt idx="28">
                    <c:v>리커링</c:v>
                  </c:pt>
                  <c:pt idx="29">
                    <c:v>리커링</c:v>
                  </c:pt>
                </c:lvl>
                <c:lvl>
                  <c:pt idx="0">
                    <c:v>중소형빌딩자산관리</c:v>
                  </c:pt>
                  <c:pt idx="1">
                    <c:v>내자리케어</c:v>
                  </c:pt>
                  <c:pt idx="2">
                    <c:v>법정의무소독서비스</c:v>
                  </c:pt>
                  <c:pt idx="3">
                    <c:v>정기방문청소</c:v>
                  </c:pt>
                  <c:pt idx="4">
                    <c:v>청소로봇케어</c:v>
                  </c:pt>
                  <c:pt idx="5">
                    <c:v>친환경청소용품</c:v>
                  </c:pt>
                  <c:pt idx="6">
                    <c:v>사무환경개선</c:v>
                  </c:pt>
                  <c:pt idx="7">
                    <c:v>폰부스</c:v>
                  </c:pt>
                  <c:pt idx="8">
                    <c:v>다회용컵렌탈(P)</c:v>
                  </c:pt>
                  <c:pt idx="9">
                    <c:v>라운지</c:v>
                  </c:pt>
                  <c:pt idx="10">
                    <c:v>사내카페</c:v>
                  </c:pt>
                  <c:pt idx="11">
                    <c:v>샌디APP</c:v>
                  </c:pt>
                  <c:pt idx="12">
                    <c:v>스낵플러스</c:v>
                  </c:pt>
                  <c:pt idx="13">
                    <c:v>원두구독</c:v>
                  </c:pt>
                  <c:pt idx="14">
                    <c:v>주차장세차</c:v>
                  </c:pt>
                  <c:pt idx="15">
                    <c:v>캡슐커피</c:v>
                  </c:pt>
                  <c:pt idx="16">
                    <c:v>커피머신렌탈</c:v>
                  </c:pt>
                  <c:pt idx="17">
                    <c:v>AICCTV</c:v>
                  </c:pt>
                  <c:pt idx="18">
                    <c:v>FM컨설팅(P)</c:v>
                  </c:pt>
                  <c:pt idx="19">
                    <c:v>건물맞춤형공조필터</c:v>
                  </c:pt>
                  <c:pt idx="20">
                    <c:v>공기질서비스(P)</c:v>
                  </c:pt>
                  <c:pt idx="21">
                    <c:v>기계설비성능점검</c:v>
                  </c:pt>
                  <c:pt idx="22">
                    <c:v>비상주시설물안전점검(P)</c:v>
                  </c:pt>
                  <c:pt idx="24">
                    <c:v>상업용주방자동소화장치</c:v>
                  </c:pt>
                  <c:pt idx="25">
                    <c:v>원격감시</c:v>
                  </c:pt>
                  <c:pt idx="26">
                    <c:v>체험형안전교육</c:v>
                  </c:pt>
                  <c:pt idx="27">
                    <c:v>주차장비구매</c:v>
                  </c:pt>
                  <c:pt idx="29">
                    <c:v>주차장위탁운영</c:v>
                  </c:pt>
                </c:lvl>
                <c:lvl>
                  <c:pt idx="0">
                    <c:v>Asset</c:v>
                  </c:pt>
                  <c:pt idx="1">
                    <c:v>Clean</c:v>
                  </c:pt>
                  <c:pt idx="6">
                    <c:v>Interior</c:v>
                  </c:pt>
                  <c:pt idx="8">
                    <c:v>Life</c:v>
                  </c:pt>
                  <c:pt idx="17">
                    <c:v>Safe</c:v>
                  </c:pt>
                  <c:pt idx="27">
                    <c:v>Parking</c:v>
                  </c:pt>
                </c:lvl>
              </c:multiLvlStrCache>
            </c:multiLvlStrRef>
          </c:cat>
          <c:val>
            <c:numRef>
              <c:f>'피벗(금액)'!$S$9:$S$38</c:f>
              <c:numCache>
                <c:formatCode>_(* #,##0_);_(* \(#,##0\);_(* "-"_);_(@_)</c:formatCode>
                <c:ptCount val="30"/>
                <c:pt idx="0">
                  <c:v>18908000</c:v>
                </c:pt>
                <c:pt idx="2">
                  <c:v>95000</c:v>
                </c:pt>
                <c:pt idx="3">
                  <c:v>3239000</c:v>
                </c:pt>
                <c:pt idx="4">
                  <c:v>4821000</c:v>
                </c:pt>
                <c:pt idx="5">
                  <c:v>13030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1375000</c:v>
                </c:pt>
                <c:pt idx="11">
                  <c:v>8079584</c:v>
                </c:pt>
                <c:pt idx="12">
                  <c:v>903939</c:v>
                </c:pt>
                <c:pt idx="13">
                  <c:v>0</c:v>
                </c:pt>
                <c:pt idx="14">
                  <c:v>639556</c:v>
                </c:pt>
                <c:pt idx="15">
                  <c:v>2119500</c:v>
                </c:pt>
                <c:pt idx="16">
                  <c:v>479000</c:v>
                </c:pt>
                <c:pt idx="17">
                  <c:v>3976510</c:v>
                </c:pt>
                <c:pt idx="18">
                  <c:v>95000000</c:v>
                </c:pt>
                <c:pt idx="19">
                  <c:v>16880500</c:v>
                </c:pt>
                <c:pt idx="20">
                  <c:v>3200000</c:v>
                </c:pt>
                <c:pt idx="21">
                  <c:v>0</c:v>
                </c:pt>
                <c:pt idx="22">
                  <c:v>1260000</c:v>
                </c:pt>
                <c:pt idx="23">
                  <c:v>5130000</c:v>
                </c:pt>
                <c:pt idx="25">
                  <c:v>2499950</c:v>
                </c:pt>
                <c:pt idx="26">
                  <c:v>2139000</c:v>
                </c:pt>
                <c:pt idx="27">
                  <c:v>0</c:v>
                </c:pt>
                <c:pt idx="28">
                  <c:v>450000</c:v>
                </c:pt>
                <c:pt idx="29">
                  <c:v>152844132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D60F-468F-BF56-F4D06A830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62272"/>
        <c:axId val="287035744"/>
      </c:areaChart>
      <c:catAx>
        <c:axId val="8101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7035744"/>
        <c:crosses val="autoZero"/>
        <c:auto val="1"/>
        <c:lblAlgn val="ctr"/>
        <c:lblOffset val="100"/>
        <c:noMultiLvlLbl val="0"/>
      </c:catAx>
      <c:valAx>
        <c:axId val="2870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0162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25</xdr:row>
      <xdr:rowOff>114300</xdr:rowOff>
    </xdr:from>
    <xdr:to>
      <xdr:col>21</xdr:col>
      <xdr:colOff>485776</xdr:colOff>
      <xdr:row>47</xdr:row>
      <xdr:rowOff>171449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03A6E3B-6F89-4A54-B078-0E156989A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484.599596064814" createdVersion="6" refreshedVersion="6" minRefreshableVersion="3" recordCount="105" xr:uid="{D3D78890-FF14-49DD-98F2-755414264ABA}">
  <cacheSource type="worksheet">
    <worksheetSource ref="A2:N107" sheet="통합(금액)"/>
  </cacheSource>
  <cacheFields count="14">
    <cacheField name="code" numFmtId="0">
      <sharedItems/>
    </cacheField>
    <cacheField name="category" numFmtId="0">
      <sharedItems count="6">
        <s v="Parking"/>
        <s v="Clean"/>
        <s v="Safe"/>
        <s v="Asset"/>
        <s v="Life"/>
        <s v="Interior"/>
      </sharedItems>
    </cacheField>
    <cacheField name="wbs" numFmtId="0">
      <sharedItems/>
    </cacheField>
    <cacheField name="item" numFmtId="0">
      <sharedItems count="32">
        <s v="주차장비구매"/>
        <s v="주차장위탁운영"/>
        <s v="정기방문청소"/>
        <s v="비상주시설물안전점검(P)"/>
        <s v="중소형빌딩자산관리"/>
        <s v="주차장세차"/>
        <s v="원격감시"/>
        <s v="AICCTV"/>
        <s v="기계설비성능점검"/>
        <s v="청소로봇케어"/>
        <s v="친환경청소용품"/>
        <s v="FM컨설팅(P)"/>
        <s v="상업용주방자동소화장치"/>
        <s v="사무환경개선"/>
        <s v="원두구독"/>
        <s v="체험형안전교육"/>
        <s v="스낵플러스"/>
        <s v="폰부스"/>
        <s v="다회용컵렌탈(P)"/>
        <s v="법정의무소독서비스"/>
        <s v="샌디APP"/>
        <s v="커피머신렌탈"/>
        <s v="라운지"/>
        <s v="건물맞춤형공조필터"/>
        <s v="내자리케어"/>
        <s v="캡슐커피"/>
        <s v="공기질서비스(P)"/>
        <s v="사내카페"/>
        <s v="간판점검및세척(P)" u="1"/>
        <s v="스마트메일룸(P)" u="1"/>
        <s v="청소장비솔루션" u="1"/>
        <s v="제빙기" u="1"/>
      </sharedItems>
    </cacheField>
    <cacheField name="LG/Open" numFmtId="0">
      <sharedItems count="2">
        <s v="Open"/>
        <s v="LG"/>
      </sharedItems>
    </cacheField>
    <cacheField name="리커링" numFmtId="0">
      <sharedItems count="2">
        <s v="단품"/>
        <s v="리커링"/>
      </sharedItems>
    </cacheField>
    <cacheField name="23-11" numFmtId="41">
      <sharedItems containsString="0" containsBlank="1" containsNumber="1" containsInteger="1" minValue="0" maxValue="83653580"/>
    </cacheField>
    <cacheField name="23-12" numFmtId="41">
      <sharedItems containsString="0" containsBlank="1" containsNumber="1" containsInteger="1" minValue="0" maxValue="1380000000"/>
    </cacheField>
    <cacheField name="24-01" numFmtId="41">
      <sharedItems containsString="0" containsBlank="1" containsNumber="1" containsInteger="1" minValue="0" maxValue="93751343"/>
    </cacheField>
    <cacheField name="24-02" numFmtId="41">
      <sharedItems containsString="0" containsBlank="1" containsNumber="1" containsInteger="1" minValue="0" maxValue="114479545"/>
    </cacheField>
    <cacheField name="24-03" numFmtId="41">
      <sharedItems containsString="0" containsBlank="1" containsNumber="1" containsInteger="1" minValue="0" maxValue="86755906"/>
    </cacheField>
    <cacheField name="24-04" numFmtId="41">
      <sharedItems containsString="0" containsBlank="1" containsNumber="1" containsInteger="1" minValue="0" maxValue="93113488"/>
    </cacheField>
    <cacheField name="24-05" numFmtId="41">
      <sharedItems containsString="0" containsBlank="1" containsNumber="1" containsInteger="1" minValue="0" maxValue="80890486"/>
    </cacheField>
    <cacheField name="24-06" numFmtId="41">
      <sharedItems containsString="0" containsBlank="1" containsNumber="1" containsInteger="1" minValue="0" maxValue="95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484.646885995367" createdVersion="6" refreshedVersion="6" minRefreshableVersion="3" recordCount="105" xr:uid="{02177FDA-4832-4443-9E9B-AF7EC39FDAA6}">
  <cacheSource type="worksheet">
    <worksheetSource ref="A2:N107" sheet="통합(개수)"/>
  </cacheSource>
  <cacheFields count="14">
    <cacheField name="code" numFmtId="0">
      <sharedItems/>
    </cacheField>
    <cacheField name="category" numFmtId="0">
      <sharedItems count="6">
        <s v="Parking"/>
        <s v="Clean"/>
        <s v="Safe"/>
        <s v="Asset"/>
        <s v="Life"/>
        <s v="Interior"/>
      </sharedItems>
    </cacheField>
    <cacheField name="wbs" numFmtId="0">
      <sharedItems/>
    </cacheField>
    <cacheField name="item" numFmtId="0">
      <sharedItems count="28">
        <s v="주차장비구매"/>
        <s v="주차장위탁운영"/>
        <s v="정기방문청소"/>
        <s v="비상주시설물안전점검(P)"/>
        <s v="중소형빌딩자산관리"/>
        <s v="주차장세차"/>
        <s v="원격감시"/>
        <s v="AICCTV"/>
        <s v="기계설비성능점검"/>
        <s v="청소로봇케어"/>
        <s v="친환경청소용품"/>
        <s v="FM컨설팅(P)"/>
        <s v="상업용주방자동소화장치"/>
        <s v="사무환경개선"/>
        <s v="원두구독"/>
        <s v="체험형안전교육"/>
        <s v="스낵플러스"/>
        <s v="폰부스"/>
        <s v="다회용컵렌탈(P)"/>
        <s v="법정의무소독서비스"/>
        <s v="샌디APP"/>
        <s v="커피머신렌탈"/>
        <s v="라운지"/>
        <s v="건물맞춤형공조필터"/>
        <s v="내자리케어"/>
        <s v="캡슐커피"/>
        <s v="공기질서비스(P)"/>
        <s v="사내카페"/>
      </sharedItems>
    </cacheField>
    <cacheField name="LG/Open" numFmtId="0">
      <sharedItems count="2">
        <s v="Open"/>
        <s v="LG"/>
      </sharedItems>
    </cacheField>
    <cacheField name="리커링" numFmtId="0">
      <sharedItems count="2">
        <s v="단품"/>
        <s v="리커링"/>
      </sharedItems>
    </cacheField>
    <cacheField name="23-11" numFmtId="0">
      <sharedItems containsMixedTypes="1" containsNumber="1" containsInteger="1" minValue="1" maxValue="1"/>
    </cacheField>
    <cacheField name="23-12" numFmtId="0">
      <sharedItems containsMixedTypes="1" containsNumber="1" containsInteger="1" minValue="1" maxValue="1"/>
    </cacheField>
    <cacheField name="24-01" numFmtId="0">
      <sharedItems containsMixedTypes="1" containsNumber="1" containsInteger="1" minValue="1" maxValue="1"/>
    </cacheField>
    <cacheField name="24-02" numFmtId="0">
      <sharedItems containsMixedTypes="1" containsNumber="1" containsInteger="1" minValue="1" maxValue="1"/>
    </cacheField>
    <cacheField name="24-03" numFmtId="0">
      <sharedItems containsMixedTypes="1" containsNumber="1" containsInteger="1" minValue="1" maxValue="1"/>
    </cacheField>
    <cacheField name="24-04" numFmtId="0">
      <sharedItems containsMixedTypes="1" containsNumber="1" containsInteger="1" minValue="1" maxValue="1"/>
    </cacheField>
    <cacheField name="24-05" numFmtId="0">
      <sharedItems containsMixedTypes="1" containsNumber="1" containsInteger="1" minValue="1" maxValue="1"/>
    </cacheField>
    <cacheField name="24-06" numFmtId="0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H0003"/>
    <x v="0"/>
    <s v="주차-주차장비구매-덕소벽산아파트주차시스템공사"/>
    <x v="0"/>
    <x v="0"/>
    <x v="0"/>
    <n v="0"/>
    <n v="44750000"/>
    <n v="44750000"/>
    <n v="0"/>
    <n v="0"/>
    <n v="0"/>
    <n v="0"/>
    <n v="0"/>
  </r>
  <r>
    <s v="F0536"/>
    <x v="0"/>
    <s v="주차-주차장위탁운영-주차서비스-전자서초R&amp;D캠퍼스"/>
    <x v="1"/>
    <x v="1"/>
    <x v="1"/>
    <n v="600000"/>
    <n v="600000"/>
    <n v="600000"/>
    <n v="600000"/>
    <n v="600000"/>
    <n v="600000"/>
    <n v="600000"/>
    <n v="600000"/>
  </r>
  <r>
    <s v="F0546"/>
    <x v="0"/>
    <s v="주차-주차장비구매-CNS부평운영센터"/>
    <x v="0"/>
    <x v="1"/>
    <x v="1"/>
    <n v="250000"/>
    <n v="250000"/>
    <n v="250000"/>
    <n v="250000"/>
    <n v="250000"/>
    <n v="250000"/>
    <n v="250000"/>
    <n v="250000"/>
  </r>
  <r>
    <s v="F0548"/>
    <x v="0"/>
    <s v="주차-주차장비구매-CNS부산운영센터"/>
    <x v="0"/>
    <x v="1"/>
    <x v="1"/>
    <n v="340000"/>
    <n v="340000"/>
    <n v="340000"/>
    <n v="340000"/>
    <n v="340000"/>
    <n v="340000"/>
    <n v="340000"/>
    <n v="340000"/>
  </r>
  <r>
    <s v="F0555"/>
    <x v="0"/>
    <s v="주차-주차장위탁운영-신한은행운영센터부산서면점"/>
    <x v="1"/>
    <x v="0"/>
    <x v="1"/>
    <n v="6079036"/>
    <n v="6857218"/>
    <n v="6556313"/>
    <n v="6539942"/>
    <n v="6539931"/>
    <n v="6490859"/>
    <n v="6245379"/>
    <n v="6093588"/>
  </r>
  <r>
    <s v="F0559"/>
    <x v="0"/>
    <s v="주차-주차장비구매-전자가산R&amp;D캠퍼스"/>
    <x v="0"/>
    <x v="1"/>
    <x v="1"/>
    <n v="580000"/>
    <n v="580000"/>
    <n v="580000"/>
    <n v="580000"/>
    <n v="580000"/>
    <n v="0"/>
    <n v="580000"/>
    <n v="9140000"/>
  </r>
  <r>
    <s v="F0605"/>
    <x v="0"/>
    <s v="주차-주차장위탁운영-신한은행운영센터창원중앙점"/>
    <x v="1"/>
    <x v="0"/>
    <x v="1"/>
    <n v="2183645"/>
    <n v="2029836"/>
    <n v="2365269"/>
    <n v="2158113"/>
    <n v="2234372"/>
    <n v="2153479"/>
    <n v="2213461"/>
    <n v="2246203"/>
  </r>
  <r>
    <s v="FA0001"/>
    <x v="0"/>
    <s v="주차-주차장위탁운영-LG아트센터"/>
    <x v="1"/>
    <x v="1"/>
    <x v="1"/>
    <n v="25201101"/>
    <n v="31896001"/>
    <n v="0"/>
    <n v="114479545"/>
    <n v="19590001"/>
    <n v="36781816"/>
    <n v="34359544"/>
    <n v="51570000"/>
  </r>
  <r>
    <s v="FF0001"/>
    <x v="0"/>
    <s v="주차-주차장위탁운영-주차서비스-GS타워운영센터"/>
    <x v="1"/>
    <x v="0"/>
    <x v="1"/>
    <n v="83653580"/>
    <n v="109360039"/>
    <n v="93751343"/>
    <n v="81634449"/>
    <n v="86755906"/>
    <n v="93113488"/>
    <n v="80890486"/>
    <n v="82291049"/>
  </r>
  <r>
    <s v="FF0004"/>
    <x v="0"/>
    <s v="주차-주차장위탁운영-주차서비스-디앤오강남빌딩운영센터"/>
    <x v="1"/>
    <x v="1"/>
    <x v="1"/>
    <n v="37493493"/>
    <n v="38252960"/>
    <n v="37907612"/>
    <n v="33431073"/>
    <n v="37550375"/>
    <n v="37546395"/>
    <n v="36764028"/>
    <n v="38719629"/>
  </r>
  <r>
    <s v="FF0012"/>
    <x v="1"/>
    <s v="라이프라이크-정기방문청소-샌디클린"/>
    <x v="2"/>
    <x v="0"/>
    <x v="1"/>
    <n v="230000"/>
    <n v="230000"/>
    <n v="230000"/>
    <n v="230000"/>
    <n v="230000"/>
    <n v="230000"/>
    <n v="230000"/>
    <n v="230000"/>
  </r>
  <r>
    <s v="FG0001"/>
    <x v="0"/>
    <s v="주차-주차장위탁운영-서울구로기계공구단지운영"/>
    <x v="1"/>
    <x v="0"/>
    <x v="1"/>
    <n v="13428654"/>
    <n v="11214819"/>
    <n v="11202964"/>
    <n v="9129982"/>
    <n v="18768346"/>
    <n v="13423491"/>
    <n v="13225164"/>
    <n v="12320291"/>
  </r>
  <r>
    <s v="FG0008"/>
    <x v="0"/>
    <s v="주차-주차장위탁운영-더맥심험프리스"/>
    <x v="1"/>
    <x v="0"/>
    <x v="1"/>
    <n v="1525454"/>
    <n v="1864545"/>
    <n v="1680000"/>
    <n v="1440909"/>
    <n v="1832727"/>
    <n v="1510000"/>
    <n v="1853636"/>
    <n v="1436364"/>
  </r>
  <r>
    <s v="N0002"/>
    <x v="2"/>
    <s v="솔루션-비상주시설물안전점검(P)-LXMMA둔곡사옥"/>
    <x v="3"/>
    <x v="0"/>
    <x v="1"/>
    <m/>
    <m/>
    <n v="980000"/>
    <n v="1740000"/>
    <n v="1740000"/>
    <n v="1740000"/>
    <n v="1740000"/>
    <n v="5130000"/>
  </r>
  <r>
    <s v="NA0001"/>
    <x v="3"/>
    <s v="ASSET-중소형빌딩자산관리-서울1"/>
    <x v="4"/>
    <x v="0"/>
    <x v="1"/>
    <m/>
    <m/>
    <n v="0"/>
    <n v="6425000"/>
    <n v="6425000"/>
    <n v="9875000"/>
    <n v="9919000"/>
    <n v="15903000"/>
  </r>
  <r>
    <s v="NA0020"/>
    <x v="4"/>
    <s v="LIFE-주차장세차-서울1"/>
    <x v="5"/>
    <x v="0"/>
    <x v="1"/>
    <m/>
    <m/>
    <n v="0"/>
    <n v="0"/>
    <n v="80945"/>
    <n v="16291"/>
    <n v="22255"/>
    <n v="22255"/>
  </r>
  <r>
    <s v="NAB001"/>
    <x v="2"/>
    <s v="솔루션-원격감시-건와빌딩"/>
    <x v="6"/>
    <x v="0"/>
    <x v="1"/>
    <m/>
    <m/>
    <m/>
    <n v="0"/>
    <n v="600000"/>
    <n v="600000"/>
    <n v="600000"/>
    <n v="600000"/>
  </r>
  <r>
    <s v="NAB003"/>
    <x v="2"/>
    <s v="솔루션-AICCTV-디앤오강서"/>
    <x v="7"/>
    <x v="1"/>
    <x v="1"/>
    <m/>
    <m/>
    <m/>
    <m/>
    <m/>
    <n v="280000"/>
    <n v="280000"/>
    <n v="280000"/>
  </r>
  <r>
    <s v="NAB004"/>
    <x v="2"/>
    <s v="솔루션-기계성능설비점검-LG아트센터"/>
    <x v="8"/>
    <x v="1"/>
    <x v="0"/>
    <m/>
    <m/>
    <m/>
    <m/>
    <m/>
    <m/>
    <m/>
    <n v="25829280"/>
  </r>
  <r>
    <s v="NAC001"/>
    <x v="1"/>
    <s v="솔루션-청소로봇케어-씨지인바이츠"/>
    <x v="9"/>
    <x v="0"/>
    <x v="1"/>
    <m/>
    <m/>
    <m/>
    <m/>
    <m/>
    <n v="750000"/>
    <n v="750000"/>
    <n v="750000"/>
  </r>
  <r>
    <s v="NAE001"/>
    <x v="4"/>
    <s v="솔루션-주차장세차-SP운영센터(2차부지)"/>
    <x v="5"/>
    <x v="0"/>
    <x v="1"/>
    <m/>
    <m/>
    <m/>
    <m/>
    <n v="107336"/>
    <n v="29455"/>
    <n v="51709"/>
    <n v="41091"/>
  </r>
  <r>
    <s v="NAE002"/>
    <x v="4"/>
    <s v="솔루션-주차장세차-SP(DP3_EA)"/>
    <x v="5"/>
    <x v="0"/>
    <x v="1"/>
    <m/>
    <m/>
    <m/>
    <m/>
    <m/>
    <n v="121382"/>
    <n v="146691"/>
    <n v="96218"/>
  </r>
  <r>
    <s v="NAE003"/>
    <x v="4"/>
    <s v="솔루션-주차장세차-SP(DP3_CA)"/>
    <x v="5"/>
    <x v="0"/>
    <x v="1"/>
    <m/>
    <m/>
    <m/>
    <m/>
    <m/>
    <n v="73236"/>
    <n v="87782"/>
    <n v="58473"/>
  </r>
  <r>
    <s v="NAE004"/>
    <x v="4"/>
    <s v="솔루션-주차장세차-화학SP"/>
    <x v="5"/>
    <x v="0"/>
    <x v="1"/>
    <m/>
    <m/>
    <m/>
    <m/>
    <m/>
    <n v="49309"/>
    <n v="59055"/>
    <n v="37964"/>
  </r>
  <r>
    <s v="NB0003"/>
    <x v="2"/>
    <s v="SAFE-AICCTV-서울2"/>
    <x v="7"/>
    <x v="0"/>
    <x v="1"/>
    <m/>
    <m/>
    <n v="2273400"/>
    <n v="2710400"/>
    <n v="2710400"/>
    <n v="2710400"/>
    <n v="2710400"/>
    <n v="2710400"/>
  </r>
  <r>
    <s v="NB0009"/>
    <x v="1"/>
    <s v="CLEAN-친환경청소용품-서울2"/>
    <x v="10"/>
    <x v="0"/>
    <x v="0"/>
    <m/>
    <m/>
    <n v="0"/>
    <n v="0"/>
    <n v="0"/>
    <n v="0"/>
    <n v="0"/>
    <n v="13030"/>
  </r>
  <r>
    <s v="NB0020"/>
    <x v="4"/>
    <s v="LIFE-주차장세차-서울2"/>
    <x v="5"/>
    <x v="0"/>
    <x v="1"/>
    <m/>
    <m/>
    <n v="0"/>
    <n v="0"/>
    <n v="0"/>
    <n v="0"/>
    <n v="0"/>
    <n v="23055"/>
  </r>
  <r>
    <s v="NBB001"/>
    <x v="2"/>
    <s v="솔루션-FM컨설팅(P)-서울시경로당"/>
    <x v="11"/>
    <x v="0"/>
    <x v="0"/>
    <m/>
    <m/>
    <m/>
    <n v="50000000"/>
    <n v="0"/>
    <n v="0"/>
    <n v="0"/>
    <n v="0"/>
  </r>
  <r>
    <s v="NBB002"/>
    <x v="2"/>
    <s v="솔루션-비상주시설물안전점검(P)-LF팩토리"/>
    <x v="3"/>
    <x v="0"/>
    <x v="0"/>
    <m/>
    <m/>
    <m/>
    <n v="0"/>
    <n v="1500000"/>
    <n v="0"/>
    <n v="0"/>
    <n v="0"/>
  </r>
  <r>
    <s v="NBB003"/>
    <x v="2"/>
    <s v="솔루션-기계성능설비점검-엘지가산디지털"/>
    <x v="8"/>
    <x v="1"/>
    <x v="0"/>
    <m/>
    <m/>
    <m/>
    <m/>
    <m/>
    <m/>
    <m/>
    <n v="9250000"/>
  </r>
  <r>
    <s v="NBB004"/>
    <x v="2"/>
    <s v="솔루션-상업용주방자동소화장치-엘지가산디지털"/>
    <x v="12"/>
    <x v="1"/>
    <x v="0"/>
    <m/>
    <m/>
    <m/>
    <m/>
    <m/>
    <m/>
    <m/>
    <n v="16931000"/>
  </r>
  <r>
    <s v="NBE002"/>
    <x v="4"/>
    <s v="솔루션-주차장세차-U+인천구월"/>
    <x v="5"/>
    <x v="0"/>
    <x v="1"/>
    <m/>
    <m/>
    <m/>
    <m/>
    <n v="17727"/>
    <n v="20073"/>
    <n v="10036"/>
    <n v="9236"/>
  </r>
  <r>
    <s v="NBE003"/>
    <x v="4"/>
    <s v="솔루션-주차장세차-U+독산"/>
    <x v="5"/>
    <x v="0"/>
    <x v="1"/>
    <m/>
    <m/>
    <m/>
    <m/>
    <n v="16945"/>
    <n v="6764"/>
    <n v="17382"/>
    <n v="4364"/>
  </r>
  <r>
    <s v="NBE004"/>
    <x v="4"/>
    <s v="솔루션-주차장세차-U+시흥"/>
    <x v="5"/>
    <x v="0"/>
    <x v="1"/>
    <m/>
    <m/>
    <m/>
    <m/>
    <n v="26982"/>
    <n v="18618"/>
    <n v="14473"/>
    <n v="9891"/>
  </r>
  <r>
    <s v="NC0010"/>
    <x v="5"/>
    <s v="INTERIOR-사무환경개선-서울3"/>
    <x v="13"/>
    <x v="0"/>
    <x v="0"/>
    <m/>
    <m/>
    <n v="0"/>
    <n v="0"/>
    <n v="0"/>
    <n v="0"/>
    <n v="24900000"/>
    <n v="0"/>
  </r>
  <r>
    <s v="ND0001"/>
    <x v="3"/>
    <s v="ASSET-중소형빌딩자산관리-서울4"/>
    <x v="4"/>
    <x v="0"/>
    <x v="1"/>
    <m/>
    <m/>
    <n v="0"/>
    <n v="855000"/>
    <n v="855000"/>
    <n v="855000"/>
    <n v="855000"/>
    <n v="855000"/>
  </r>
  <r>
    <s v="ND0017"/>
    <x v="4"/>
    <s v="LIFE-원두구독-서울4"/>
    <x v="14"/>
    <x v="0"/>
    <x v="1"/>
    <m/>
    <m/>
    <n v="0"/>
    <n v="0"/>
    <n v="0"/>
    <n v="0"/>
    <n v="23909"/>
    <n v="0"/>
  </r>
  <r>
    <s v="NDB001"/>
    <x v="2"/>
    <s v="솔루션-원격감시-넷마블푸르니"/>
    <x v="6"/>
    <x v="0"/>
    <x v="1"/>
    <m/>
    <m/>
    <m/>
    <n v="0"/>
    <n v="780000"/>
    <n v="0"/>
    <n v="0"/>
    <n v="0"/>
  </r>
  <r>
    <s v="NDB002"/>
    <x v="2"/>
    <s v="솔루션-비상주시설물안전점검(P)-신용회복위원회"/>
    <x v="3"/>
    <x v="0"/>
    <x v="0"/>
    <m/>
    <m/>
    <m/>
    <m/>
    <n v="0"/>
    <n v="8637000"/>
    <n v="38500000"/>
    <n v="1260000"/>
  </r>
  <r>
    <s v="NDB003"/>
    <x v="2"/>
    <s v="솔루션-체험형안전교육-서울4BS1"/>
    <x v="15"/>
    <x v="0"/>
    <x v="0"/>
    <m/>
    <m/>
    <m/>
    <m/>
    <m/>
    <m/>
    <n v="1330000"/>
    <n v="2139000"/>
  </r>
  <r>
    <s v="NDB004"/>
    <x v="2"/>
    <s v="솔루션-AICCTV-누디트서울숲"/>
    <x v="7"/>
    <x v="0"/>
    <x v="1"/>
    <m/>
    <m/>
    <m/>
    <m/>
    <m/>
    <m/>
    <n v="0"/>
    <n v="350000"/>
  </r>
  <r>
    <s v="NDC001"/>
    <x v="1"/>
    <s v="솔루션-청소로봇케어-서울4BS1"/>
    <x v="9"/>
    <x v="0"/>
    <x v="1"/>
    <m/>
    <m/>
    <m/>
    <n v="600000"/>
    <n v="600000"/>
    <n v="600000"/>
    <n v="600000"/>
    <n v="1500000"/>
  </r>
  <r>
    <s v="NDC003"/>
    <x v="1"/>
    <s v="솔루션-정기방문청소-서울4BS1"/>
    <x v="2"/>
    <x v="0"/>
    <x v="1"/>
    <m/>
    <m/>
    <m/>
    <m/>
    <m/>
    <m/>
    <n v="0"/>
    <n v="1217000"/>
  </r>
  <r>
    <s v="NDE001"/>
    <x v="4"/>
    <s v="솔루션-스낵플러스-U+용산사옥"/>
    <x v="16"/>
    <x v="1"/>
    <x v="1"/>
    <m/>
    <m/>
    <m/>
    <n v="0"/>
    <n v="54552"/>
    <n v="54552"/>
    <n v="54552"/>
    <n v="54552"/>
  </r>
  <r>
    <s v="NDE002"/>
    <x v="4"/>
    <s v="솔루션-주차장세차-U+상암"/>
    <x v="5"/>
    <x v="0"/>
    <x v="1"/>
    <m/>
    <m/>
    <m/>
    <m/>
    <n v="83927"/>
    <n v="14336"/>
    <n v="4682"/>
    <n v="5091"/>
  </r>
  <r>
    <s v="NDE003"/>
    <x v="4"/>
    <s v="솔루션-주차장세차-마포"/>
    <x v="5"/>
    <x v="0"/>
    <x v="1"/>
    <m/>
    <m/>
    <m/>
    <m/>
    <n v="439059"/>
    <n v="67155"/>
    <n v="55245"/>
    <n v="45064"/>
  </r>
  <r>
    <s v="NDE004"/>
    <x v="4"/>
    <s v="솔루션-주차장세차-U+용산"/>
    <x v="5"/>
    <x v="0"/>
    <x v="1"/>
    <m/>
    <m/>
    <m/>
    <m/>
    <n v="29073"/>
    <n v="22118"/>
    <n v="9318"/>
    <n v="23500"/>
  </r>
  <r>
    <s v="NDE005"/>
    <x v="4"/>
    <s v="솔루션-주차장세차-YTN상암"/>
    <x v="5"/>
    <x v="0"/>
    <x v="1"/>
    <m/>
    <m/>
    <m/>
    <m/>
    <m/>
    <n v="23855"/>
    <n v="35855"/>
    <n v="20000"/>
  </r>
  <r>
    <s v="NE0001"/>
    <x v="3"/>
    <s v="ASSET-중소형빌딩자산관리-서울5"/>
    <x v="4"/>
    <x v="0"/>
    <x v="1"/>
    <m/>
    <m/>
    <n v="0"/>
    <n v="950000"/>
    <n v="950000"/>
    <n v="950000"/>
    <n v="950000"/>
    <n v="950000"/>
  </r>
  <r>
    <s v="NE0032"/>
    <x v="5"/>
    <s v="INTERIOR-폰부스-서울5"/>
    <x v="17"/>
    <x v="0"/>
    <x v="0"/>
    <m/>
    <m/>
    <m/>
    <m/>
    <m/>
    <n v="4090909"/>
    <n v="0"/>
    <n v="0"/>
  </r>
  <r>
    <s v="NEE001"/>
    <x v="4"/>
    <s v="솔루션-주차장세차-광화문빌딩"/>
    <x v="5"/>
    <x v="1"/>
    <x v="1"/>
    <m/>
    <m/>
    <m/>
    <n v="0"/>
    <n v="8930250"/>
    <n v="8729750"/>
    <n v="9080500"/>
    <n v="9070250"/>
  </r>
  <r>
    <s v="NEE002"/>
    <x v="4"/>
    <s v="솔루션-주차장세차-서울역빌딩"/>
    <x v="5"/>
    <x v="0"/>
    <x v="1"/>
    <m/>
    <m/>
    <m/>
    <m/>
    <n v="26955"/>
    <n v="2545"/>
    <n v="4364"/>
    <n v="0"/>
  </r>
  <r>
    <s v="NEE003"/>
    <x v="4"/>
    <s v="솔루션-다회용컵렌탈(P)-광화문빌딩"/>
    <x v="18"/>
    <x v="1"/>
    <x v="1"/>
    <m/>
    <m/>
    <m/>
    <m/>
    <m/>
    <n v="0"/>
    <n v="0"/>
    <n v="10246749"/>
  </r>
  <r>
    <s v="NF0006"/>
    <x v="1"/>
    <s v="CLEAN-정기방문청소-서울6"/>
    <x v="2"/>
    <x v="0"/>
    <x v="1"/>
    <n v="0"/>
    <n v="385000"/>
    <n v="385000"/>
    <n v="385000"/>
    <n v="385000"/>
    <n v="385000"/>
    <n v="1185000"/>
    <n v="1185000"/>
  </r>
  <r>
    <s v="NF0008"/>
    <x v="1"/>
    <s v="CLEAN-법정의무소독서비스-서울6"/>
    <x v="19"/>
    <x v="0"/>
    <x v="1"/>
    <m/>
    <m/>
    <n v="0"/>
    <n v="0"/>
    <n v="0"/>
    <n v="95000"/>
    <n v="95000"/>
    <n v="95000"/>
  </r>
  <r>
    <s v="NF0011"/>
    <x v="4"/>
    <s v="LIFE-샌디APP-서울6"/>
    <x v="20"/>
    <x v="0"/>
    <x v="1"/>
    <m/>
    <m/>
    <n v="0"/>
    <n v="0"/>
    <n v="0"/>
    <n v="0"/>
    <n v="0"/>
    <n v="5000000"/>
  </r>
  <r>
    <s v="NF0014"/>
    <x v="4"/>
    <s v="LIFE-스낵플러스-서울6"/>
    <x v="16"/>
    <x v="0"/>
    <x v="1"/>
    <m/>
    <m/>
    <n v="0"/>
    <n v="940827"/>
    <n v="921750"/>
    <n v="829367"/>
    <n v="970543"/>
    <n v="903939"/>
  </r>
  <r>
    <s v="NF0017"/>
    <x v="4"/>
    <s v="LIFE-원두구독-서울6"/>
    <x v="14"/>
    <x v="0"/>
    <x v="1"/>
    <m/>
    <m/>
    <n v="0"/>
    <n v="0"/>
    <n v="23364"/>
    <n v="0"/>
    <n v="0"/>
    <n v="0"/>
  </r>
  <r>
    <s v="NF0018"/>
    <x v="4"/>
    <s v="LIFE-커피머신렌탈-서울6"/>
    <x v="21"/>
    <x v="0"/>
    <x v="1"/>
    <m/>
    <m/>
    <n v="0"/>
    <n v="0"/>
    <n v="0"/>
    <n v="0"/>
    <n v="25000"/>
    <n v="25000"/>
  </r>
  <r>
    <s v="NF0029"/>
    <x v="1"/>
    <s v="Clean-청소로봇케어-서울6"/>
    <x v="9"/>
    <x v="0"/>
    <x v="1"/>
    <m/>
    <m/>
    <n v="0"/>
    <n v="0"/>
    <n v="300000"/>
    <n v="300000"/>
    <n v="300000"/>
    <n v="900000"/>
  </r>
  <r>
    <s v="NF0033"/>
    <x v="4"/>
    <s v="LIFE-라운지-서울6"/>
    <x v="22"/>
    <x v="0"/>
    <x v="1"/>
    <m/>
    <m/>
    <m/>
    <m/>
    <m/>
    <n v="0"/>
    <n v="939600"/>
    <n v="0"/>
  </r>
  <r>
    <s v="NFB001"/>
    <x v="2"/>
    <s v="솔루션-원격감시-343강남"/>
    <x v="6"/>
    <x v="0"/>
    <x v="1"/>
    <m/>
    <m/>
    <m/>
    <m/>
    <m/>
    <n v="450000"/>
    <n v="450000"/>
    <n v="449950"/>
  </r>
  <r>
    <s v="NFB002"/>
    <x v="2"/>
    <s v="솔루션-AICCTV-343강남"/>
    <x v="7"/>
    <x v="0"/>
    <x v="1"/>
    <m/>
    <m/>
    <m/>
    <m/>
    <m/>
    <n v="500000"/>
    <n v="500000"/>
    <n v="499950"/>
  </r>
  <r>
    <s v="NFB003"/>
    <x v="2"/>
    <s v="솔루션-건물맞춤형공조필터-메리츠타워"/>
    <x v="23"/>
    <x v="0"/>
    <x v="1"/>
    <m/>
    <m/>
    <m/>
    <m/>
    <m/>
    <m/>
    <n v="0"/>
    <n v="16880500"/>
  </r>
  <r>
    <s v="NG0020"/>
    <x v="4"/>
    <s v="LIFE-주차장세차-중부1"/>
    <x v="5"/>
    <x v="0"/>
    <x v="1"/>
    <m/>
    <m/>
    <n v="0"/>
    <n v="0"/>
    <n v="8000"/>
    <n v="0"/>
    <n v="15709"/>
    <n v="0"/>
  </r>
  <r>
    <s v="NGB001"/>
    <x v="2"/>
    <s v="솔루션-AICCTV-펄어비스"/>
    <x v="7"/>
    <x v="0"/>
    <x v="1"/>
    <m/>
    <m/>
    <m/>
    <m/>
    <n v="416160"/>
    <n v="416160"/>
    <n v="416160"/>
    <n v="416160"/>
  </r>
  <r>
    <s v="NGB002"/>
    <x v="2"/>
    <s v="솔루션-FM컨설팅(P)-중부1BS"/>
    <x v="11"/>
    <x v="0"/>
    <x v="0"/>
    <m/>
    <m/>
    <m/>
    <m/>
    <m/>
    <m/>
    <m/>
    <n v="95000000"/>
  </r>
  <r>
    <s v="NGE001"/>
    <x v="4"/>
    <s v="솔루션-커피머신렌탈-LS타워"/>
    <x v="21"/>
    <x v="0"/>
    <x v="1"/>
    <m/>
    <m/>
    <m/>
    <n v="0"/>
    <n v="174000"/>
    <n v="454000"/>
    <n v="454000"/>
    <n v="454000"/>
  </r>
  <r>
    <s v="NGE002"/>
    <x v="4"/>
    <s v="솔루션-주차장세차-화학오산테크"/>
    <x v="5"/>
    <x v="0"/>
    <x v="1"/>
    <m/>
    <m/>
    <m/>
    <m/>
    <n v="51827"/>
    <n v="11273"/>
    <n v="0"/>
    <n v="3927"/>
  </r>
  <r>
    <s v="NGE003"/>
    <x v="4"/>
    <s v="솔루션-샌디APP-펄어비스"/>
    <x v="20"/>
    <x v="0"/>
    <x v="1"/>
    <m/>
    <m/>
    <m/>
    <m/>
    <m/>
    <n v="0"/>
    <n v="0"/>
    <n v="3079584"/>
  </r>
  <r>
    <s v="NH0006"/>
    <x v="1"/>
    <s v="CLEAN-정기방문청소-중부2"/>
    <x v="2"/>
    <x v="0"/>
    <x v="1"/>
    <m/>
    <m/>
    <n v="0"/>
    <n v="0"/>
    <n v="0"/>
    <n v="0"/>
    <n v="0"/>
    <n v="607000"/>
  </r>
  <r>
    <s v="NHA001"/>
    <x v="3"/>
    <s v="솔루션-중소형빌딩자산관리-NC백화점"/>
    <x v="4"/>
    <x v="0"/>
    <x v="1"/>
    <m/>
    <m/>
    <m/>
    <m/>
    <m/>
    <n v="0"/>
    <n v="1560000"/>
    <n v="1200000"/>
  </r>
  <r>
    <s v="NHB001"/>
    <x v="2"/>
    <s v="솔루션-원격감시-픽셀플러스"/>
    <x v="6"/>
    <x v="0"/>
    <x v="1"/>
    <m/>
    <m/>
    <m/>
    <m/>
    <n v="0"/>
    <n v="450000"/>
    <n v="450000"/>
    <n v="450000"/>
  </r>
  <r>
    <s v="NHB002"/>
    <x v="2"/>
    <s v="솔루션-기계설비성능점검-LF양주"/>
    <x v="8"/>
    <x v="0"/>
    <x v="0"/>
    <m/>
    <m/>
    <m/>
    <m/>
    <m/>
    <n v="0"/>
    <n v="6800000"/>
    <n v="0"/>
  </r>
  <r>
    <s v="NHB003"/>
    <x v="2"/>
    <s v="솔루션-기계설비성능점검-곤지암리조트"/>
    <x v="8"/>
    <x v="1"/>
    <x v="0"/>
    <m/>
    <m/>
    <m/>
    <m/>
    <m/>
    <n v="0"/>
    <n v="0"/>
    <n v="48415000"/>
  </r>
  <r>
    <s v="NHC001"/>
    <x v="1"/>
    <s v="솔루션-청소로봇케어-픽셀플러스"/>
    <x v="9"/>
    <x v="0"/>
    <x v="1"/>
    <m/>
    <m/>
    <m/>
    <m/>
    <n v="0"/>
    <n v="750000"/>
    <n v="750000"/>
    <n v="750000"/>
  </r>
  <r>
    <s v="NHC002"/>
    <x v="1"/>
    <s v="솔루션-청소로봇케어-중부2"/>
    <x v="9"/>
    <x v="0"/>
    <x v="1"/>
    <m/>
    <m/>
    <m/>
    <m/>
    <n v="0"/>
    <n v="321000"/>
    <n v="321000"/>
    <n v="321000"/>
  </r>
  <r>
    <s v="NHC003"/>
    <x v="1"/>
    <s v="솔루션-내자리케어-생활연수원"/>
    <x v="24"/>
    <x v="1"/>
    <x v="0"/>
    <m/>
    <m/>
    <m/>
    <m/>
    <m/>
    <m/>
    <n v="0"/>
    <n v="1295600"/>
  </r>
  <r>
    <s v="NHE001"/>
    <x v="4"/>
    <s v="솔루션-주차장세차-인피니티타워"/>
    <x v="5"/>
    <x v="0"/>
    <x v="1"/>
    <m/>
    <m/>
    <m/>
    <m/>
    <m/>
    <m/>
    <n v="9236"/>
    <n v="32800"/>
  </r>
  <r>
    <s v="NI0020"/>
    <x v="4"/>
    <s v="LIFE-주차장세차-남부1"/>
    <x v="5"/>
    <x v="0"/>
    <x v="1"/>
    <m/>
    <m/>
    <n v="0"/>
    <n v="0"/>
    <n v="24582"/>
    <n v="0"/>
    <n v="0"/>
    <n v="0"/>
  </r>
  <r>
    <s v="NIB002"/>
    <x v="2"/>
    <s v="솔루션-기계설비성능점검-남부1BS"/>
    <x v="8"/>
    <x v="0"/>
    <x v="0"/>
    <m/>
    <m/>
    <m/>
    <m/>
    <m/>
    <n v="8100000"/>
    <n v="0"/>
    <n v="0"/>
  </r>
  <r>
    <s v="NIE002"/>
    <x v="4"/>
    <s v="솔루션-주차장세차-U+대전R&amp;D"/>
    <x v="5"/>
    <x v="0"/>
    <x v="1"/>
    <m/>
    <m/>
    <m/>
    <m/>
    <n v="83227"/>
    <n v="7182"/>
    <n v="7182"/>
    <n v="7182"/>
  </r>
  <r>
    <s v="NIE004"/>
    <x v="4"/>
    <s v="솔루션-주차장세차-U+대전탄방"/>
    <x v="5"/>
    <x v="0"/>
    <x v="1"/>
    <m/>
    <m/>
    <m/>
    <m/>
    <m/>
    <m/>
    <n v="33818"/>
    <n v="7855"/>
  </r>
  <r>
    <s v="NJ0020"/>
    <x v="4"/>
    <s v="LIFE-주차장세차-남부2"/>
    <x v="5"/>
    <x v="0"/>
    <x v="1"/>
    <m/>
    <m/>
    <n v="0"/>
    <n v="0"/>
    <n v="40909"/>
    <n v="0"/>
    <n v="0"/>
    <n v="0"/>
  </r>
  <r>
    <s v="NJB001"/>
    <x v="2"/>
    <s v="솔루션-원격감시-연산갤러리"/>
    <x v="6"/>
    <x v="0"/>
    <x v="1"/>
    <m/>
    <m/>
    <m/>
    <n v="1000000"/>
    <n v="1000000"/>
    <n v="1000000"/>
    <n v="1000000"/>
    <n v="1000000"/>
  </r>
  <r>
    <s v="NJE001"/>
    <x v="4"/>
    <s v="솔루션-주차장세차-BIFC"/>
    <x v="5"/>
    <x v="0"/>
    <x v="1"/>
    <m/>
    <m/>
    <m/>
    <m/>
    <n v="281091"/>
    <n v="123345"/>
    <n v="64945"/>
    <n v="157600"/>
  </r>
  <r>
    <s v="NJE002"/>
    <x v="4"/>
    <s v="솔루션-주차장세차-NH투자증권부산"/>
    <x v="5"/>
    <x v="0"/>
    <x v="1"/>
    <m/>
    <m/>
    <m/>
    <m/>
    <n v="24873"/>
    <n v="4800"/>
    <n v="0"/>
    <n v="0"/>
  </r>
  <r>
    <s v="NJE003"/>
    <x v="4"/>
    <s v="솔루션-주차장세차-U+부산감전"/>
    <x v="5"/>
    <x v="0"/>
    <x v="1"/>
    <m/>
    <m/>
    <m/>
    <m/>
    <n v="165036"/>
    <n v="21000"/>
    <n v="17436"/>
    <n v="17336"/>
  </r>
  <r>
    <s v="NJE004"/>
    <x v="4"/>
    <s v="솔루션-주차장세차-U+부산초량"/>
    <x v="5"/>
    <x v="0"/>
    <x v="1"/>
    <m/>
    <m/>
    <m/>
    <m/>
    <n v="15955"/>
    <n v="0"/>
    <n v="0"/>
    <n v="2909"/>
  </r>
  <r>
    <s v="NJE005"/>
    <x v="4"/>
    <s v="솔루션-주차장세차-U+대구신천"/>
    <x v="5"/>
    <x v="0"/>
    <x v="1"/>
    <m/>
    <m/>
    <m/>
    <m/>
    <m/>
    <n v="0"/>
    <n v="4655"/>
    <n v="7636"/>
  </r>
  <r>
    <s v="NJE006"/>
    <x v="4"/>
    <s v="솔루션-주차장세차-U+대구효목"/>
    <x v="5"/>
    <x v="0"/>
    <x v="1"/>
    <m/>
    <m/>
    <m/>
    <m/>
    <m/>
    <n v="6473"/>
    <n v="2545"/>
    <n v="2545"/>
  </r>
  <r>
    <s v="NJE007"/>
    <x v="4"/>
    <s v="솔루션-주차장세차-한국교직원공제회대구"/>
    <x v="5"/>
    <x v="0"/>
    <x v="1"/>
    <m/>
    <m/>
    <m/>
    <m/>
    <m/>
    <n v="3273"/>
    <n v="3273"/>
    <n v="3564"/>
  </r>
  <r>
    <s v="NJE008"/>
    <x v="4"/>
    <s v="솔루션-캡슐커피-BIFC"/>
    <x v="25"/>
    <x v="0"/>
    <x v="1"/>
    <m/>
    <m/>
    <m/>
    <m/>
    <m/>
    <n v="2124000"/>
    <n v="2124000"/>
    <n v="2119500"/>
  </r>
  <r>
    <s v="NY0001"/>
    <x v="0"/>
    <s v="PARKING-주차장위탁운영-주차서비스-서울여대"/>
    <x v="1"/>
    <x v="0"/>
    <x v="1"/>
    <m/>
    <m/>
    <m/>
    <m/>
    <m/>
    <n v="0"/>
    <n v="41046094"/>
    <n v="18238364"/>
  </r>
  <r>
    <s v="NZ0002"/>
    <x v="2"/>
    <s v="SAFE-FM컨설팅-서울5(P)"/>
    <x v="11"/>
    <x v="0"/>
    <x v="0"/>
    <m/>
    <m/>
    <n v="20000000"/>
    <n v="0"/>
    <n v="0"/>
    <n v="0"/>
    <n v="0"/>
    <n v="0"/>
  </r>
  <r>
    <s v="NZ0003"/>
    <x v="2"/>
    <s v="솔루션-공기질서비스(P)-BIFC"/>
    <x v="26"/>
    <x v="0"/>
    <x v="1"/>
    <n v="0"/>
    <n v="3200000"/>
    <m/>
    <n v="0"/>
    <n v="9600000"/>
    <n v="3200000"/>
    <n v="3200000"/>
    <n v="3200000"/>
  </r>
  <r>
    <s v="NZ0005"/>
    <x v="1"/>
    <s v="CLEAN-청소로봇케어-서울4"/>
    <x v="9"/>
    <x v="0"/>
    <x v="1"/>
    <m/>
    <m/>
    <n v="600000"/>
    <n v="0"/>
    <n v="0"/>
    <n v="0"/>
    <n v="0"/>
    <n v="0"/>
  </r>
  <r>
    <s v="NZ0006"/>
    <x v="1"/>
    <s v="Clean-청소로봇케어-서울2"/>
    <x v="9"/>
    <x v="0"/>
    <x v="1"/>
    <m/>
    <m/>
    <n v="600000"/>
    <n v="600000"/>
    <n v="600000"/>
    <n v="600000"/>
    <n v="600000"/>
    <n v="600000"/>
  </r>
  <r>
    <s v="NZ0007"/>
    <x v="4"/>
    <s v="솔루션-사내카페-LG마그나"/>
    <x v="27"/>
    <x v="1"/>
    <x v="1"/>
    <m/>
    <m/>
    <n v="0"/>
    <n v="0"/>
    <n v="7742430"/>
    <n v="9650770"/>
    <n v="10895370"/>
    <n v="11267770"/>
  </r>
  <r>
    <s v="NZ0008"/>
    <x v="4"/>
    <s v="솔루션-사내카페-삼성화재"/>
    <x v="27"/>
    <x v="0"/>
    <x v="1"/>
    <m/>
    <m/>
    <n v="0"/>
    <n v="4199564"/>
    <n v="4484727"/>
    <n v="1325827"/>
    <n v="5047263"/>
    <n v="1375000"/>
  </r>
  <r>
    <s v="SF0002"/>
    <x v="0"/>
    <s v="주차-주차장비구매-LF서관"/>
    <x v="0"/>
    <x v="0"/>
    <x v="1"/>
    <n v="450000"/>
    <n v="450000"/>
    <n v="450000"/>
    <n v="450000"/>
    <n v="450000"/>
    <n v="450000"/>
    <n v="450000"/>
    <n v="450000"/>
  </r>
  <r>
    <s v="SG0006"/>
    <x v="0"/>
    <s v="주차-주차장위탁운영-JW이노스퀘어"/>
    <x v="1"/>
    <x v="0"/>
    <x v="1"/>
    <n v="13224550"/>
    <n v="9247273"/>
    <n v="10288181"/>
    <n v="8367272"/>
    <n v="7881818"/>
    <n v="9916364"/>
    <n v="11244545"/>
    <n v="9218273"/>
  </r>
  <r>
    <s v="SH0001"/>
    <x v="0"/>
    <s v="주차-주차장위탁운영-주차서비스-LF스퀘어양주"/>
    <x v="1"/>
    <x v="0"/>
    <x v="1"/>
    <n v="21000000"/>
    <n v="21000000"/>
    <n v="21000000"/>
    <n v="21000000"/>
    <n v="21000000"/>
    <n v="21000000"/>
    <n v="21000000"/>
    <n v="21000000"/>
  </r>
  <r>
    <s v="CB0001"/>
    <x v="0"/>
    <s v="주차-파라다이스시티주차시스템납품공사"/>
    <x v="0"/>
    <x v="0"/>
    <x v="0"/>
    <n v="0"/>
    <n v="1380000000"/>
    <m/>
    <m/>
    <m/>
    <m/>
    <m/>
    <m/>
  </r>
  <r>
    <s v="CE0001"/>
    <x v="0"/>
    <s v="주차-대림APT주차시스템공사"/>
    <x v="0"/>
    <x v="0"/>
    <x v="0"/>
    <n v="27000000"/>
    <n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H0003"/>
    <x v="0"/>
    <s v="주차-주차장비구매-덕소벽산아파트주차시스템공사"/>
    <x v="0"/>
    <x v="0"/>
    <x v="0"/>
    <s v=""/>
    <n v="1"/>
    <n v="1"/>
    <s v=""/>
    <s v=""/>
    <s v=""/>
    <s v=""/>
    <s v=""/>
  </r>
  <r>
    <s v="F0536"/>
    <x v="0"/>
    <s v="주차-주차장위탁운영-주차서비스-전자서초R&amp;D캠퍼스"/>
    <x v="1"/>
    <x v="1"/>
    <x v="1"/>
    <n v="1"/>
    <n v="1"/>
    <n v="1"/>
    <n v="1"/>
    <n v="1"/>
    <n v="1"/>
    <n v="1"/>
    <n v="1"/>
  </r>
  <r>
    <s v="F0546"/>
    <x v="0"/>
    <s v="주차-주차장비구매-CNS부평운영센터"/>
    <x v="0"/>
    <x v="1"/>
    <x v="1"/>
    <n v="1"/>
    <n v="1"/>
    <n v="1"/>
    <n v="1"/>
    <n v="1"/>
    <n v="1"/>
    <n v="1"/>
    <n v="1"/>
  </r>
  <r>
    <s v="F0548"/>
    <x v="0"/>
    <s v="주차-주차장비구매-CNS부산운영센터"/>
    <x v="0"/>
    <x v="1"/>
    <x v="1"/>
    <n v="1"/>
    <n v="1"/>
    <n v="1"/>
    <n v="1"/>
    <n v="1"/>
    <n v="1"/>
    <n v="1"/>
    <n v="1"/>
  </r>
  <r>
    <s v="F0555"/>
    <x v="0"/>
    <s v="주차-주차장위탁운영-신한은행운영센터부산서면점"/>
    <x v="1"/>
    <x v="0"/>
    <x v="1"/>
    <n v="1"/>
    <n v="1"/>
    <n v="1"/>
    <n v="1"/>
    <n v="1"/>
    <n v="1"/>
    <n v="1"/>
    <n v="1"/>
  </r>
  <r>
    <s v="F0559"/>
    <x v="0"/>
    <s v="주차-주차장비구매-전자가산R&amp;D캠퍼스"/>
    <x v="0"/>
    <x v="1"/>
    <x v="1"/>
    <n v="1"/>
    <n v="1"/>
    <n v="1"/>
    <n v="1"/>
    <n v="1"/>
    <s v=""/>
    <n v="1"/>
    <n v="1"/>
  </r>
  <r>
    <s v="F0605"/>
    <x v="0"/>
    <s v="주차-주차장위탁운영-신한은행운영센터창원중앙점"/>
    <x v="1"/>
    <x v="0"/>
    <x v="1"/>
    <n v="1"/>
    <n v="1"/>
    <n v="1"/>
    <n v="1"/>
    <n v="1"/>
    <n v="1"/>
    <n v="1"/>
    <n v="1"/>
  </r>
  <r>
    <s v="FA0001"/>
    <x v="0"/>
    <s v="주차-주차장위탁운영-LG아트센터"/>
    <x v="1"/>
    <x v="1"/>
    <x v="1"/>
    <n v="1"/>
    <n v="1"/>
    <s v=""/>
    <n v="1"/>
    <n v="1"/>
    <n v="1"/>
    <n v="1"/>
    <n v="1"/>
  </r>
  <r>
    <s v="FF0001"/>
    <x v="0"/>
    <s v="주차-주차장위탁운영-주차서비스-GS타워운영센터"/>
    <x v="1"/>
    <x v="0"/>
    <x v="1"/>
    <n v="1"/>
    <n v="1"/>
    <n v="1"/>
    <n v="1"/>
    <n v="1"/>
    <n v="1"/>
    <n v="1"/>
    <n v="1"/>
  </r>
  <r>
    <s v="FF0004"/>
    <x v="0"/>
    <s v="주차-주차장위탁운영-주차서비스-디앤오강남빌딩운영센터"/>
    <x v="1"/>
    <x v="1"/>
    <x v="1"/>
    <n v="1"/>
    <n v="1"/>
    <n v="1"/>
    <n v="1"/>
    <n v="1"/>
    <n v="1"/>
    <n v="1"/>
    <n v="1"/>
  </r>
  <r>
    <s v="FF0012"/>
    <x v="1"/>
    <s v="라이프라이크-정기방문청소-샌디클린"/>
    <x v="2"/>
    <x v="0"/>
    <x v="1"/>
    <n v="1"/>
    <n v="1"/>
    <n v="1"/>
    <n v="1"/>
    <n v="1"/>
    <n v="1"/>
    <n v="1"/>
    <n v="1"/>
  </r>
  <r>
    <s v="FG0001"/>
    <x v="0"/>
    <s v="주차-주차장위탁운영-서울구로기계공구단지운영"/>
    <x v="1"/>
    <x v="0"/>
    <x v="1"/>
    <n v="1"/>
    <n v="1"/>
    <n v="1"/>
    <n v="1"/>
    <n v="1"/>
    <n v="1"/>
    <n v="1"/>
    <n v="1"/>
  </r>
  <r>
    <s v="FG0008"/>
    <x v="0"/>
    <s v="주차-주차장위탁운영-더맥심험프리스"/>
    <x v="1"/>
    <x v="0"/>
    <x v="1"/>
    <n v="1"/>
    <n v="1"/>
    <n v="1"/>
    <n v="1"/>
    <n v="1"/>
    <n v="1"/>
    <n v="1"/>
    <n v="1"/>
  </r>
  <r>
    <s v="N0002"/>
    <x v="2"/>
    <s v="솔루션-비상주시설물안전점검(P)-LXMMA둔곡사옥"/>
    <x v="3"/>
    <x v="0"/>
    <x v="1"/>
    <s v=""/>
    <s v=""/>
    <n v="1"/>
    <n v="1"/>
    <n v="1"/>
    <n v="1"/>
    <n v="1"/>
    <n v="1"/>
  </r>
  <r>
    <s v="NA0001"/>
    <x v="3"/>
    <s v="ASSET-중소형빌딩자산관리-서울1"/>
    <x v="4"/>
    <x v="0"/>
    <x v="1"/>
    <s v=""/>
    <s v=""/>
    <s v=""/>
    <n v="1"/>
    <n v="1"/>
    <n v="1"/>
    <n v="1"/>
    <n v="1"/>
  </r>
  <r>
    <s v="NA0020"/>
    <x v="4"/>
    <s v="LIFE-주차장세차-서울1"/>
    <x v="5"/>
    <x v="0"/>
    <x v="1"/>
    <s v=""/>
    <s v=""/>
    <s v=""/>
    <s v=""/>
    <n v="1"/>
    <n v="1"/>
    <n v="1"/>
    <n v="1"/>
  </r>
  <r>
    <s v="NAB001"/>
    <x v="2"/>
    <s v="솔루션-원격감시-건와빌딩"/>
    <x v="6"/>
    <x v="0"/>
    <x v="1"/>
    <s v=""/>
    <s v=""/>
    <s v=""/>
    <s v=""/>
    <n v="1"/>
    <n v="1"/>
    <n v="1"/>
    <n v="1"/>
  </r>
  <r>
    <s v="NAB003"/>
    <x v="2"/>
    <s v="솔루션-AICCTV-디앤오강서"/>
    <x v="7"/>
    <x v="1"/>
    <x v="1"/>
    <s v=""/>
    <s v=""/>
    <s v=""/>
    <s v=""/>
    <s v=""/>
    <n v="1"/>
    <n v="1"/>
    <n v="1"/>
  </r>
  <r>
    <s v="NAB004"/>
    <x v="2"/>
    <s v="솔루션-기계성능설비점검-LG아트센터"/>
    <x v="8"/>
    <x v="1"/>
    <x v="0"/>
    <s v=""/>
    <s v=""/>
    <s v=""/>
    <s v=""/>
    <s v=""/>
    <s v=""/>
    <s v=""/>
    <n v="1"/>
  </r>
  <r>
    <s v="NAC001"/>
    <x v="1"/>
    <s v="솔루션-청소로봇케어-씨지인바이츠"/>
    <x v="9"/>
    <x v="0"/>
    <x v="1"/>
    <s v=""/>
    <s v=""/>
    <s v=""/>
    <s v=""/>
    <s v=""/>
    <n v="1"/>
    <n v="1"/>
    <n v="1"/>
  </r>
  <r>
    <s v="NAE001"/>
    <x v="4"/>
    <s v="솔루션-주차장세차-SP운영센터(2차부지)"/>
    <x v="5"/>
    <x v="0"/>
    <x v="1"/>
    <s v=""/>
    <s v=""/>
    <s v=""/>
    <s v=""/>
    <n v="1"/>
    <n v="1"/>
    <n v="1"/>
    <n v="1"/>
  </r>
  <r>
    <s v="NAE002"/>
    <x v="4"/>
    <s v="솔루션-주차장세차-SP(DP3_EA)"/>
    <x v="5"/>
    <x v="0"/>
    <x v="1"/>
    <s v=""/>
    <s v=""/>
    <s v=""/>
    <s v=""/>
    <s v=""/>
    <n v="1"/>
    <n v="1"/>
    <n v="1"/>
  </r>
  <r>
    <s v="NAE003"/>
    <x v="4"/>
    <s v="솔루션-주차장세차-SP(DP3_CA)"/>
    <x v="5"/>
    <x v="0"/>
    <x v="1"/>
    <s v=""/>
    <s v=""/>
    <s v=""/>
    <s v=""/>
    <s v=""/>
    <n v="1"/>
    <n v="1"/>
    <n v="1"/>
  </r>
  <r>
    <s v="NAE004"/>
    <x v="4"/>
    <s v="솔루션-주차장세차-화학SP"/>
    <x v="5"/>
    <x v="0"/>
    <x v="1"/>
    <s v=""/>
    <s v=""/>
    <s v=""/>
    <s v=""/>
    <s v=""/>
    <n v="1"/>
    <n v="1"/>
    <n v="1"/>
  </r>
  <r>
    <s v="NB0003"/>
    <x v="2"/>
    <s v="SAFE-AICCTV-서울2"/>
    <x v="7"/>
    <x v="0"/>
    <x v="1"/>
    <s v=""/>
    <s v=""/>
    <n v="1"/>
    <n v="1"/>
    <n v="1"/>
    <n v="1"/>
    <n v="1"/>
    <n v="1"/>
  </r>
  <r>
    <s v="NB0009"/>
    <x v="1"/>
    <s v="CLEAN-친환경청소용품-서울2"/>
    <x v="10"/>
    <x v="0"/>
    <x v="0"/>
    <s v=""/>
    <s v=""/>
    <s v=""/>
    <s v=""/>
    <s v=""/>
    <s v=""/>
    <s v=""/>
    <n v="1"/>
  </r>
  <r>
    <s v="NB0020"/>
    <x v="4"/>
    <s v="LIFE-주차장세차-서울2"/>
    <x v="5"/>
    <x v="0"/>
    <x v="1"/>
    <s v=""/>
    <s v=""/>
    <s v=""/>
    <s v=""/>
    <s v=""/>
    <s v=""/>
    <s v=""/>
    <n v="1"/>
  </r>
  <r>
    <s v="NBB001"/>
    <x v="2"/>
    <s v="솔루션-FM컨설팅(P)-서울시경로당"/>
    <x v="11"/>
    <x v="0"/>
    <x v="0"/>
    <s v=""/>
    <s v=""/>
    <s v=""/>
    <n v="1"/>
    <s v=""/>
    <s v=""/>
    <s v=""/>
    <s v=""/>
  </r>
  <r>
    <s v="NBB002"/>
    <x v="2"/>
    <s v="솔루션-비상주시설물안전점검(P)-LF팩토리"/>
    <x v="3"/>
    <x v="0"/>
    <x v="0"/>
    <s v=""/>
    <s v=""/>
    <s v=""/>
    <s v=""/>
    <n v="1"/>
    <s v=""/>
    <s v=""/>
    <s v=""/>
  </r>
  <r>
    <s v="NBB003"/>
    <x v="2"/>
    <s v="솔루션-기계성능설비점검-엘지가산디지털"/>
    <x v="8"/>
    <x v="1"/>
    <x v="0"/>
    <s v=""/>
    <s v=""/>
    <s v=""/>
    <s v=""/>
    <s v=""/>
    <s v=""/>
    <s v=""/>
    <n v="1"/>
  </r>
  <r>
    <s v="NBB004"/>
    <x v="2"/>
    <s v="솔루션-상업용주방자동소화장치-엘지가산디지털"/>
    <x v="12"/>
    <x v="1"/>
    <x v="0"/>
    <s v=""/>
    <s v=""/>
    <s v=""/>
    <s v=""/>
    <s v=""/>
    <s v=""/>
    <s v=""/>
    <n v="1"/>
  </r>
  <r>
    <s v="NBE002"/>
    <x v="4"/>
    <s v="솔루션-주차장세차-U+인천구월"/>
    <x v="5"/>
    <x v="0"/>
    <x v="1"/>
    <s v=""/>
    <s v=""/>
    <s v=""/>
    <s v=""/>
    <n v="1"/>
    <n v="1"/>
    <n v="1"/>
    <n v="1"/>
  </r>
  <r>
    <s v="NBE003"/>
    <x v="4"/>
    <s v="솔루션-주차장세차-U+독산"/>
    <x v="5"/>
    <x v="0"/>
    <x v="1"/>
    <s v=""/>
    <s v=""/>
    <s v=""/>
    <s v=""/>
    <n v="1"/>
    <n v="1"/>
    <n v="1"/>
    <n v="1"/>
  </r>
  <r>
    <s v="NBE004"/>
    <x v="4"/>
    <s v="솔루션-주차장세차-U+시흥"/>
    <x v="5"/>
    <x v="0"/>
    <x v="1"/>
    <s v=""/>
    <s v=""/>
    <s v=""/>
    <s v=""/>
    <n v="1"/>
    <n v="1"/>
    <n v="1"/>
    <n v="1"/>
  </r>
  <r>
    <s v="NC0010"/>
    <x v="5"/>
    <s v="INTERIOR-사무환경개선-서울3"/>
    <x v="13"/>
    <x v="0"/>
    <x v="0"/>
    <s v=""/>
    <s v=""/>
    <s v=""/>
    <s v=""/>
    <s v=""/>
    <s v=""/>
    <n v="1"/>
    <s v=""/>
  </r>
  <r>
    <s v="ND0001"/>
    <x v="3"/>
    <s v="ASSET-중소형빌딩자산관리-서울4"/>
    <x v="4"/>
    <x v="0"/>
    <x v="1"/>
    <s v=""/>
    <s v=""/>
    <s v=""/>
    <n v="1"/>
    <n v="1"/>
    <n v="1"/>
    <n v="1"/>
    <n v="1"/>
  </r>
  <r>
    <s v="ND0017"/>
    <x v="4"/>
    <s v="LIFE-원두구독-서울4"/>
    <x v="14"/>
    <x v="0"/>
    <x v="1"/>
    <s v=""/>
    <s v=""/>
    <s v=""/>
    <s v=""/>
    <s v=""/>
    <s v=""/>
    <n v="1"/>
    <s v=""/>
  </r>
  <r>
    <s v="NDB001"/>
    <x v="2"/>
    <s v="솔루션-원격감시-넷마블푸르니"/>
    <x v="6"/>
    <x v="0"/>
    <x v="1"/>
    <s v=""/>
    <s v=""/>
    <s v=""/>
    <s v=""/>
    <n v="1"/>
    <s v=""/>
    <s v=""/>
    <s v=""/>
  </r>
  <r>
    <s v="NDB002"/>
    <x v="2"/>
    <s v="솔루션-비상주시설물안전점검(P)-신용회복위원회"/>
    <x v="3"/>
    <x v="0"/>
    <x v="0"/>
    <s v=""/>
    <s v=""/>
    <s v=""/>
    <s v=""/>
    <s v=""/>
    <n v="1"/>
    <n v="1"/>
    <n v="1"/>
  </r>
  <r>
    <s v="NDB003"/>
    <x v="2"/>
    <s v="솔루션-체험형안전교육-서울4BS1"/>
    <x v="15"/>
    <x v="0"/>
    <x v="0"/>
    <s v=""/>
    <s v=""/>
    <s v=""/>
    <s v=""/>
    <s v=""/>
    <s v=""/>
    <n v="1"/>
    <n v="1"/>
  </r>
  <r>
    <s v="NDB004"/>
    <x v="2"/>
    <s v="솔루션-AICCTV-누디트서울숲"/>
    <x v="7"/>
    <x v="0"/>
    <x v="1"/>
    <s v=""/>
    <s v=""/>
    <s v=""/>
    <s v=""/>
    <s v=""/>
    <s v=""/>
    <s v=""/>
    <n v="1"/>
  </r>
  <r>
    <s v="NDC001"/>
    <x v="1"/>
    <s v="솔루션-청소로봇케어-서울4BS1"/>
    <x v="9"/>
    <x v="0"/>
    <x v="1"/>
    <s v=""/>
    <s v=""/>
    <s v=""/>
    <n v="1"/>
    <n v="1"/>
    <n v="1"/>
    <n v="1"/>
    <n v="1"/>
  </r>
  <r>
    <s v="NDC003"/>
    <x v="1"/>
    <s v="솔루션-정기방문청소-서울4BS1"/>
    <x v="2"/>
    <x v="0"/>
    <x v="1"/>
    <s v=""/>
    <s v=""/>
    <s v=""/>
    <s v=""/>
    <s v=""/>
    <s v=""/>
    <s v=""/>
    <n v="1"/>
  </r>
  <r>
    <s v="NDE001"/>
    <x v="4"/>
    <s v="솔루션-스낵플러스-U+용산사옥"/>
    <x v="16"/>
    <x v="1"/>
    <x v="1"/>
    <s v=""/>
    <s v=""/>
    <s v=""/>
    <s v=""/>
    <n v="1"/>
    <n v="1"/>
    <n v="1"/>
    <n v="1"/>
  </r>
  <r>
    <s v="NDE002"/>
    <x v="4"/>
    <s v="솔루션-주차장세차-U+상암"/>
    <x v="5"/>
    <x v="0"/>
    <x v="1"/>
    <s v=""/>
    <s v=""/>
    <s v=""/>
    <s v=""/>
    <n v="1"/>
    <n v="1"/>
    <n v="1"/>
    <n v="1"/>
  </r>
  <r>
    <s v="NDE003"/>
    <x v="4"/>
    <s v="솔루션-주차장세차-마포"/>
    <x v="5"/>
    <x v="0"/>
    <x v="1"/>
    <s v=""/>
    <s v=""/>
    <s v=""/>
    <s v=""/>
    <n v="1"/>
    <n v="1"/>
    <n v="1"/>
    <n v="1"/>
  </r>
  <r>
    <s v="NDE004"/>
    <x v="4"/>
    <s v="솔루션-주차장세차-U+용산"/>
    <x v="5"/>
    <x v="0"/>
    <x v="1"/>
    <s v=""/>
    <s v=""/>
    <s v=""/>
    <s v=""/>
    <n v="1"/>
    <n v="1"/>
    <n v="1"/>
    <n v="1"/>
  </r>
  <r>
    <s v="NDE005"/>
    <x v="4"/>
    <s v="솔루션-주차장세차-YTN상암"/>
    <x v="5"/>
    <x v="0"/>
    <x v="1"/>
    <s v=""/>
    <s v=""/>
    <s v=""/>
    <s v=""/>
    <s v=""/>
    <n v="1"/>
    <n v="1"/>
    <n v="1"/>
  </r>
  <r>
    <s v="NE0001"/>
    <x v="3"/>
    <s v="ASSET-중소형빌딩자산관리-서울5"/>
    <x v="4"/>
    <x v="0"/>
    <x v="1"/>
    <s v=""/>
    <s v=""/>
    <s v=""/>
    <n v="1"/>
    <n v="1"/>
    <n v="1"/>
    <n v="1"/>
    <n v="1"/>
  </r>
  <r>
    <s v="NE0032"/>
    <x v="5"/>
    <s v="INTERIOR-폰부스-서울5"/>
    <x v="17"/>
    <x v="0"/>
    <x v="0"/>
    <s v=""/>
    <s v=""/>
    <s v=""/>
    <s v=""/>
    <s v=""/>
    <n v="1"/>
    <s v=""/>
    <s v=""/>
  </r>
  <r>
    <s v="NEE001"/>
    <x v="4"/>
    <s v="솔루션-주차장세차-광화문빌딩"/>
    <x v="5"/>
    <x v="1"/>
    <x v="1"/>
    <s v=""/>
    <s v=""/>
    <s v=""/>
    <s v=""/>
    <n v="1"/>
    <n v="1"/>
    <n v="1"/>
    <n v="1"/>
  </r>
  <r>
    <s v="NEE002"/>
    <x v="4"/>
    <s v="솔루션-주차장세차-서울역빌딩"/>
    <x v="5"/>
    <x v="0"/>
    <x v="1"/>
    <s v=""/>
    <s v=""/>
    <s v=""/>
    <s v=""/>
    <n v="1"/>
    <n v="1"/>
    <n v="1"/>
    <s v=""/>
  </r>
  <r>
    <s v="NEE003"/>
    <x v="4"/>
    <s v="솔루션-다회용컵렌탈(P)-광화문빌딩"/>
    <x v="18"/>
    <x v="1"/>
    <x v="1"/>
    <s v=""/>
    <s v=""/>
    <s v=""/>
    <s v=""/>
    <s v=""/>
    <s v=""/>
    <s v=""/>
    <n v="1"/>
  </r>
  <r>
    <s v="NF0006"/>
    <x v="1"/>
    <s v="CLEAN-정기방문청소-서울6"/>
    <x v="2"/>
    <x v="0"/>
    <x v="1"/>
    <s v=""/>
    <n v="1"/>
    <n v="1"/>
    <n v="1"/>
    <n v="1"/>
    <n v="1"/>
    <n v="1"/>
    <n v="1"/>
  </r>
  <r>
    <s v="NF0008"/>
    <x v="1"/>
    <s v="CLEAN-법정의무소독서비스-서울6"/>
    <x v="19"/>
    <x v="0"/>
    <x v="1"/>
    <s v=""/>
    <s v=""/>
    <s v=""/>
    <s v=""/>
    <s v=""/>
    <n v="1"/>
    <n v="1"/>
    <n v="1"/>
  </r>
  <r>
    <s v="NF0011"/>
    <x v="4"/>
    <s v="LIFE-샌디APP-서울6"/>
    <x v="20"/>
    <x v="0"/>
    <x v="1"/>
    <s v=""/>
    <s v=""/>
    <s v=""/>
    <s v=""/>
    <s v=""/>
    <s v=""/>
    <s v=""/>
    <n v="1"/>
  </r>
  <r>
    <s v="NF0014"/>
    <x v="4"/>
    <s v="LIFE-스낵플러스-서울6"/>
    <x v="16"/>
    <x v="0"/>
    <x v="1"/>
    <s v=""/>
    <s v=""/>
    <s v=""/>
    <n v="1"/>
    <n v="1"/>
    <n v="1"/>
    <n v="1"/>
    <n v="1"/>
  </r>
  <r>
    <s v="NF0017"/>
    <x v="4"/>
    <s v="LIFE-원두구독-서울6"/>
    <x v="14"/>
    <x v="0"/>
    <x v="1"/>
    <s v=""/>
    <s v=""/>
    <s v=""/>
    <s v=""/>
    <n v="1"/>
    <s v=""/>
    <s v=""/>
    <s v=""/>
  </r>
  <r>
    <s v="NF0018"/>
    <x v="4"/>
    <s v="LIFE-커피머신렌탈-서울6"/>
    <x v="21"/>
    <x v="0"/>
    <x v="1"/>
    <s v=""/>
    <s v=""/>
    <s v=""/>
    <s v=""/>
    <s v=""/>
    <s v=""/>
    <n v="1"/>
    <n v="1"/>
  </r>
  <r>
    <s v="NF0029"/>
    <x v="1"/>
    <s v="Clean-청소로봇케어-서울6"/>
    <x v="9"/>
    <x v="0"/>
    <x v="1"/>
    <s v=""/>
    <s v=""/>
    <s v=""/>
    <s v=""/>
    <n v="1"/>
    <n v="1"/>
    <n v="1"/>
    <n v="1"/>
  </r>
  <r>
    <s v="NF0033"/>
    <x v="4"/>
    <s v="LIFE-라운지-서울6"/>
    <x v="22"/>
    <x v="0"/>
    <x v="1"/>
    <s v=""/>
    <s v=""/>
    <s v=""/>
    <s v=""/>
    <s v=""/>
    <s v=""/>
    <n v="1"/>
    <s v=""/>
  </r>
  <r>
    <s v="NFB001"/>
    <x v="2"/>
    <s v="솔루션-원격감시-343강남"/>
    <x v="6"/>
    <x v="0"/>
    <x v="1"/>
    <s v=""/>
    <s v=""/>
    <s v=""/>
    <s v=""/>
    <s v=""/>
    <n v="1"/>
    <n v="1"/>
    <n v="1"/>
  </r>
  <r>
    <s v="NFB002"/>
    <x v="2"/>
    <s v="솔루션-AICCTV-343강남"/>
    <x v="7"/>
    <x v="0"/>
    <x v="1"/>
    <s v=""/>
    <s v=""/>
    <s v=""/>
    <s v=""/>
    <s v=""/>
    <n v="1"/>
    <n v="1"/>
    <n v="1"/>
  </r>
  <r>
    <s v="NFB003"/>
    <x v="2"/>
    <s v="솔루션-건물맞춤형공조필터-메리츠타워"/>
    <x v="23"/>
    <x v="0"/>
    <x v="1"/>
    <s v=""/>
    <s v=""/>
    <s v=""/>
    <s v=""/>
    <s v=""/>
    <s v=""/>
    <s v=""/>
    <n v="1"/>
  </r>
  <r>
    <s v="NG0020"/>
    <x v="4"/>
    <s v="LIFE-주차장세차-중부1"/>
    <x v="5"/>
    <x v="0"/>
    <x v="1"/>
    <s v=""/>
    <s v=""/>
    <s v=""/>
    <s v=""/>
    <n v="1"/>
    <s v=""/>
    <n v="1"/>
    <s v=""/>
  </r>
  <r>
    <s v="NGB001"/>
    <x v="2"/>
    <s v="솔루션-AICCTV-펄어비스"/>
    <x v="7"/>
    <x v="0"/>
    <x v="1"/>
    <s v=""/>
    <s v=""/>
    <s v=""/>
    <s v=""/>
    <n v="1"/>
    <n v="1"/>
    <n v="1"/>
    <n v="1"/>
  </r>
  <r>
    <s v="NGB002"/>
    <x v="2"/>
    <s v="솔루션-FM컨설팅(P)-중부1BS"/>
    <x v="11"/>
    <x v="0"/>
    <x v="0"/>
    <s v=""/>
    <s v=""/>
    <s v=""/>
    <s v=""/>
    <s v=""/>
    <s v=""/>
    <s v=""/>
    <n v="1"/>
  </r>
  <r>
    <s v="NGE001"/>
    <x v="4"/>
    <s v="솔루션-커피머신렌탈-LS타워"/>
    <x v="21"/>
    <x v="0"/>
    <x v="1"/>
    <s v=""/>
    <s v=""/>
    <s v=""/>
    <s v=""/>
    <n v="1"/>
    <n v="1"/>
    <n v="1"/>
    <n v="1"/>
  </r>
  <r>
    <s v="NGE002"/>
    <x v="4"/>
    <s v="솔루션-주차장세차-화학오산테크"/>
    <x v="5"/>
    <x v="0"/>
    <x v="1"/>
    <s v=""/>
    <s v=""/>
    <s v=""/>
    <s v=""/>
    <n v="1"/>
    <n v="1"/>
    <s v=""/>
    <n v="1"/>
  </r>
  <r>
    <s v="NGE003"/>
    <x v="4"/>
    <s v="솔루션-샌디APP-펄어비스"/>
    <x v="20"/>
    <x v="0"/>
    <x v="1"/>
    <s v=""/>
    <s v=""/>
    <s v=""/>
    <s v=""/>
    <s v=""/>
    <s v=""/>
    <s v=""/>
    <n v="1"/>
  </r>
  <r>
    <s v="NH0006"/>
    <x v="1"/>
    <s v="CLEAN-정기방문청소-중부2"/>
    <x v="2"/>
    <x v="0"/>
    <x v="1"/>
    <s v=""/>
    <s v=""/>
    <s v=""/>
    <s v=""/>
    <s v=""/>
    <s v=""/>
    <s v=""/>
    <n v="1"/>
  </r>
  <r>
    <s v="NHA001"/>
    <x v="3"/>
    <s v="솔루션-중소형빌딩자산관리-NC백화점"/>
    <x v="4"/>
    <x v="0"/>
    <x v="1"/>
    <s v=""/>
    <s v=""/>
    <s v=""/>
    <s v=""/>
    <s v=""/>
    <s v=""/>
    <n v="1"/>
    <n v="1"/>
  </r>
  <r>
    <s v="NHB001"/>
    <x v="2"/>
    <s v="솔루션-원격감시-픽셀플러스"/>
    <x v="6"/>
    <x v="0"/>
    <x v="1"/>
    <s v=""/>
    <s v=""/>
    <s v=""/>
    <s v=""/>
    <s v=""/>
    <n v="1"/>
    <n v="1"/>
    <n v="1"/>
  </r>
  <r>
    <s v="NHB002"/>
    <x v="2"/>
    <s v="솔루션-기계설비성능점검-LF양주"/>
    <x v="8"/>
    <x v="0"/>
    <x v="0"/>
    <s v=""/>
    <s v=""/>
    <s v=""/>
    <s v=""/>
    <s v=""/>
    <s v=""/>
    <n v="1"/>
    <s v=""/>
  </r>
  <r>
    <s v="NHB003"/>
    <x v="2"/>
    <s v="솔루션-기계설비성능점검-곤지암리조트"/>
    <x v="8"/>
    <x v="1"/>
    <x v="0"/>
    <s v=""/>
    <s v=""/>
    <s v=""/>
    <s v=""/>
    <s v=""/>
    <s v=""/>
    <s v=""/>
    <n v="1"/>
  </r>
  <r>
    <s v="NHC001"/>
    <x v="1"/>
    <s v="솔루션-청소로봇케어-픽셀플러스"/>
    <x v="9"/>
    <x v="0"/>
    <x v="1"/>
    <s v=""/>
    <s v=""/>
    <s v=""/>
    <s v=""/>
    <s v=""/>
    <n v="1"/>
    <n v="1"/>
    <n v="1"/>
  </r>
  <r>
    <s v="NHC002"/>
    <x v="1"/>
    <s v="솔루션-청소로봇케어-중부2"/>
    <x v="9"/>
    <x v="0"/>
    <x v="1"/>
    <s v=""/>
    <s v=""/>
    <s v=""/>
    <s v=""/>
    <s v=""/>
    <n v="1"/>
    <n v="1"/>
    <n v="1"/>
  </r>
  <r>
    <s v="NHC003"/>
    <x v="1"/>
    <s v="솔루션-내자리케어-생활연수원"/>
    <x v="24"/>
    <x v="1"/>
    <x v="0"/>
    <s v=""/>
    <s v=""/>
    <s v=""/>
    <s v=""/>
    <s v=""/>
    <s v=""/>
    <s v=""/>
    <n v="1"/>
  </r>
  <r>
    <s v="NHE001"/>
    <x v="4"/>
    <s v="솔루션-주차장세차-인피니티타워"/>
    <x v="5"/>
    <x v="0"/>
    <x v="1"/>
    <s v=""/>
    <s v=""/>
    <s v=""/>
    <s v=""/>
    <s v=""/>
    <s v=""/>
    <n v="1"/>
    <n v="1"/>
  </r>
  <r>
    <s v="NI0020"/>
    <x v="4"/>
    <s v="LIFE-주차장세차-남부1"/>
    <x v="5"/>
    <x v="0"/>
    <x v="1"/>
    <s v=""/>
    <s v=""/>
    <s v=""/>
    <s v=""/>
    <n v="1"/>
    <s v=""/>
    <s v=""/>
    <s v=""/>
  </r>
  <r>
    <s v="NIB002"/>
    <x v="2"/>
    <s v="솔루션-기계설비성능점검-남부1BS"/>
    <x v="8"/>
    <x v="0"/>
    <x v="0"/>
    <s v=""/>
    <s v=""/>
    <s v=""/>
    <s v=""/>
    <s v=""/>
    <n v="1"/>
    <s v=""/>
    <s v=""/>
  </r>
  <r>
    <s v="NIE002"/>
    <x v="4"/>
    <s v="솔루션-주차장세차-U+대전R&amp;D"/>
    <x v="5"/>
    <x v="0"/>
    <x v="1"/>
    <s v=""/>
    <s v=""/>
    <s v=""/>
    <s v=""/>
    <n v="1"/>
    <n v="1"/>
    <n v="1"/>
    <n v="1"/>
  </r>
  <r>
    <s v="NIE004"/>
    <x v="4"/>
    <s v="솔루션-주차장세차-U+대전탄방"/>
    <x v="5"/>
    <x v="0"/>
    <x v="1"/>
    <s v=""/>
    <s v=""/>
    <s v=""/>
    <s v=""/>
    <s v=""/>
    <s v=""/>
    <n v="1"/>
    <n v="1"/>
  </r>
  <r>
    <s v="NJ0020"/>
    <x v="4"/>
    <s v="LIFE-주차장세차-남부2"/>
    <x v="5"/>
    <x v="0"/>
    <x v="1"/>
    <s v=""/>
    <s v=""/>
    <s v=""/>
    <s v=""/>
    <n v="1"/>
    <s v=""/>
    <s v=""/>
    <s v=""/>
  </r>
  <r>
    <s v="NJB001"/>
    <x v="2"/>
    <s v="솔루션-원격감시-연산갤러리"/>
    <x v="6"/>
    <x v="0"/>
    <x v="1"/>
    <s v=""/>
    <s v=""/>
    <s v=""/>
    <n v="1"/>
    <n v="1"/>
    <n v="1"/>
    <n v="1"/>
    <n v="1"/>
  </r>
  <r>
    <s v="NJE001"/>
    <x v="4"/>
    <s v="솔루션-주차장세차-BIFC"/>
    <x v="5"/>
    <x v="0"/>
    <x v="1"/>
    <s v=""/>
    <s v=""/>
    <s v=""/>
    <s v=""/>
    <n v="1"/>
    <n v="1"/>
    <n v="1"/>
    <n v="1"/>
  </r>
  <r>
    <s v="NJE002"/>
    <x v="4"/>
    <s v="솔루션-주차장세차-NH투자증권부산"/>
    <x v="5"/>
    <x v="0"/>
    <x v="1"/>
    <s v=""/>
    <s v=""/>
    <s v=""/>
    <s v=""/>
    <n v="1"/>
    <n v="1"/>
    <s v=""/>
    <s v=""/>
  </r>
  <r>
    <s v="NJE003"/>
    <x v="4"/>
    <s v="솔루션-주차장세차-U+부산감전"/>
    <x v="5"/>
    <x v="0"/>
    <x v="1"/>
    <s v=""/>
    <s v=""/>
    <s v=""/>
    <s v=""/>
    <n v="1"/>
    <n v="1"/>
    <n v="1"/>
    <n v="1"/>
  </r>
  <r>
    <s v="NJE004"/>
    <x v="4"/>
    <s v="솔루션-주차장세차-U+부산초량"/>
    <x v="5"/>
    <x v="0"/>
    <x v="1"/>
    <s v=""/>
    <s v=""/>
    <s v=""/>
    <s v=""/>
    <n v="1"/>
    <s v=""/>
    <s v=""/>
    <n v="1"/>
  </r>
  <r>
    <s v="NJE005"/>
    <x v="4"/>
    <s v="솔루션-주차장세차-U+대구신천"/>
    <x v="5"/>
    <x v="0"/>
    <x v="1"/>
    <s v=""/>
    <s v=""/>
    <s v=""/>
    <s v=""/>
    <s v=""/>
    <s v=""/>
    <n v="1"/>
    <n v="1"/>
  </r>
  <r>
    <s v="NJE006"/>
    <x v="4"/>
    <s v="솔루션-주차장세차-U+대구효목"/>
    <x v="5"/>
    <x v="0"/>
    <x v="1"/>
    <s v=""/>
    <s v=""/>
    <s v=""/>
    <s v=""/>
    <s v=""/>
    <n v="1"/>
    <n v="1"/>
    <n v="1"/>
  </r>
  <r>
    <s v="NJE007"/>
    <x v="4"/>
    <s v="솔루션-주차장세차-한국교직원공제회대구"/>
    <x v="5"/>
    <x v="0"/>
    <x v="1"/>
    <s v=""/>
    <s v=""/>
    <s v=""/>
    <s v=""/>
    <s v=""/>
    <n v="1"/>
    <n v="1"/>
    <n v="1"/>
  </r>
  <r>
    <s v="NJE008"/>
    <x v="4"/>
    <s v="솔루션-캡슐커피-BIFC"/>
    <x v="25"/>
    <x v="0"/>
    <x v="1"/>
    <s v=""/>
    <s v=""/>
    <s v=""/>
    <s v=""/>
    <s v=""/>
    <n v="1"/>
    <n v="1"/>
    <n v="1"/>
  </r>
  <r>
    <s v="NY0001"/>
    <x v="0"/>
    <s v="PARKING-주차장위탁운영-주차서비스-서울여대"/>
    <x v="1"/>
    <x v="0"/>
    <x v="1"/>
    <s v=""/>
    <s v=""/>
    <s v=""/>
    <s v=""/>
    <s v=""/>
    <s v=""/>
    <n v="1"/>
    <n v="1"/>
  </r>
  <r>
    <s v="NZ0002"/>
    <x v="2"/>
    <s v="SAFE-FM컨설팅-서울5(P)"/>
    <x v="11"/>
    <x v="0"/>
    <x v="0"/>
    <s v=""/>
    <s v=""/>
    <n v="1"/>
    <s v=""/>
    <s v=""/>
    <s v=""/>
    <s v=""/>
    <s v=""/>
  </r>
  <r>
    <s v="NZ0003"/>
    <x v="2"/>
    <s v="솔루션-공기질서비스(P)-BIFC"/>
    <x v="26"/>
    <x v="0"/>
    <x v="1"/>
    <s v=""/>
    <n v="1"/>
    <s v=""/>
    <s v=""/>
    <n v="1"/>
    <n v="1"/>
    <n v="1"/>
    <n v="1"/>
  </r>
  <r>
    <s v="NZ0005"/>
    <x v="1"/>
    <s v="CLEAN-청소로봇케어-서울4"/>
    <x v="9"/>
    <x v="0"/>
    <x v="1"/>
    <s v=""/>
    <s v=""/>
    <n v="1"/>
    <s v=""/>
    <s v=""/>
    <s v=""/>
    <s v=""/>
    <s v=""/>
  </r>
  <r>
    <s v="NZ0006"/>
    <x v="1"/>
    <s v="Clean-청소로봇케어-서울2"/>
    <x v="9"/>
    <x v="0"/>
    <x v="1"/>
    <s v=""/>
    <s v=""/>
    <n v="1"/>
    <n v="1"/>
    <n v="1"/>
    <n v="1"/>
    <n v="1"/>
    <n v="1"/>
  </r>
  <r>
    <s v="NZ0007"/>
    <x v="4"/>
    <s v="솔루션-사내카페-LG마그나"/>
    <x v="27"/>
    <x v="1"/>
    <x v="1"/>
    <s v=""/>
    <s v=""/>
    <s v=""/>
    <s v=""/>
    <n v="1"/>
    <n v="1"/>
    <n v="1"/>
    <n v="1"/>
  </r>
  <r>
    <s v="NZ0008"/>
    <x v="4"/>
    <s v="솔루션-사내카페-삼성화재"/>
    <x v="27"/>
    <x v="0"/>
    <x v="1"/>
    <s v=""/>
    <s v=""/>
    <s v=""/>
    <n v="1"/>
    <n v="1"/>
    <n v="1"/>
    <n v="1"/>
    <n v="1"/>
  </r>
  <r>
    <s v="SF0002"/>
    <x v="0"/>
    <s v="주차-주차장비구매-LF서관"/>
    <x v="0"/>
    <x v="0"/>
    <x v="1"/>
    <n v="1"/>
    <n v="1"/>
    <n v="1"/>
    <n v="1"/>
    <n v="1"/>
    <n v="1"/>
    <n v="1"/>
    <n v="1"/>
  </r>
  <r>
    <s v="SG0006"/>
    <x v="0"/>
    <s v="주차-주차장위탁운영-JW이노스퀘어"/>
    <x v="1"/>
    <x v="0"/>
    <x v="1"/>
    <n v="1"/>
    <n v="1"/>
    <n v="1"/>
    <n v="1"/>
    <n v="1"/>
    <n v="1"/>
    <n v="1"/>
    <n v="1"/>
  </r>
  <r>
    <s v="SH0001"/>
    <x v="0"/>
    <s v="주차-주차장위탁운영-주차서비스-LF스퀘어양주"/>
    <x v="1"/>
    <x v="0"/>
    <x v="1"/>
    <n v="1"/>
    <n v="1"/>
    <n v="1"/>
    <n v="1"/>
    <n v="1"/>
    <n v="1"/>
    <n v="1"/>
    <n v="1"/>
  </r>
  <r>
    <s v="CB0001"/>
    <x v="0"/>
    <s v="주차-파라다이스시티주차시스템납품공사"/>
    <x v="0"/>
    <x v="0"/>
    <x v="0"/>
    <s v=""/>
    <n v="1"/>
    <s v=""/>
    <s v=""/>
    <s v=""/>
    <s v=""/>
    <s v=""/>
    <s v=""/>
  </r>
  <r>
    <s v="CE0001"/>
    <x v="0"/>
    <s v="주차-대림APT주차시스템공사"/>
    <x v="0"/>
    <x v="0"/>
    <x v="0"/>
    <n v="1"/>
    <s v=""/>
    <s v="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110C7-7734-4AF4-B996-404C2B57AD53}" name="피벗 테이블1" cacheId="22" applyNumberFormats="0" applyBorderFormats="0" applyFontFormats="0" applyPatternFormats="0" applyAlignmentFormats="0" applyWidthHeightFormats="1" dataCaption="값" updatedVersion="6" minRefreshableVersion="3" useAutoFormatting="1" rowGrandTotals="0" colGrandTotals="0" itemPrintTitles="1" createdVersion="6" indent="0" compact="0" compactData="0" multipleFieldFilters="0">
  <location ref="A3:E34" firstHeaderRow="1" firstDataRow="2" firstDataCol="3"/>
  <pivotFields count="14">
    <pivotField compact="0" outline="0" showAll="0" defaultSubtotal="0"/>
    <pivotField axis="axisRow" compact="0" outline="0" showAll="0" defaultSubtotal="0">
      <items count="6">
        <item x="3"/>
        <item x="1"/>
        <item x="5"/>
        <item x="4"/>
        <item x="2"/>
        <item x="0"/>
      </items>
    </pivotField>
    <pivotField compact="0" outline="0" showAll="0" defaultSubtotal="0"/>
    <pivotField axis="axisRow" compact="0" outline="0" showAll="0" defaultSubtotal="0">
      <items count="28">
        <item x="7"/>
        <item x="11"/>
        <item x="23"/>
        <item x="26"/>
        <item x="8"/>
        <item x="24"/>
        <item x="18"/>
        <item x="22"/>
        <item x="19"/>
        <item x="3"/>
        <item x="27"/>
        <item x="13"/>
        <item x="12"/>
        <item x="20"/>
        <item x="16"/>
        <item x="6"/>
        <item x="14"/>
        <item x="2"/>
        <item x="0"/>
        <item x="5"/>
        <item x="1"/>
        <item x="4"/>
        <item x="9"/>
        <item x="15"/>
        <item x="10"/>
        <item x="25"/>
        <item x="21"/>
        <item x="17"/>
      </items>
    </pivotField>
    <pivotField axis="axisCol" compact="0" outline="0" showAll="0" defaultSubtotal="0">
      <items count="2">
        <item x="1"/>
        <item x="0"/>
      </items>
    </pivotField>
    <pivotField axis="axisRow" dataField="1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3"/>
    <field x="5"/>
  </rowFields>
  <rowItems count="30">
    <i>
      <x/>
      <x v="21"/>
      <x v="1"/>
    </i>
    <i>
      <x v="1"/>
      <x v="5"/>
      <x/>
    </i>
    <i r="1">
      <x v="8"/>
      <x v="1"/>
    </i>
    <i r="1">
      <x v="17"/>
      <x v="1"/>
    </i>
    <i r="1">
      <x v="22"/>
      <x v="1"/>
    </i>
    <i r="1">
      <x v="24"/>
      <x/>
    </i>
    <i>
      <x v="2"/>
      <x v="11"/>
      <x/>
    </i>
    <i r="1">
      <x v="27"/>
      <x/>
    </i>
    <i>
      <x v="3"/>
      <x v="6"/>
      <x v="1"/>
    </i>
    <i r="1">
      <x v="7"/>
      <x v="1"/>
    </i>
    <i r="1">
      <x v="10"/>
      <x v="1"/>
    </i>
    <i r="1">
      <x v="13"/>
      <x v="1"/>
    </i>
    <i r="1">
      <x v="14"/>
      <x v="1"/>
    </i>
    <i r="1">
      <x v="16"/>
      <x v="1"/>
    </i>
    <i r="1">
      <x v="19"/>
      <x v="1"/>
    </i>
    <i r="1">
      <x v="25"/>
      <x v="1"/>
    </i>
    <i r="1">
      <x v="26"/>
      <x v="1"/>
    </i>
    <i>
      <x v="4"/>
      <x/>
      <x v="1"/>
    </i>
    <i r="1">
      <x v="1"/>
      <x/>
    </i>
    <i r="1">
      <x v="2"/>
      <x v="1"/>
    </i>
    <i r="1">
      <x v="3"/>
      <x v="1"/>
    </i>
    <i r="1">
      <x v="4"/>
      <x/>
    </i>
    <i r="1">
      <x v="9"/>
      <x/>
    </i>
    <i r="2">
      <x v="1"/>
    </i>
    <i r="1">
      <x v="12"/>
      <x/>
    </i>
    <i r="1">
      <x v="15"/>
      <x v="1"/>
    </i>
    <i r="1">
      <x v="23"/>
      <x/>
    </i>
    <i>
      <x v="5"/>
      <x v="18"/>
      <x/>
    </i>
    <i r="2">
      <x v="1"/>
    </i>
    <i r="1">
      <x v="20"/>
      <x v="1"/>
    </i>
  </rowItems>
  <colFields count="1">
    <field x="4"/>
  </colFields>
  <colItems count="2">
    <i>
      <x/>
    </i>
    <i>
      <x v="1"/>
    </i>
  </colItems>
  <dataFields count="1">
    <dataField name="개수 : 리커링" fld="5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93EFA-E813-4310-B3DE-79EC2F87A0EE}" name="피벗 테이블2" cacheId="13" applyNumberFormats="0" applyBorderFormats="0" applyFontFormats="0" applyPatternFormats="0" applyAlignmentFormats="0" applyWidthHeightFormats="1" dataCaption="값" updatedVersion="6" minRefreshableVersion="3" useAutoFormatting="1" rowGrandTotals="0" colGrandTotals="0" itemPrintTitles="1" createdVersion="6" indent="0" compact="0" compactData="0" multipleFieldFilters="0" chartFormat="6">
  <location ref="A6:S38" firstHeaderRow="1" firstDataRow="3" firstDataCol="3"/>
  <pivotFields count="14">
    <pivotField compact="0" outline="0" subtotalTop="0" showAll="0" defaultSubtotal="0"/>
    <pivotField axis="axisRow" compact="0" outline="0" subtotalTop="0" multipleItemSelectionAllowed="1" showAll="0" defaultSubtotal="0">
      <items count="6">
        <item x="3"/>
        <item x="1"/>
        <item x="5"/>
        <item x="4"/>
        <item x="2"/>
        <item x="0"/>
      </items>
    </pivotField>
    <pivotField compact="0" outline="0" subtotalTop="0" showAll="0" defaultSubtotal="0"/>
    <pivotField axis="axisRow" compact="0" outline="0" subtotalTop="0" showAll="0" measureFilter="1" sortType="ascending" defaultSubtotal="0">
      <items count="32">
        <item x="7"/>
        <item x="11"/>
        <item m="1" x="28"/>
        <item x="23"/>
        <item x="26"/>
        <item x="8"/>
        <item x="24"/>
        <item x="18"/>
        <item x="22"/>
        <item x="19"/>
        <item x="3"/>
        <item x="27"/>
        <item x="13"/>
        <item x="12"/>
        <item x="20"/>
        <item x="16"/>
        <item m="1" x="29"/>
        <item x="6"/>
        <item x="14"/>
        <item x="2"/>
        <item m="1" x="31"/>
        <item x="0"/>
        <item x="5"/>
        <item x="1"/>
        <item x="4"/>
        <item x="9"/>
        <item m="1" x="30"/>
        <item x="15"/>
        <item x="10"/>
        <item x="25"/>
        <item x="21"/>
        <item x="17"/>
      </items>
    </pivotField>
    <pivotField axis="axisCol" compact="0" outline="0" subtotalTop="0" showAll="0" defaultSubtotal="0">
      <items count="2">
        <item x="1"/>
        <item x="0"/>
      </items>
    </pivotField>
    <pivotField axis="axisRow" compact="0" outline="0" subtotalTop="0" showAll="0" defaultSubtotal="0">
      <items count="2">
        <item x="0"/>
        <item x="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3">
    <field x="1"/>
    <field x="3"/>
    <field x="5"/>
  </rowFields>
  <rowItems count="30">
    <i>
      <x/>
      <x v="24"/>
      <x v="1"/>
    </i>
    <i>
      <x v="1"/>
      <x v="6"/>
      <x/>
    </i>
    <i r="1">
      <x v="9"/>
      <x v="1"/>
    </i>
    <i r="1">
      <x v="19"/>
      <x v="1"/>
    </i>
    <i r="1">
      <x v="25"/>
      <x v="1"/>
    </i>
    <i r="1">
      <x v="28"/>
      <x/>
    </i>
    <i>
      <x v="2"/>
      <x v="12"/>
      <x/>
    </i>
    <i r="1">
      <x v="31"/>
      <x/>
    </i>
    <i>
      <x v="3"/>
      <x v="7"/>
      <x v="1"/>
    </i>
    <i r="1">
      <x v="8"/>
      <x v="1"/>
    </i>
    <i r="1">
      <x v="11"/>
      <x v="1"/>
    </i>
    <i r="1">
      <x v="14"/>
      <x v="1"/>
    </i>
    <i r="1">
      <x v="15"/>
      <x v="1"/>
    </i>
    <i r="1">
      <x v="18"/>
      <x v="1"/>
    </i>
    <i r="1">
      <x v="22"/>
      <x v="1"/>
    </i>
    <i r="1">
      <x v="29"/>
      <x v="1"/>
    </i>
    <i r="1">
      <x v="30"/>
      <x v="1"/>
    </i>
    <i>
      <x v="4"/>
      <x/>
      <x v="1"/>
    </i>
    <i r="1">
      <x v="1"/>
      <x/>
    </i>
    <i r="1">
      <x v="3"/>
      <x v="1"/>
    </i>
    <i r="1">
      <x v="4"/>
      <x v="1"/>
    </i>
    <i r="1">
      <x v="5"/>
      <x/>
    </i>
    <i r="1">
      <x v="10"/>
      <x/>
    </i>
    <i r="2">
      <x v="1"/>
    </i>
    <i r="1">
      <x v="13"/>
      <x/>
    </i>
    <i r="1">
      <x v="17"/>
      <x v="1"/>
    </i>
    <i r="1">
      <x v="27"/>
      <x/>
    </i>
    <i>
      <x v="5"/>
      <x v="21"/>
      <x/>
    </i>
    <i r="2">
      <x v="1"/>
    </i>
    <i r="1">
      <x v="23"/>
      <x v="1"/>
    </i>
  </rowItems>
  <colFields count="2">
    <field x="4"/>
    <field x="-2"/>
  </colFields>
  <colItems count="16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</colItems>
  <dataFields count="8">
    <dataField name="합계 : 23-11" fld="6" baseField="0" baseItem="0"/>
    <dataField name="합계 : 23-12" fld="7" baseField="0" baseItem="0"/>
    <dataField name="합계 : 24-01" fld="8" baseField="0" baseItem="0"/>
    <dataField name="합계 : 24-02" fld="9" baseField="0" baseItem="0"/>
    <dataField name="합계 : 24-03" fld="10" baseField="0" baseItem="0"/>
    <dataField name="합계 : 24-04" fld="11" baseField="0" baseItem="0"/>
    <dataField name="합계 : 24-05" fld="12" baseField="0" baseItem="0"/>
    <dataField name="합계 : 24-06" fld="13" baseField="0" baseItem="0"/>
  </dataFields>
  <formats count="1">
    <format dxfId="0">
      <pivotArea outline="0" collapsedLevelsAreSubtotals="1" fieldPosition="0"/>
    </format>
  </formats>
  <chartFormats count="60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27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7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0"/>
          </reference>
        </references>
      </pivotArea>
    </chartFormat>
    <chartFormat chart="2" format="27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2" format="28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2" format="28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1"/>
          </reference>
        </references>
      </pivotArea>
    </chartFormat>
    <chartFormat chart="2" format="28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1"/>
          </reference>
        </references>
      </pivotArea>
    </chartFormat>
    <chartFormat chart="2" format="28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1"/>
          </reference>
        </references>
      </pivotArea>
    </chartFormat>
    <chartFormat chart="2" format="284" series="1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2" format="285" series="1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  <chartFormat chart="2" format="286" series="1">
      <pivotArea type="data" outline="0" fieldPosition="0">
        <references count="2">
          <reference field="4294967294" count="1" selected="0">
            <x v="5"/>
          </reference>
          <reference field="4" count="1" selected="0">
            <x v="0"/>
          </reference>
        </references>
      </pivotArea>
    </chartFormat>
    <chartFormat chart="2" format="287" series="1">
      <pivotArea type="data" outline="0" fieldPosition="0">
        <references count="2">
          <reference field="4294967294" count="1" selected="0">
            <x v="5"/>
          </reference>
          <reference field="4" count="1" selected="0">
            <x v="1"/>
          </reference>
        </references>
      </pivotArea>
    </chartFormat>
    <chartFormat chart="2" format="288" series="1">
      <pivotArea type="data" outline="0" fieldPosition="0">
        <references count="2">
          <reference field="4294967294" count="1" selected="0">
            <x v="6"/>
          </reference>
          <reference field="4" count="1" selected="0">
            <x v="0"/>
          </reference>
        </references>
      </pivotArea>
    </chartFormat>
    <chartFormat chart="2" format="289" series="1">
      <pivotArea type="data" outline="0" fieldPosition="0">
        <references count="2">
          <reference field="4294967294" count="1" selected="0">
            <x v="6"/>
          </reference>
          <reference field="4" count="1" selected="0">
            <x v="1"/>
          </reference>
        </references>
      </pivotArea>
    </chartFormat>
    <chartFormat chart="2" format="290" series="1">
      <pivotArea type="data" outline="0" fieldPosition="0">
        <references count="2">
          <reference field="4294967294" count="1" selected="0">
            <x v="7"/>
          </reference>
          <reference field="4" count="1" selected="0">
            <x v="0"/>
          </reference>
        </references>
      </pivotArea>
    </chartFormat>
    <chartFormat chart="2" format="291" series="1">
      <pivotArea type="data" outline="0" fieldPosition="0">
        <references count="2">
          <reference field="4294967294" count="1" selected="0">
            <x v="7"/>
          </reference>
          <reference field="4" count="1" selected="0">
            <x v="1"/>
          </reference>
        </references>
      </pivotArea>
    </chartFormat>
    <chartFormat chart="2" format="292" series="1">
      <pivotArea type="data" outline="0" fieldPosition="0">
        <references count="3">
          <reference field="4294967294" count="1" selected="0">
            <x v="4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2" format="293" series="1">
      <pivotArea type="data" outline="0" fieldPosition="0">
        <references count="3">
          <reference field="4294967294" count="1" selected="0">
            <x v="4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2" format="294" series="1">
      <pivotArea type="data" outline="0" fieldPosition="0">
        <references count="3">
          <reference field="4294967294" count="1" selected="0">
            <x v="4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295" series="1">
      <pivotArea type="data" outline="0" fieldPosition="0">
        <references count="3">
          <reference field="4294967294" count="1" selected="0">
            <x v="4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296" series="1">
      <pivotArea type="data" outline="0" fieldPosition="0">
        <references count="3">
          <reference field="4294967294" count="1" selected="0">
            <x v="5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2" format="297" series="1">
      <pivotArea type="data" outline="0" fieldPosition="0">
        <references count="3">
          <reference field="4294967294" count="1" selected="0">
            <x v="5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2" format="298" series="1">
      <pivotArea type="data" outline="0" fieldPosition="0">
        <references count="3">
          <reference field="4294967294" count="1" selected="0">
            <x v="5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299" series="1">
      <pivotArea type="data" outline="0" fieldPosition="0">
        <references count="3">
          <reference field="4294967294" count="1" selected="0">
            <x v="5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300" series="1">
      <pivotArea type="data" outline="0" fieldPosition="0">
        <references count="3">
          <reference field="4294967294" count="1" selected="0">
            <x v="6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2" format="301" series="1">
      <pivotArea type="data" outline="0" fieldPosition="0">
        <references count="3">
          <reference field="4294967294" count="1" selected="0">
            <x v="6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2" format="302" series="1">
      <pivotArea type="data" outline="0" fieldPosition="0">
        <references count="3">
          <reference field="4294967294" count="1" selected="0">
            <x v="6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303" series="1">
      <pivotArea type="data" outline="0" fieldPosition="0">
        <references count="3">
          <reference field="4294967294" count="1" selected="0">
            <x v="6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304" series="1">
      <pivotArea type="data" outline="0" fieldPosition="0">
        <references count="3">
          <reference field="4294967294" count="1" selected="0">
            <x v="7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2" format="305" series="1">
      <pivotArea type="data" outline="0" fieldPosition="0">
        <references count="3">
          <reference field="4294967294" count="1" selected="0">
            <x v="7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2" format="306" series="1">
      <pivotArea type="data" outline="0" fieldPosition="0">
        <references count="3">
          <reference field="4294967294" count="1" selected="0">
            <x v="7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307" series="1">
      <pivotArea type="data" outline="0" fieldPosition="0">
        <references count="3">
          <reference field="4294967294" count="1" selected="0">
            <x v="7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308" series="1">
      <pivotArea type="data" outline="0" fieldPosition="0">
        <references count="2">
          <reference field="4294967294" count="1" selected="0">
            <x v="4"/>
          </reference>
          <reference field="5" count="1" selected="0">
            <x v="0"/>
          </reference>
        </references>
      </pivotArea>
    </chartFormat>
    <chartFormat chart="2" format="309" series="1">
      <pivotArea type="data" outline="0" fieldPosition="0">
        <references count="2">
          <reference field="4294967294" count="1" selected="0">
            <x v="4"/>
          </reference>
          <reference field="5" count="1" selected="0">
            <x v="1"/>
          </reference>
        </references>
      </pivotArea>
    </chartFormat>
    <chartFormat chart="2" format="310" series="1">
      <pivotArea type="data" outline="0" fieldPosition="0">
        <references count="2">
          <reference field="4294967294" count="1" selected="0">
            <x v="5"/>
          </reference>
          <reference field="5" count="1" selected="0">
            <x v="0"/>
          </reference>
        </references>
      </pivotArea>
    </chartFormat>
    <chartFormat chart="2" format="311" series="1">
      <pivotArea type="data" outline="0" fieldPosition="0">
        <references count="2">
          <reference field="4294967294" count="1" selected="0">
            <x v="5"/>
          </reference>
          <reference field="5" count="1" selected="0">
            <x v="1"/>
          </reference>
        </references>
      </pivotArea>
    </chartFormat>
    <chartFormat chart="2" format="312" series="1">
      <pivotArea type="data" outline="0" fieldPosition="0">
        <references count="2">
          <reference field="4294967294" count="1" selected="0">
            <x v="6"/>
          </reference>
          <reference field="5" count="1" selected="0">
            <x v="0"/>
          </reference>
        </references>
      </pivotArea>
    </chartFormat>
    <chartFormat chart="2" format="313" series="1">
      <pivotArea type="data" outline="0" fieldPosition="0">
        <references count="2">
          <reference field="4294967294" count="1" selected="0">
            <x v="6"/>
          </reference>
          <reference field="5" count="1" selected="0">
            <x v="1"/>
          </reference>
        </references>
      </pivotArea>
    </chartFormat>
    <chartFormat chart="2" format="314" series="1">
      <pivotArea type="data" outline="0" fieldPosition="0">
        <references count="2">
          <reference field="4294967294" count="1" selected="0">
            <x v="7"/>
          </reference>
          <reference field="5" count="1" selected="0">
            <x v="0"/>
          </reference>
        </references>
      </pivotArea>
    </chartFormat>
    <chartFormat chart="2" format="315" series="1">
      <pivotArea type="data" outline="0" fieldPosition="0">
        <references count="2">
          <reference field="4294967294" count="1" selected="0">
            <x v="7"/>
          </reference>
          <reference field="5" count="1" selected="0">
            <x v="1"/>
          </reference>
        </references>
      </pivotArea>
    </chartFormat>
    <chartFormat chart="2" format="316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317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2" format="318" series="1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2" format="31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32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321" series="1">
      <pivotArea type="data" outline="0" fieldPosition="0">
        <references count="3">
          <reference field="4294967294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322" series="1">
      <pivotArea type="data" outline="0" fieldPosition="0">
        <references count="3">
          <reference field="4294967294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323" series="1">
      <pivotArea type="data" outline="0" fieldPosition="0">
        <references count="3">
          <reference field="4294967294" count="1" selected="0">
            <x v="2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324" series="1">
      <pivotArea type="data" outline="0" fieldPosition="0">
        <references count="3">
          <reference field="4294967294" count="1" selected="0">
            <x v="2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325" series="1">
      <pivotArea type="data" outline="0" fieldPosition="0">
        <references count="3">
          <reference field="4294967294" count="1" selected="0">
            <x v="3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326" series="1">
      <pivotArea type="data" outline="0" fieldPosition="0">
        <references count="3">
          <reference field="4294967294" count="1" selected="0">
            <x v="3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2000-E57E-487C-99E0-CD2BA5DFD203}">
  <dimension ref="A3:E34"/>
  <sheetViews>
    <sheetView topLeftCell="A2" workbookViewId="0">
      <selection activeCell="B5" sqref="B5:C34"/>
    </sheetView>
  </sheetViews>
  <sheetFormatPr defaultRowHeight="15"/>
  <cols>
    <col min="1" max="1" width="31.5703125" bestFit="1" customWidth="1"/>
    <col min="2" max="2" width="27.7109375" bestFit="1" customWidth="1"/>
    <col min="3" max="3" width="10.42578125" bestFit="1" customWidth="1"/>
    <col min="4" max="4" width="12" bestFit="1" customWidth="1"/>
    <col min="5" max="5" width="6.5703125" bestFit="1" customWidth="1"/>
    <col min="6" max="21" width="14.28515625" bestFit="1" customWidth="1"/>
    <col min="22" max="25" width="17.7109375" bestFit="1" customWidth="1"/>
  </cols>
  <sheetData>
    <row r="3" spans="1:5">
      <c r="A3" s="7" t="s">
        <v>791</v>
      </c>
      <c r="D3" s="7" t="s">
        <v>681</v>
      </c>
    </row>
    <row r="4" spans="1:5">
      <c r="A4" s="7" t="s">
        <v>724</v>
      </c>
      <c r="B4" s="7" t="s">
        <v>730</v>
      </c>
      <c r="C4" s="7" t="s">
        <v>781</v>
      </c>
      <c r="D4" t="s">
        <v>1</v>
      </c>
      <c r="E4" t="s">
        <v>11</v>
      </c>
    </row>
    <row r="5" spans="1:5">
      <c r="A5" t="s">
        <v>722</v>
      </c>
      <c r="B5" t="s">
        <v>750</v>
      </c>
      <c r="C5" t="s">
        <v>781</v>
      </c>
      <c r="D5" s="41"/>
      <c r="E5" s="41">
        <v>4</v>
      </c>
    </row>
    <row r="6" spans="1:5">
      <c r="A6" t="s">
        <v>720</v>
      </c>
      <c r="B6" t="s">
        <v>748</v>
      </c>
      <c r="C6" t="s">
        <v>780</v>
      </c>
      <c r="D6" s="41">
        <v>1</v>
      </c>
      <c r="E6" s="41"/>
    </row>
    <row r="7" spans="1:5">
      <c r="B7" t="s">
        <v>753</v>
      </c>
      <c r="C7" t="s">
        <v>781</v>
      </c>
      <c r="D7" s="41"/>
      <c r="E7" s="41">
        <v>1</v>
      </c>
    </row>
    <row r="8" spans="1:5">
      <c r="B8" t="s">
        <v>742</v>
      </c>
      <c r="C8" t="s">
        <v>781</v>
      </c>
      <c r="D8" s="41"/>
      <c r="E8" s="41">
        <v>4</v>
      </c>
    </row>
    <row r="9" spans="1:5">
      <c r="B9" t="s">
        <v>131</v>
      </c>
      <c r="C9" t="s">
        <v>781</v>
      </c>
      <c r="D9" s="41"/>
      <c r="E9" s="41">
        <v>7</v>
      </c>
    </row>
    <row r="10" spans="1:5">
      <c r="B10" t="s">
        <v>752</v>
      </c>
      <c r="C10" t="s">
        <v>780</v>
      </c>
      <c r="D10" s="41"/>
      <c r="E10" s="41">
        <v>1</v>
      </c>
    </row>
    <row r="11" spans="1:5">
      <c r="A11" t="s">
        <v>723</v>
      </c>
      <c r="B11" t="s">
        <v>275</v>
      </c>
      <c r="C11" t="s">
        <v>780</v>
      </c>
      <c r="D11" s="41"/>
      <c r="E11" s="41">
        <v>1</v>
      </c>
    </row>
    <row r="12" spans="1:5">
      <c r="B12" t="s">
        <v>417</v>
      </c>
      <c r="C12" t="s">
        <v>780</v>
      </c>
      <c r="D12" s="41"/>
      <c r="E12" s="41">
        <v>1</v>
      </c>
    </row>
    <row r="13" spans="1:5">
      <c r="A13" t="s">
        <v>719</v>
      </c>
      <c r="B13" t="s">
        <v>744</v>
      </c>
      <c r="C13" t="s">
        <v>781</v>
      </c>
      <c r="D13" s="41">
        <v>1</v>
      </c>
      <c r="E13" s="41"/>
    </row>
    <row r="14" spans="1:5">
      <c r="B14" t="s">
        <v>754</v>
      </c>
      <c r="C14" t="s">
        <v>781</v>
      </c>
      <c r="D14" s="41"/>
      <c r="E14" s="41">
        <v>1</v>
      </c>
    </row>
    <row r="15" spans="1:5">
      <c r="B15" t="s">
        <v>165</v>
      </c>
      <c r="C15" t="s">
        <v>781</v>
      </c>
      <c r="D15" s="41">
        <v>1</v>
      </c>
      <c r="E15" s="41">
        <v>1</v>
      </c>
    </row>
    <row r="16" spans="1:5">
      <c r="B16" t="s">
        <v>746</v>
      </c>
      <c r="C16" t="s">
        <v>781</v>
      </c>
      <c r="D16" s="41"/>
      <c r="E16" s="41">
        <v>2</v>
      </c>
    </row>
    <row r="17" spans="1:5">
      <c r="B17" t="s">
        <v>208</v>
      </c>
      <c r="C17" t="s">
        <v>781</v>
      </c>
      <c r="D17" s="41">
        <v>1</v>
      </c>
      <c r="E17" s="41">
        <v>1</v>
      </c>
    </row>
    <row r="18" spans="1:5">
      <c r="B18" t="s">
        <v>418</v>
      </c>
      <c r="C18" t="s">
        <v>781</v>
      </c>
      <c r="D18" s="41"/>
      <c r="E18" s="41">
        <v>2</v>
      </c>
    </row>
    <row r="19" spans="1:5">
      <c r="B19" t="s">
        <v>736</v>
      </c>
      <c r="C19" t="s">
        <v>781</v>
      </c>
      <c r="D19" s="41">
        <v>1</v>
      </c>
      <c r="E19" s="41">
        <v>28</v>
      </c>
    </row>
    <row r="20" spans="1:5">
      <c r="B20" t="s">
        <v>76</v>
      </c>
      <c r="C20" t="s">
        <v>781</v>
      </c>
      <c r="D20" s="41"/>
      <c r="E20" s="41">
        <v>1</v>
      </c>
    </row>
    <row r="21" spans="1:5">
      <c r="B21" t="s">
        <v>747</v>
      </c>
      <c r="C21" t="s">
        <v>781</v>
      </c>
      <c r="D21" s="41"/>
      <c r="E21" s="41">
        <v>2</v>
      </c>
    </row>
    <row r="22" spans="1:5">
      <c r="A22" t="s">
        <v>718</v>
      </c>
      <c r="B22" t="s">
        <v>739</v>
      </c>
      <c r="C22" t="s">
        <v>781</v>
      </c>
      <c r="D22" s="41">
        <v>1</v>
      </c>
      <c r="E22" s="41">
        <v>4</v>
      </c>
    </row>
    <row r="23" spans="1:5">
      <c r="B23" t="s">
        <v>733</v>
      </c>
      <c r="C23" t="s">
        <v>780</v>
      </c>
      <c r="D23" s="41"/>
      <c r="E23" s="41">
        <v>3</v>
      </c>
    </row>
    <row r="24" spans="1:5">
      <c r="B24" t="s">
        <v>745</v>
      </c>
      <c r="C24" t="s">
        <v>781</v>
      </c>
      <c r="D24" s="41"/>
      <c r="E24" s="41">
        <v>1</v>
      </c>
    </row>
    <row r="25" spans="1:5">
      <c r="B25" t="s">
        <v>737</v>
      </c>
      <c r="C25" t="s">
        <v>781</v>
      </c>
      <c r="D25" s="41"/>
      <c r="E25" s="41">
        <v>1</v>
      </c>
    </row>
    <row r="26" spans="1:5">
      <c r="B26" t="s">
        <v>734</v>
      </c>
      <c r="C26" t="s">
        <v>780</v>
      </c>
      <c r="D26" s="41">
        <v>3</v>
      </c>
      <c r="E26" s="41">
        <v>2</v>
      </c>
    </row>
    <row r="27" spans="1:5">
      <c r="B27" t="s">
        <v>735</v>
      </c>
      <c r="C27" t="s">
        <v>780</v>
      </c>
      <c r="D27" s="41"/>
      <c r="E27" s="41">
        <v>2</v>
      </c>
    </row>
    <row r="28" spans="1:5">
      <c r="C28" t="s">
        <v>781</v>
      </c>
      <c r="D28" s="41"/>
      <c r="E28" s="41">
        <v>1</v>
      </c>
    </row>
    <row r="29" spans="1:5">
      <c r="B29" t="s">
        <v>740</v>
      </c>
      <c r="C29" t="s">
        <v>780</v>
      </c>
      <c r="D29" s="41">
        <v>1</v>
      </c>
      <c r="E29" s="41"/>
    </row>
    <row r="30" spans="1:5">
      <c r="B30" t="s">
        <v>42</v>
      </c>
      <c r="C30" t="s">
        <v>781</v>
      </c>
      <c r="D30" s="41"/>
      <c r="E30" s="41">
        <v>5</v>
      </c>
    </row>
    <row r="31" spans="1:5">
      <c r="B31" t="s">
        <v>257</v>
      </c>
      <c r="C31" t="s">
        <v>780</v>
      </c>
      <c r="D31" s="41"/>
      <c r="E31" s="41">
        <v>1</v>
      </c>
    </row>
    <row r="32" spans="1:5">
      <c r="A32" t="s">
        <v>721</v>
      </c>
      <c r="B32" t="s">
        <v>741</v>
      </c>
      <c r="C32" t="s">
        <v>780</v>
      </c>
      <c r="D32" s="41"/>
      <c r="E32" s="41">
        <v>3</v>
      </c>
    </row>
    <row r="33" spans="2:5">
      <c r="C33" t="s">
        <v>781</v>
      </c>
      <c r="D33" s="41">
        <v>3</v>
      </c>
      <c r="E33" s="41">
        <v>1</v>
      </c>
    </row>
    <row r="34" spans="2:5">
      <c r="B34" t="s">
        <v>751</v>
      </c>
      <c r="C34" t="s">
        <v>781</v>
      </c>
      <c r="D34" s="41">
        <v>3</v>
      </c>
      <c r="E34" s="41">
        <v>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C95D-285C-484D-A72A-07CDBB268D7D}">
  <sheetPr filterMode="1"/>
  <dimension ref="A1:N10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L117" sqref="L117"/>
    </sheetView>
  </sheetViews>
  <sheetFormatPr defaultRowHeight="15"/>
  <cols>
    <col min="2" max="2" width="9.28515625" bestFit="1" customWidth="1"/>
    <col min="3" max="3" width="37.7109375" style="8" customWidth="1"/>
    <col min="4" max="4" width="20.42578125" style="8" customWidth="1"/>
    <col min="5" max="6" width="9.140625" style="8" customWidth="1"/>
  </cols>
  <sheetData>
    <row r="1" spans="1:14">
      <c r="A1">
        <f>COUNTA(A3:A107)</f>
        <v>105</v>
      </c>
      <c r="G1" s="2">
        <f>SUBTOTAL(9,G3:G107)</f>
        <v>15</v>
      </c>
      <c r="H1" s="2">
        <f>SUBTOTAL(9,H3:H107)</f>
        <v>16</v>
      </c>
      <c r="I1" s="2">
        <f>SUBTOTAL(9,I3:I107)</f>
        <v>14</v>
      </c>
      <c r="J1" s="2">
        <f>SUBTOTAL(9,J3:J107)</f>
        <v>14</v>
      </c>
      <c r="K1" s="2">
        <f>SUBTOTAL(9,K3:K107)</f>
        <v>14</v>
      </c>
      <c r="L1" s="2">
        <f>SUBTOTAL(9,L3:L107)</f>
        <v>13</v>
      </c>
      <c r="M1" s="2">
        <f>SUBTOTAL(9,M3:M107)</f>
        <v>15</v>
      </c>
      <c r="N1" s="2">
        <f>SUBTOTAL(9,N3:N107)</f>
        <v>15</v>
      </c>
    </row>
    <row r="2" spans="1:14" s="37" customFormat="1">
      <c r="A2" s="32" t="s">
        <v>726</v>
      </c>
      <c r="B2" s="33" t="s">
        <v>724</v>
      </c>
      <c r="C2" s="33" t="s">
        <v>728</v>
      </c>
      <c r="D2" s="33" t="s">
        <v>730</v>
      </c>
      <c r="E2" s="33" t="s">
        <v>771</v>
      </c>
      <c r="F2" s="33" t="s">
        <v>782</v>
      </c>
      <c r="G2" s="42" t="s">
        <v>756</v>
      </c>
      <c r="H2" s="42" t="s">
        <v>755</v>
      </c>
      <c r="I2" s="43" t="s">
        <v>711</v>
      </c>
      <c r="J2" s="44" t="s">
        <v>712</v>
      </c>
      <c r="K2" s="44" t="s">
        <v>713</v>
      </c>
      <c r="L2" s="44" t="s">
        <v>714</v>
      </c>
      <c r="M2" s="44" t="s">
        <v>715</v>
      </c>
      <c r="N2" s="44" t="s">
        <v>716</v>
      </c>
    </row>
    <row r="3" spans="1:14">
      <c r="A3" t="s">
        <v>652</v>
      </c>
      <c r="B3" t="s">
        <v>721</v>
      </c>
      <c r="C3" s="8" t="s">
        <v>757</v>
      </c>
      <c r="D3" s="17" t="s">
        <v>741</v>
      </c>
      <c r="E3" s="8" t="s">
        <v>11</v>
      </c>
      <c r="F3" s="8" t="s">
        <v>780</v>
      </c>
      <c r="G3" t="s">
        <v>0</v>
      </c>
      <c r="H3">
        <v>1</v>
      </c>
      <c r="I3">
        <v>1</v>
      </c>
      <c r="J3" t="s">
        <v>0</v>
      </c>
      <c r="K3" t="s">
        <v>0</v>
      </c>
      <c r="L3" t="s">
        <v>0</v>
      </c>
      <c r="M3" t="s">
        <v>0</v>
      </c>
      <c r="N3" t="s">
        <v>0</v>
      </c>
    </row>
    <row r="4" spans="1:14">
      <c r="A4" t="s">
        <v>563</v>
      </c>
      <c r="B4" t="s">
        <v>721</v>
      </c>
      <c r="C4" s="8" t="s">
        <v>704</v>
      </c>
      <c r="D4" s="17" t="s">
        <v>751</v>
      </c>
      <c r="E4" s="8" t="s">
        <v>1</v>
      </c>
      <c r="F4" s="8" t="s">
        <v>781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>
      <c r="A5" t="s">
        <v>475</v>
      </c>
      <c r="B5" t="s">
        <v>721</v>
      </c>
      <c r="C5" s="8" t="s">
        <v>758</v>
      </c>
      <c r="D5" s="17" t="s">
        <v>741</v>
      </c>
      <c r="E5" s="8" t="s">
        <v>1</v>
      </c>
      <c r="F5" s="19" t="s">
        <v>782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>
      <c r="A6" t="s">
        <v>428</v>
      </c>
      <c r="B6" t="s">
        <v>721</v>
      </c>
      <c r="C6" s="8" t="s">
        <v>759</v>
      </c>
      <c r="D6" s="17" t="s">
        <v>741</v>
      </c>
      <c r="E6" s="8" t="s">
        <v>1</v>
      </c>
      <c r="F6" s="19" t="s">
        <v>782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A7" t="s">
        <v>516</v>
      </c>
      <c r="B7" t="s">
        <v>721</v>
      </c>
      <c r="C7" s="8" t="s">
        <v>699</v>
      </c>
      <c r="D7" s="17" t="s">
        <v>751</v>
      </c>
      <c r="E7" s="8" t="s">
        <v>11</v>
      </c>
      <c r="F7" s="8" t="s">
        <v>781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>
      <c r="A8" t="s">
        <v>466</v>
      </c>
      <c r="B8" t="s">
        <v>721</v>
      </c>
      <c r="C8" s="8" t="s">
        <v>760</v>
      </c>
      <c r="D8" s="17" t="s">
        <v>741</v>
      </c>
      <c r="E8" s="8" t="s">
        <v>1</v>
      </c>
      <c r="F8" s="19" t="s">
        <v>782</v>
      </c>
      <c r="G8">
        <v>1</v>
      </c>
      <c r="H8">
        <v>1</v>
      </c>
      <c r="I8">
        <v>1</v>
      </c>
      <c r="J8">
        <v>1</v>
      </c>
      <c r="K8">
        <v>1</v>
      </c>
      <c r="L8" t="s">
        <v>0</v>
      </c>
      <c r="M8">
        <v>1</v>
      </c>
      <c r="N8">
        <v>1</v>
      </c>
    </row>
    <row r="9" spans="1:14">
      <c r="A9" t="s">
        <v>523</v>
      </c>
      <c r="B9" t="s">
        <v>721</v>
      </c>
      <c r="C9" s="8" t="s">
        <v>700</v>
      </c>
      <c r="D9" s="17" t="s">
        <v>751</v>
      </c>
      <c r="E9" s="8" t="s">
        <v>11</v>
      </c>
      <c r="F9" s="8" t="s">
        <v>781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>
      <c r="A10" t="s">
        <v>438</v>
      </c>
      <c r="B10" t="s">
        <v>721</v>
      </c>
      <c r="C10" s="8" t="s">
        <v>696</v>
      </c>
      <c r="D10" s="17" t="s">
        <v>751</v>
      </c>
      <c r="E10" s="8" t="s">
        <v>1</v>
      </c>
      <c r="F10" s="8" t="s">
        <v>781</v>
      </c>
      <c r="G10">
        <v>1</v>
      </c>
      <c r="H10">
        <v>1</v>
      </c>
      <c r="I10" t="s">
        <v>0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>
      <c r="A11" t="s">
        <v>570</v>
      </c>
      <c r="B11" t="s">
        <v>721</v>
      </c>
      <c r="C11" s="8" t="s">
        <v>705</v>
      </c>
      <c r="D11" s="17" t="s">
        <v>751</v>
      </c>
      <c r="E11" s="8" t="s">
        <v>11</v>
      </c>
      <c r="F11" s="8" t="s">
        <v>781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>
      <c r="A12" t="s">
        <v>556</v>
      </c>
      <c r="B12" t="s">
        <v>721</v>
      </c>
      <c r="C12" s="8" t="s">
        <v>703</v>
      </c>
      <c r="D12" s="17" t="s">
        <v>751</v>
      </c>
      <c r="E12" s="8" t="s">
        <v>1</v>
      </c>
      <c r="F12" s="8" t="s">
        <v>781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hidden="1">
      <c r="A13" t="s">
        <v>291</v>
      </c>
      <c r="B13" t="s">
        <v>720</v>
      </c>
      <c r="C13" s="8" t="s">
        <v>765</v>
      </c>
      <c r="D13" s="17" t="s">
        <v>742</v>
      </c>
      <c r="E13" s="8" t="s">
        <v>11</v>
      </c>
      <c r="F13" s="8" t="s">
        <v>781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>
      <c r="A14" t="s">
        <v>459</v>
      </c>
      <c r="B14" t="s">
        <v>721</v>
      </c>
      <c r="C14" s="8" t="s">
        <v>697</v>
      </c>
      <c r="D14" s="17" t="s">
        <v>751</v>
      </c>
      <c r="E14" s="8" t="s">
        <v>11</v>
      </c>
      <c r="F14" s="8" t="s">
        <v>781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>
      <c r="A15" t="s">
        <v>628</v>
      </c>
      <c r="B15" t="s">
        <v>721</v>
      </c>
      <c r="C15" s="8" t="s">
        <v>706</v>
      </c>
      <c r="D15" s="17" t="s">
        <v>751</v>
      </c>
      <c r="E15" s="8" t="s">
        <v>11</v>
      </c>
      <c r="F15" s="8" t="s">
        <v>781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hidden="1">
      <c r="A16" t="s">
        <v>29</v>
      </c>
      <c r="B16" t="s">
        <v>718</v>
      </c>
      <c r="C16" s="8" t="s">
        <v>761</v>
      </c>
      <c r="D16" s="17" t="s">
        <v>735</v>
      </c>
      <c r="E16" s="8" t="s">
        <v>11</v>
      </c>
      <c r="F16" s="19" t="s">
        <v>782</v>
      </c>
      <c r="G16" t="s">
        <v>0</v>
      </c>
      <c r="H16" t="s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hidden="1">
      <c r="A17" t="s">
        <v>444</v>
      </c>
      <c r="B17" t="s">
        <v>722</v>
      </c>
      <c r="C17" s="8" t="s">
        <v>445</v>
      </c>
      <c r="D17" s="17" t="s">
        <v>750</v>
      </c>
      <c r="E17" s="8" t="s">
        <v>11</v>
      </c>
      <c r="F17" s="8" t="s">
        <v>781</v>
      </c>
      <c r="G17" t="s">
        <v>0</v>
      </c>
      <c r="H17" t="s">
        <v>0</v>
      </c>
      <c r="I17" t="s">
        <v>0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hidden="1">
      <c r="A18" t="s">
        <v>450</v>
      </c>
      <c r="B18" t="s">
        <v>719</v>
      </c>
      <c r="C18" s="8" t="s">
        <v>451</v>
      </c>
      <c r="D18" s="17" t="s">
        <v>736</v>
      </c>
      <c r="E18" s="8" t="s">
        <v>11</v>
      </c>
      <c r="F18" s="8" t="s">
        <v>781</v>
      </c>
      <c r="G18" t="s">
        <v>0</v>
      </c>
      <c r="H18" t="s">
        <v>0</v>
      </c>
      <c r="I18" t="s">
        <v>0</v>
      </c>
      <c r="J18" t="s">
        <v>0</v>
      </c>
      <c r="K18">
        <v>1</v>
      </c>
      <c r="L18">
        <v>1</v>
      </c>
      <c r="M18">
        <v>1</v>
      </c>
      <c r="N18">
        <v>1</v>
      </c>
    </row>
    <row r="19" spans="1:14" hidden="1">
      <c r="A19" t="s">
        <v>94</v>
      </c>
      <c r="B19" t="s">
        <v>718</v>
      </c>
      <c r="C19" s="8" t="s">
        <v>95</v>
      </c>
      <c r="D19" s="17" t="s">
        <v>42</v>
      </c>
      <c r="E19" s="8" t="s">
        <v>11</v>
      </c>
      <c r="F19" s="8" t="s">
        <v>781</v>
      </c>
      <c r="G19" t="s">
        <v>0</v>
      </c>
      <c r="H19" t="s">
        <v>0</v>
      </c>
      <c r="I19" t="s">
        <v>0</v>
      </c>
      <c r="J19" t="s">
        <v>0</v>
      </c>
      <c r="K19">
        <v>1</v>
      </c>
      <c r="L19">
        <v>1</v>
      </c>
      <c r="M19">
        <v>1</v>
      </c>
      <c r="N19">
        <v>1</v>
      </c>
    </row>
    <row r="20" spans="1:14" hidden="1">
      <c r="A20" t="s">
        <v>145</v>
      </c>
      <c r="B20" t="s">
        <v>718</v>
      </c>
      <c r="C20" s="8" t="s">
        <v>146</v>
      </c>
      <c r="D20" s="8" t="s">
        <v>739</v>
      </c>
      <c r="E20" s="8" t="s">
        <v>1</v>
      </c>
      <c r="F20" s="8" t="s">
        <v>781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>
        <v>1</v>
      </c>
      <c r="M20">
        <v>1</v>
      </c>
      <c r="N20">
        <v>1</v>
      </c>
    </row>
    <row r="21" spans="1:14" hidden="1">
      <c r="A21" t="s">
        <v>84</v>
      </c>
      <c r="B21" t="s">
        <v>718</v>
      </c>
      <c r="C21" s="8" t="s">
        <v>85</v>
      </c>
      <c r="D21" s="17" t="s">
        <v>734</v>
      </c>
      <c r="E21" s="8" t="s">
        <v>1</v>
      </c>
      <c r="F21" s="8" t="s">
        <v>780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>
        <v>1</v>
      </c>
    </row>
    <row r="22" spans="1:14" hidden="1">
      <c r="A22" t="s">
        <v>133</v>
      </c>
      <c r="B22" t="s">
        <v>720</v>
      </c>
      <c r="C22" s="8" t="s">
        <v>134</v>
      </c>
      <c r="D22" s="8" t="s">
        <v>131</v>
      </c>
      <c r="E22" s="8" t="s">
        <v>11</v>
      </c>
      <c r="F22" s="8" t="s">
        <v>781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>
        <v>1</v>
      </c>
      <c r="M22">
        <v>1</v>
      </c>
      <c r="N22">
        <v>1</v>
      </c>
    </row>
    <row r="23" spans="1:14" hidden="1">
      <c r="A23" t="s">
        <v>124</v>
      </c>
      <c r="B23" t="s">
        <v>719</v>
      </c>
      <c r="C23" s="8" t="s">
        <v>125</v>
      </c>
      <c r="D23" s="8" t="s">
        <v>736</v>
      </c>
      <c r="E23" s="8" t="s">
        <v>11</v>
      </c>
      <c r="F23" s="8" t="s">
        <v>781</v>
      </c>
      <c r="G23" t="s">
        <v>0</v>
      </c>
      <c r="H23" t="s">
        <v>0</v>
      </c>
      <c r="I23" t="s">
        <v>0</v>
      </c>
      <c r="J23" t="s">
        <v>0</v>
      </c>
      <c r="K23">
        <v>1</v>
      </c>
      <c r="L23">
        <v>1</v>
      </c>
      <c r="M23">
        <v>1</v>
      </c>
      <c r="N23">
        <v>1</v>
      </c>
    </row>
    <row r="24" spans="1:14" hidden="1">
      <c r="A24" t="s">
        <v>118</v>
      </c>
      <c r="B24" t="s">
        <v>719</v>
      </c>
      <c r="C24" s="8" t="s">
        <v>119</v>
      </c>
      <c r="D24" s="8" t="s">
        <v>736</v>
      </c>
      <c r="E24" s="8" t="s">
        <v>11</v>
      </c>
      <c r="F24" s="8" t="s">
        <v>781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>
        <v>1</v>
      </c>
      <c r="M24">
        <v>1</v>
      </c>
      <c r="N24">
        <v>1</v>
      </c>
    </row>
    <row r="25" spans="1:14" hidden="1">
      <c r="A25" t="s">
        <v>110</v>
      </c>
      <c r="B25" t="s">
        <v>719</v>
      </c>
      <c r="C25" s="8" t="s">
        <v>111</v>
      </c>
      <c r="D25" s="8" t="s">
        <v>736</v>
      </c>
      <c r="E25" s="8" t="s">
        <v>11</v>
      </c>
      <c r="F25" s="8" t="s">
        <v>781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>
        <v>1</v>
      </c>
      <c r="M25">
        <v>1</v>
      </c>
      <c r="N25">
        <v>1</v>
      </c>
    </row>
    <row r="26" spans="1:14" hidden="1">
      <c r="A26" t="s">
        <v>102</v>
      </c>
      <c r="B26" t="s">
        <v>719</v>
      </c>
      <c r="C26" s="8" t="s">
        <v>103</v>
      </c>
      <c r="D26" s="8" t="s">
        <v>736</v>
      </c>
      <c r="E26" s="8" t="s">
        <v>11</v>
      </c>
      <c r="F26" s="8" t="s">
        <v>781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>
        <v>1</v>
      </c>
      <c r="M26">
        <v>1</v>
      </c>
      <c r="N26">
        <v>1</v>
      </c>
    </row>
    <row r="27" spans="1:14" hidden="1">
      <c r="A27" t="s">
        <v>492</v>
      </c>
      <c r="B27" t="s">
        <v>718</v>
      </c>
      <c r="C27" s="8" t="s">
        <v>493</v>
      </c>
      <c r="D27" s="8" t="s">
        <v>739</v>
      </c>
      <c r="E27" s="8" t="s">
        <v>11</v>
      </c>
      <c r="F27" s="8" t="s">
        <v>781</v>
      </c>
      <c r="G27" t="s">
        <v>0</v>
      </c>
      <c r="H27" t="s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hidden="1">
      <c r="A28" t="s">
        <v>481</v>
      </c>
      <c r="B28" t="s">
        <v>720</v>
      </c>
      <c r="C28" s="8" t="s">
        <v>482</v>
      </c>
      <c r="D28" s="17" t="s">
        <v>752</v>
      </c>
      <c r="E28" s="8" t="s">
        <v>11</v>
      </c>
      <c r="F28" s="8" t="s">
        <v>780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>
        <v>1</v>
      </c>
    </row>
    <row r="29" spans="1:14" hidden="1">
      <c r="A29" t="s">
        <v>484</v>
      </c>
      <c r="B29" t="s">
        <v>719</v>
      </c>
      <c r="C29" s="8" t="s">
        <v>485</v>
      </c>
      <c r="D29" s="17" t="s">
        <v>736</v>
      </c>
      <c r="E29" s="8" t="s">
        <v>11</v>
      </c>
      <c r="F29" s="8" t="s">
        <v>781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>
        <v>1</v>
      </c>
    </row>
    <row r="30" spans="1:14" hidden="1">
      <c r="A30" t="s">
        <v>190</v>
      </c>
      <c r="B30" t="s">
        <v>718</v>
      </c>
      <c r="C30" s="8" t="s">
        <v>191</v>
      </c>
      <c r="D30" s="17" t="s">
        <v>733</v>
      </c>
      <c r="E30" s="8" t="s">
        <v>11</v>
      </c>
      <c r="F30" s="8" t="s">
        <v>780</v>
      </c>
      <c r="G30" t="s">
        <v>0</v>
      </c>
      <c r="H30" t="s">
        <v>0</v>
      </c>
      <c r="I30" t="s">
        <v>0</v>
      </c>
      <c r="J30">
        <v>1</v>
      </c>
      <c r="K30" t="s">
        <v>0</v>
      </c>
      <c r="L30" t="s">
        <v>0</v>
      </c>
      <c r="M30" t="s">
        <v>0</v>
      </c>
      <c r="N30" t="s">
        <v>0</v>
      </c>
    </row>
    <row r="31" spans="1:14" hidden="1">
      <c r="A31" t="s">
        <v>159</v>
      </c>
      <c r="B31" t="s">
        <v>718</v>
      </c>
      <c r="C31" s="8" t="s">
        <v>160</v>
      </c>
      <c r="D31" s="17" t="s">
        <v>735</v>
      </c>
      <c r="E31" s="8" t="s">
        <v>11</v>
      </c>
      <c r="F31" s="8" t="s">
        <v>780</v>
      </c>
      <c r="G31" t="s">
        <v>0</v>
      </c>
      <c r="H31" t="s">
        <v>0</v>
      </c>
      <c r="I31" t="s">
        <v>0</v>
      </c>
      <c r="J31" t="s">
        <v>0</v>
      </c>
      <c r="K31">
        <v>1</v>
      </c>
      <c r="L31" t="s">
        <v>0</v>
      </c>
      <c r="M31" t="s">
        <v>0</v>
      </c>
      <c r="N31" t="s">
        <v>0</v>
      </c>
    </row>
    <row r="32" spans="1:14" hidden="1">
      <c r="A32" t="s">
        <v>156</v>
      </c>
      <c r="B32" t="s">
        <v>718</v>
      </c>
      <c r="C32" s="8" t="s">
        <v>157</v>
      </c>
      <c r="D32" s="17" t="s">
        <v>734</v>
      </c>
      <c r="E32" s="8" t="s">
        <v>1</v>
      </c>
      <c r="F32" s="8" t="s">
        <v>780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>
        <v>1</v>
      </c>
    </row>
    <row r="33" spans="1:14" hidden="1">
      <c r="A33" t="s">
        <v>171</v>
      </c>
      <c r="B33" t="s">
        <v>718</v>
      </c>
      <c r="C33" s="8" t="s">
        <v>172</v>
      </c>
      <c r="D33" s="17" t="s">
        <v>740</v>
      </c>
      <c r="E33" s="8" t="s">
        <v>1</v>
      </c>
      <c r="F33" s="8" t="s">
        <v>780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>
        <v>1</v>
      </c>
    </row>
    <row r="34" spans="1:14" hidden="1">
      <c r="A34" t="s">
        <v>186</v>
      </c>
      <c r="B34" t="s">
        <v>719</v>
      </c>
      <c r="C34" s="8" t="s">
        <v>187</v>
      </c>
      <c r="D34" s="8" t="s">
        <v>736</v>
      </c>
      <c r="E34" s="8" t="s">
        <v>11</v>
      </c>
      <c r="F34" s="8" t="s">
        <v>781</v>
      </c>
      <c r="G34" t="s">
        <v>0</v>
      </c>
      <c r="H34" t="s">
        <v>0</v>
      </c>
      <c r="I34" t="s">
        <v>0</v>
      </c>
      <c r="J34" t="s">
        <v>0</v>
      </c>
      <c r="K34">
        <v>1</v>
      </c>
      <c r="L34">
        <v>1</v>
      </c>
      <c r="M34">
        <v>1</v>
      </c>
      <c r="N34">
        <v>1</v>
      </c>
    </row>
    <row r="35" spans="1:14" hidden="1">
      <c r="A35" t="s">
        <v>180</v>
      </c>
      <c r="B35" t="s">
        <v>719</v>
      </c>
      <c r="C35" s="8" t="s">
        <v>181</v>
      </c>
      <c r="D35" s="8" t="s">
        <v>736</v>
      </c>
      <c r="E35" s="8" t="s">
        <v>11</v>
      </c>
      <c r="F35" s="8" t="s">
        <v>781</v>
      </c>
      <c r="G35" t="s">
        <v>0</v>
      </c>
      <c r="H35" t="s">
        <v>0</v>
      </c>
      <c r="I35" t="s">
        <v>0</v>
      </c>
      <c r="J35" t="s">
        <v>0</v>
      </c>
      <c r="K35">
        <v>1</v>
      </c>
      <c r="L35">
        <v>1</v>
      </c>
      <c r="M35">
        <v>1</v>
      </c>
      <c r="N35">
        <v>1</v>
      </c>
    </row>
    <row r="36" spans="1:14" hidden="1">
      <c r="A36" t="s">
        <v>183</v>
      </c>
      <c r="B36" t="s">
        <v>719</v>
      </c>
      <c r="C36" s="8" t="s">
        <v>184</v>
      </c>
      <c r="D36" s="8" t="s">
        <v>736</v>
      </c>
      <c r="E36" s="8" t="s">
        <v>11</v>
      </c>
      <c r="F36" s="8" t="s">
        <v>781</v>
      </c>
      <c r="G36" t="s">
        <v>0</v>
      </c>
      <c r="H36" t="s">
        <v>0</v>
      </c>
      <c r="I36" t="s">
        <v>0</v>
      </c>
      <c r="J36" t="s">
        <v>0</v>
      </c>
      <c r="K36">
        <v>1</v>
      </c>
      <c r="L36">
        <v>1</v>
      </c>
      <c r="M36">
        <v>1</v>
      </c>
      <c r="N36">
        <v>1</v>
      </c>
    </row>
    <row r="37" spans="1:14" hidden="1">
      <c r="A37" t="s">
        <v>495</v>
      </c>
      <c r="B37" t="s">
        <v>723</v>
      </c>
      <c r="C37" s="8" t="s">
        <v>496</v>
      </c>
      <c r="D37" s="8" t="s">
        <v>275</v>
      </c>
      <c r="E37" s="8" t="s">
        <v>11</v>
      </c>
      <c r="F37" s="8" t="s">
        <v>780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>
        <v>1</v>
      </c>
      <c r="N37" t="s">
        <v>0</v>
      </c>
    </row>
    <row r="38" spans="1:14" hidden="1">
      <c r="A38" t="s">
        <v>501</v>
      </c>
      <c r="B38" t="s">
        <v>722</v>
      </c>
      <c r="C38" s="8" t="s">
        <v>502</v>
      </c>
      <c r="D38" s="8" t="s">
        <v>750</v>
      </c>
      <c r="E38" s="8" t="s">
        <v>11</v>
      </c>
      <c r="F38" s="8" t="s">
        <v>781</v>
      </c>
      <c r="G38" t="s">
        <v>0</v>
      </c>
      <c r="H38" t="s">
        <v>0</v>
      </c>
      <c r="I38" t="s">
        <v>0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hidden="1">
      <c r="A39" t="s">
        <v>507</v>
      </c>
      <c r="B39" t="s">
        <v>719</v>
      </c>
      <c r="C39" s="8" t="s">
        <v>508</v>
      </c>
      <c r="D39" s="8" t="s">
        <v>418</v>
      </c>
      <c r="E39" s="8" t="s">
        <v>11</v>
      </c>
      <c r="F39" s="8" t="s">
        <v>781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>
        <v>1</v>
      </c>
      <c r="N39" t="s">
        <v>0</v>
      </c>
    </row>
    <row r="40" spans="1:14" hidden="1">
      <c r="A40" t="s">
        <v>214</v>
      </c>
      <c r="B40" t="s">
        <v>718</v>
      </c>
      <c r="C40" s="8" t="s">
        <v>762</v>
      </c>
      <c r="D40" s="8" t="s">
        <v>42</v>
      </c>
      <c r="E40" s="8" t="s">
        <v>11</v>
      </c>
      <c r="F40" s="8" t="s">
        <v>781</v>
      </c>
      <c r="G40" t="s">
        <v>0</v>
      </c>
      <c r="H40" t="s">
        <v>0</v>
      </c>
      <c r="I40" t="s">
        <v>0</v>
      </c>
      <c r="J40" t="s">
        <v>0</v>
      </c>
      <c r="K40">
        <v>1</v>
      </c>
      <c r="L40" t="s">
        <v>0</v>
      </c>
      <c r="M40" t="s">
        <v>0</v>
      </c>
      <c r="N40" t="s">
        <v>0</v>
      </c>
    </row>
    <row r="41" spans="1:14" hidden="1">
      <c r="A41" t="s">
        <v>202</v>
      </c>
      <c r="B41" t="s">
        <v>718</v>
      </c>
      <c r="C41" s="8" t="s">
        <v>203</v>
      </c>
      <c r="D41" s="8" t="s">
        <v>735</v>
      </c>
      <c r="E41" s="8" t="s">
        <v>11</v>
      </c>
      <c r="F41" s="8" t="s">
        <v>780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>
        <v>1</v>
      </c>
      <c r="M41">
        <v>1</v>
      </c>
      <c r="N41">
        <v>1</v>
      </c>
    </row>
    <row r="42" spans="1:14" hidden="1">
      <c r="A42" t="s">
        <v>259</v>
      </c>
      <c r="B42" t="s">
        <v>718</v>
      </c>
      <c r="C42" s="8" t="s">
        <v>260</v>
      </c>
      <c r="D42" s="8" t="s">
        <v>257</v>
      </c>
      <c r="E42" s="8" t="s">
        <v>11</v>
      </c>
      <c r="F42" s="8" t="s">
        <v>780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>
        <v>1</v>
      </c>
      <c r="N42">
        <v>1</v>
      </c>
    </row>
    <row r="43" spans="1:14" hidden="1">
      <c r="A43" t="s">
        <v>401</v>
      </c>
      <c r="B43" t="s">
        <v>718</v>
      </c>
      <c r="C43" s="8" t="s">
        <v>402</v>
      </c>
      <c r="D43" s="8" t="s">
        <v>739</v>
      </c>
      <c r="E43" s="8" t="s">
        <v>11</v>
      </c>
      <c r="F43" s="8" t="s">
        <v>781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>
        <v>1</v>
      </c>
    </row>
    <row r="44" spans="1:14" hidden="1">
      <c r="A44" t="s">
        <v>252</v>
      </c>
      <c r="B44" t="s">
        <v>720</v>
      </c>
      <c r="C44" s="8" t="s">
        <v>253</v>
      </c>
      <c r="D44" s="8" t="s">
        <v>131</v>
      </c>
      <c r="E44" s="8" t="s">
        <v>11</v>
      </c>
      <c r="F44" s="8" t="s">
        <v>781</v>
      </c>
      <c r="G44" t="s">
        <v>0</v>
      </c>
      <c r="H44" t="s">
        <v>0</v>
      </c>
      <c r="I44" t="s">
        <v>0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hidden="1">
      <c r="A45" t="s">
        <v>221</v>
      </c>
      <c r="B45" t="s">
        <v>720</v>
      </c>
      <c r="C45" s="8" t="s">
        <v>222</v>
      </c>
      <c r="D45" s="8" t="s">
        <v>742</v>
      </c>
      <c r="E45" s="8" t="s">
        <v>11</v>
      </c>
      <c r="F45" s="8" t="s">
        <v>781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>
        <v>1</v>
      </c>
    </row>
    <row r="46" spans="1:14" hidden="1">
      <c r="A46" t="s">
        <v>209</v>
      </c>
      <c r="B46" t="s">
        <v>719</v>
      </c>
      <c r="C46" s="8" t="s">
        <v>210</v>
      </c>
      <c r="D46" s="8" t="s">
        <v>208</v>
      </c>
      <c r="E46" s="8" t="s">
        <v>1</v>
      </c>
      <c r="F46" s="8" t="s">
        <v>781</v>
      </c>
      <c r="G46" t="s">
        <v>0</v>
      </c>
      <c r="H46" t="s">
        <v>0</v>
      </c>
      <c r="I46" t="s">
        <v>0</v>
      </c>
      <c r="J46" t="s">
        <v>0</v>
      </c>
      <c r="K46">
        <v>1</v>
      </c>
      <c r="L46">
        <v>1</v>
      </c>
      <c r="M46">
        <v>1</v>
      </c>
      <c r="N46">
        <v>1</v>
      </c>
    </row>
    <row r="47" spans="1:14" hidden="1">
      <c r="A47" t="s">
        <v>240</v>
      </c>
      <c r="B47" t="s">
        <v>719</v>
      </c>
      <c r="C47" s="8" t="s">
        <v>241</v>
      </c>
      <c r="D47" s="8" t="s">
        <v>736</v>
      </c>
      <c r="E47" s="8" t="s">
        <v>11</v>
      </c>
      <c r="F47" s="8" t="s">
        <v>781</v>
      </c>
      <c r="G47" t="s">
        <v>0</v>
      </c>
      <c r="H47" t="s">
        <v>0</v>
      </c>
      <c r="I47" t="s">
        <v>0</v>
      </c>
      <c r="J47" t="s">
        <v>0</v>
      </c>
      <c r="K47">
        <v>1</v>
      </c>
      <c r="L47">
        <v>1</v>
      </c>
      <c r="M47">
        <v>1</v>
      </c>
      <c r="N47">
        <v>1</v>
      </c>
    </row>
    <row r="48" spans="1:14" hidden="1">
      <c r="A48" t="s">
        <v>234</v>
      </c>
      <c r="B48" t="s">
        <v>719</v>
      </c>
      <c r="C48" s="8" t="s">
        <v>235</v>
      </c>
      <c r="D48" s="8" t="s">
        <v>736</v>
      </c>
      <c r="E48" s="8" t="s">
        <v>11</v>
      </c>
      <c r="F48" s="8" t="s">
        <v>781</v>
      </c>
      <c r="G48" t="s">
        <v>0</v>
      </c>
      <c r="H48" t="s">
        <v>0</v>
      </c>
      <c r="I48" t="s">
        <v>0</v>
      </c>
      <c r="J48" t="s">
        <v>0</v>
      </c>
      <c r="K48">
        <v>1</v>
      </c>
      <c r="L48">
        <v>1</v>
      </c>
      <c r="M48">
        <v>1</v>
      </c>
      <c r="N48">
        <v>1</v>
      </c>
    </row>
    <row r="49" spans="1:14" hidden="1">
      <c r="A49" t="s">
        <v>246</v>
      </c>
      <c r="B49" t="s">
        <v>719</v>
      </c>
      <c r="C49" s="8" t="s">
        <v>247</v>
      </c>
      <c r="D49" s="8" t="s">
        <v>736</v>
      </c>
      <c r="E49" s="8" t="s">
        <v>11</v>
      </c>
      <c r="F49" s="8" t="s">
        <v>781</v>
      </c>
      <c r="G49" t="s">
        <v>0</v>
      </c>
      <c r="H49" t="s">
        <v>0</v>
      </c>
      <c r="I49" t="s">
        <v>0</v>
      </c>
      <c r="J49" t="s">
        <v>0</v>
      </c>
      <c r="K49">
        <v>1</v>
      </c>
      <c r="L49">
        <v>1</v>
      </c>
      <c r="M49">
        <v>1</v>
      </c>
      <c r="N49">
        <v>1</v>
      </c>
    </row>
    <row r="50" spans="1:14" hidden="1">
      <c r="A50" t="s">
        <v>396</v>
      </c>
      <c r="B50" t="s">
        <v>719</v>
      </c>
      <c r="C50" s="8" t="s">
        <v>397</v>
      </c>
      <c r="D50" s="8" t="s">
        <v>736</v>
      </c>
      <c r="E50" s="8" t="s">
        <v>11</v>
      </c>
      <c r="F50" s="8" t="s">
        <v>781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>
        <v>1</v>
      </c>
      <c r="M50">
        <v>1</v>
      </c>
      <c r="N50">
        <v>1</v>
      </c>
    </row>
    <row r="51" spans="1:14" hidden="1">
      <c r="A51" t="s">
        <v>529</v>
      </c>
      <c r="B51" t="s">
        <v>722</v>
      </c>
      <c r="C51" s="8" t="s">
        <v>530</v>
      </c>
      <c r="D51" s="8" t="s">
        <v>750</v>
      </c>
      <c r="E51" s="8" t="s">
        <v>11</v>
      </c>
      <c r="F51" s="8" t="s">
        <v>781</v>
      </c>
      <c r="G51" t="s">
        <v>0</v>
      </c>
      <c r="H51" t="s">
        <v>0</v>
      </c>
      <c r="I51" t="s">
        <v>0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hidden="1">
      <c r="A52" t="s">
        <v>535</v>
      </c>
      <c r="B52" t="s">
        <v>723</v>
      </c>
      <c r="C52" s="8" t="s">
        <v>536</v>
      </c>
      <c r="D52" s="8" t="s">
        <v>417</v>
      </c>
      <c r="E52" s="8" t="s">
        <v>11</v>
      </c>
      <c r="F52" s="8" t="s">
        <v>780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>
        <v>1</v>
      </c>
      <c r="M52" t="s">
        <v>0</v>
      </c>
      <c r="N52" t="s">
        <v>0</v>
      </c>
    </row>
    <row r="53" spans="1:14" hidden="1">
      <c r="A53" t="s">
        <v>281</v>
      </c>
      <c r="B53" t="s">
        <v>719</v>
      </c>
      <c r="C53" s="8" t="s">
        <v>282</v>
      </c>
      <c r="D53" s="17" t="s">
        <v>736</v>
      </c>
      <c r="E53" s="8" t="s">
        <v>1</v>
      </c>
      <c r="F53" s="8" t="s">
        <v>781</v>
      </c>
      <c r="G53" t="s">
        <v>0</v>
      </c>
      <c r="H53" t="s">
        <v>0</v>
      </c>
      <c r="I53" t="s">
        <v>0</v>
      </c>
      <c r="J53" t="s">
        <v>0</v>
      </c>
      <c r="K53">
        <v>1</v>
      </c>
      <c r="L53">
        <v>1</v>
      </c>
      <c r="M53">
        <v>1</v>
      </c>
      <c r="N53">
        <v>1</v>
      </c>
    </row>
    <row r="54" spans="1:14" hidden="1">
      <c r="A54" t="s">
        <v>284</v>
      </c>
      <c r="B54" t="s">
        <v>719</v>
      </c>
      <c r="C54" s="8" t="s">
        <v>285</v>
      </c>
      <c r="D54" s="17" t="s">
        <v>736</v>
      </c>
      <c r="E54" s="8" t="s">
        <v>11</v>
      </c>
      <c r="F54" s="8" t="s">
        <v>781</v>
      </c>
      <c r="G54" t="s">
        <v>0</v>
      </c>
      <c r="H54" t="s">
        <v>0</v>
      </c>
      <c r="I54" t="s">
        <v>0</v>
      </c>
      <c r="J54" t="s">
        <v>0</v>
      </c>
      <c r="K54">
        <v>1</v>
      </c>
      <c r="L54">
        <v>1</v>
      </c>
      <c r="M54">
        <v>1</v>
      </c>
      <c r="N54" t="s">
        <v>0</v>
      </c>
    </row>
    <row r="55" spans="1:14" hidden="1">
      <c r="A55" t="s">
        <v>273</v>
      </c>
      <c r="B55" t="s">
        <v>719</v>
      </c>
      <c r="C55" s="8" t="s">
        <v>274</v>
      </c>
      <c r="D55" s="8" t="s">
        <v>744</v>
      </c>
      <c r="E55" s="8" t="s">
        <v>1</v>
      </c>
      <c r="F55" s="8" t="s">
        <v>781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>
        <v>1</v>
      </c>
    </row>
    <row r="56" spans="1:14" hidden="1">
      <c r="A56" t="s">
        <v>589</v>
      </c>
      <c r="B56" t="s">
        <v>720</v>
      </c>
      <c r="C56" s="8" t="s">
        <v>590</v>
      </c>
      <c r="D56" s="8" t="s">
        <v>742</v>
      </c>
      <c r="E56" s="8" t="s">
        <v>11</v>
      </c>
      <c r="F56" s="8" t="s">
        <v>781</v>
      </c>
      <c r="G56" t="s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 hidden="1">
      <c r="A57" t="s">
        <v>583</v>
      </c>
      <c r="B57" t="s">
        <v>720</v>
      </c>
      <c r="C57" s="8" t="s">
        <v>584</v>
      </c>
      <c r="D57" s="8" t="s">
        <v>753</v>
      </c>
      <c r="E57" s="8" t="s">
        <v>11</v>
      </c>
      <c r="F57" s="8" t="s">
        <v>781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>
        <v>1</v>
      </c>
      <c r="M57">
        <v>1</v>
      </c>
      <c r="N57">
        <v>1</v>
      </c>
    </row>
    <row r="58" spans="1:14" hidden="1">
      <c r="A58" t="s">
        <v>606</v>
      </c>
      <c r="B58" t="s">
        <v>719</v>
      </c>
      <c r="C58" s="8" t="s">
        <v>607</v>
      </c>
      <c r="D58" s="8" t="s">
        <v>746</v>
      </c>
      <c r="E58" s="8" t="s">
        <v>11</v>
      </c>
      <c r="F58" s="8" t="s">
        <v>781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>
        <v>1</v>
      </c>
    </row>
    <row r="59" spans="1:14" hidden="1">
      <c r="A59" t="s">
        <v>612</v>
      </c>
      <c r="B59" t="s">
        <v>719</v>
      </c>
      <c r="C59" s="8" t="s">
        <v>613</v>
      </c>
      <c r="D59" s="8" t="s">
        <v>208</v>
      </c>
      <c r="E59" s="8" t="s">
        <v>11</v>
      </c>
      <c r="F59" s="8" t="s">
        <v>781</v>
      </c>
      <c r="G59" t="s">
        <v>0</v>
      </c>
      <c r="H59" t="s">
        <v>0</v>
      </c>
      <c r="I59" t="s">
        <v>0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hidden="1">
      <c r="A60" t="s">
        <v>615</v>
      </c>
      <c r="B60" t="s">
        <v>719</v>
      </c>
      <c r="C60" s="8" t="s">
        <v>616</v>
      </c>
      <c r="D60" s="8" t="s">
        <v>418</v>
      </c>
      <c r="E60" s="8" t="s">
        <v>11</v>
      </c>
      <c r="F60" s="8" t="s">
        <v>781</v>
      </c>
      <c r="G60" t="s">
        <v>0</v>
      </c>
      <c r="H60" t="s">
        <v>0</v>
      </c>
      <c r="I60" t="s">
        <v>0</v>
      </c>
      <c r="J60" t="s">
        <v>0</v>
      </c>
      <c r="K60">
        <v>1</v>
      </c>
      <c r="L60" t="s">
        <v>0</v>
      </c>
      <c r="M60" t="s">
        <v>0</v>
      </c>
      <c r="N60" t="s">
        <v>0</v>
      </c>
    </row>
    <row r="61" spans="1:14" hidden="1">
      <c r="A61" t="s">
        <v>621</v>
      </c>
      <c r="B61" t="s">
        <v>719</v>
      </c>
      <c r="C61" s="8" t="s">
        <v>622</v>
      </c>
      <c r="D61" s="8" t="s">
        <v>747</v>
      </c>
      <c r="E61" s="8" t="s">
        <v>11</v>
      </c>
      <c r="F61" s="8" t="s">
        <v>781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>
        <v>1</v>
      </c>
      <c r="N61">
        <v>1</v>
      </c>
    </row>
    <row r="62" spans="1:14" hidden="1">
      <c r="A62" t="s">
        <v>595</v>
      </c>
      <c r="B62" t="s">
        <v>720</v>
      </c>
      <c r="C62" s="8" t="s">
        <v>596</v>
      </c>
      <c r="D62" s="8" t="s">
        <v>131</v>
      </c>
      <c r="E62" s="8" t="s">
        <v>11</v>
      </c>
      <c r="F62" s="8" t="s">
        <v>781</v>
      </c>
      <c r="G62" t="s">
        <v>0</v>
      </c>
      <c r="H62" t="s">
        <v>0</v>
      </c>
      <c r="I62" t="s">
        <v>0</v>
      </c>
      <c r="J62" t="s">
        <v>0</v>
      </c>
      <c r="K62">
        <v>1</v>
      </c>
      <c r="L62">
        <v>1</v>
      </c>
      <c r="M62">
        <v>1</v>
      </c>
      <c r="N62">
        <v>1</v>
      </c>
    </row>
    <row r="63" spans="1:14" hidden="1">
      <c r="A63" t="s">
        <v>603</v>
      </c>
      <c r="B63" t="s">
        <v>719</v>
      </c>
      <c r="C63" s="8" t="s">
        <v>604</v>
      </c>
      <c r="D63" s="8" t="s">
        <v>754</v>
      </c>
      <c r="E63" s="8" t="s">
        <v>11</v>
      </c>
      <c r="F63" s="8" t="s">
        <v>781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>
        <v>1</v>
      </c>
      <c r="N63" t="s">
        <v>0</v>
      </c>
    </row>
    <row r="64" spans="1:14" hidden="1">
      <c r="A64" t="s">
        <v>312</v>
      </c>
      <c r="B64" t="s">
        <v>718</v>
      </c>
      <c r="C64" s="8" t="s">
        <v>313</v>
      </c>
      <c r="D64" s="8" t="s">
        <v>42</v>
      </c>
      <c r="E64" s="8" t="s">
        <v>11</v>
      </c>
      <c r="F64" s="8" t="s">
        <v>781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>
        <v>1</v>
      </c>
      <c r="M64">
        <v>1</v>
      </c>
      <c r="N64">
        <v>1</v>
      </c>
    </row>
    <row r="65" spans="1:14" hidden="1">
      <c r="A65" t="s">
        <v>320</v>
      </c>
      <c r="B65" t="s">
        <v>718</v>
      </c>
      <c r="C65" s="8" t="s">
        <v>321</v>
      </c>
      <c r="D65" s="8" t="s">
        <v>739</v>
      </c>
      <c r="E65" s="8" t="s">
        <v>11</v>
      </c>
      <c r="F65" s="8" t="s">
        <v>781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>
        <v>1</v>
      </c>
      <c r="M65">
        <v>1</v>
      </c>
      <c r="N65">
        <v>1</v>
      </c>
    </row>
    <row r="66" spans="1:14" hidden="1">
      <c r="A66" t="s">
        <v>297</v>
      </c>
      <c r="B66" t="s">
        <v>718</v>
      </c>
      <c r="C66" s="8" t="s">
        <v>298</v>
      </c>
      <c r="D66" s="8" t="s">
        <v>745</v>
      </c>
      <c r="E66" s="8" t="s">
        <v>11</v>
      </c>
      <c r="F66" s="8" t="s">
        <v>781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>
        <v>1</v>
      </c>
    </row>
    <row r="67" spans="1:14" hidden="1">
      <c r="A67" t="s">
        <v>649</v>
      </c>
      <c r="B67" t="s">
        <v>719</v>
      </c>
      <c r="C67" s="8" t="s">
        <v>650</v>
      </c>
      <c r="D67" s="17" t="s">
        <v>736</v>
      </c>
      <c r="E67" s="8" t="s">
        <v>11</v>
      </c>
      <c r="F67" s="8" t="s">
        <v>781</v>
      </c>
      <c r="G67" t="s">
        <v>0</v>
      </c>
      <c r="H67" t="s">
        <v>0</v>
      </c>
      <c r="I67" t="s">
        <v>0</v>
      </c>
      <c r="J67" t="s">
        <v>0</v>
      </c>
      <c r="K67">
        <v>1</v>
      </c>
      <c r="L67" t="s">
        <v>0</v>
      </c>
      <c r="M67">
        <v>1</v>
      </c>
      <c r="N67" t="s">
        <v>0</v>
      </c>
    </row>
    <row r="68" spans="1:14" hidden="1">
      <c r="A68" t="s">
        <v>344</v>
      </c>
      <c r="B68" t="s">
        <v>718</v>
      </c>
      <c r="C68" s="8" t="s">
        <v>345</v>
      </c>
      <c r="D68" s="8" t="s">
        <v>739</v>
      </c>
      <c r="E68" s="8" t="s">
        <v>11</v>
      </c>
      <c r="F68" s="8" t="s">
        <v>781</v>
      </c>
      <c r="G68" t="s">
        <v>0</v>
      </c>
      <c r="H68" t="s">
        <v>0</v>
      </c>
      <c r="I68" t="s">
        <v>0</v>
      </c>
      <c r="J68" t="s">
        <v>0</v>
      </c>
      <c r="K68">
        <v>1</v>
      </c>
      <c r="L68">
        <v>1</v>
      </c>
      <c r="M68">
        <v>1</v>
      </c>
      <c r="N68">
        <v>1</v>
      </c>
    </row>
    <row r="69" spans="1:14" hidden="1">
      <c r="A69" t="s">
        <v>351</v>
      </c>
      <c r="B69" t="s">
        <v>718</v>
      </c>
      <c r="C69" s="8" t="s">
        <v>352</v>
      </c>
      <c r="D69" s="8" t="s">
        <v>733</v>
      </c>
      <c r="E69" s="8" t="s">
        <v>11</v>
      </c>
      <c r="F69" s="8" t="s">
        <v>780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>
        <v>1</v>
      </c>
    </row>
    <row r="70" spans="1:14" hidden="1">
      <c r="A70" t="s">
        <v>338</v>
      </c>
      <c r="B70" t="s">
        <v>719</v>
      </c>
      <c r="C70" s="8" t="s">
        <v>339</v>
      </c>
      <c r="D70" s="8" t="s">
        <v>747</v>
      </c>
      <c r="E70" s="8" t="s">
        <v>11</v>
      </c>
      <c r="F70" s="8" t="s">
        <v>781</v>
      </c>
      <c r="G70" t="s">
        <v>0</v>
      </c>
      <c r="H70" t="s">
        <v>0</v>
      </c>
      <c r="I70" t="s">
        <v>0</v>
      </c>
      <c r="J70" t="s">
        <v>0</v>
      </c>
      <c r="K70">
        <v>1</v>
      </c>
      <c r="L70">
        <v>1</v>
      </c>
      <c r="M70">
        <v>1</v>
      </c>
      <c r="N70">
        <v>1</v>
      </c>
    </row>
    <row r="71" spans="1:14" hidden="1">
      <c r="A71" t="s">
        <v>332</v>
      </c>
      <c r="B71" t="s">
        <v>719</v>
      </c>
      <c r="C71" s="8" t="s">
        <v>767</v>
      </c>
      <c r="D71" s="17" t="s">
        <v>736</v>
      </c>
      <c r="E71" s="8" t="s">
        <v>11</v>
      </c>
      <c r="F71" s="8" t="s">
        <v>781</v>
      </c>
      <c r="G71" t="s">
        <v>0</v>
      </c>
      <c r="H71" t="s">
        <v>0</v>
      </c>
      <c r="I71" t="s">
        <v>0</v>
      </c>
      <c r="J71" t="s">
        <v>0</v>
      </c>
      <c r="K71">
        <v>1</v>
      </c>
      <c r="L71">
        <v>1</v>
      </c>
      <c r="M71" t="s">
        <v>0</v>
      </c>
      <c r="N71">
        <v>1</v>
      </c>
    </row>
    <row r="72" spans="1:14" hidden="1">
      <c r="A72" t="s">
        <v>329</v>
      </c>
      <c r="B72" t="s">
        <v>719</v>
      </c>
      <c r="C72" s="8" t="s">
        <v>330</v>
      </c>
      <c r="D72" s="8" t="s">
        <v>746</v>
      </c>
      <c r="E72" s="8" t="s">
        <v>11</v>
      </c>
      <c r="F72" s="8" t="s">
        <v>781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>
        <v>1</v>
      </c>
    </row>
    <row r="73" spans="1:14" hidden="1">
      <c r="A73" t="s">
        <v>667</v>
      </c>
      <c r="B73" t="s">
        <v>720</v>
      </c>
      <c r="C73" s="8" t="s">
        <v>668</v>
      </c>
      <c r="D73" s="8" t="s">
        <v>742</v>
      </c>
      <c r="E73" s="8" t="s">
        <v>11</v>
      </c>
      <c r="F73" s="8" t="s">
        <v>781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>
        <v>1</v>
      </c>
    </row>
    <row r="74" spans="1:14" hidden="1">
      <c r="A74" t="s">
        <v>414</v>
      </c>
      <c r="B74" t="s">
        <v>722</v>
      </c>
      <c r="C74" s="8" t="s">
        <v>415</v>
      </c>
      <c r="D74" s="8" t="s">
        <v>750</v>
      </c>
      <c r="E74" s="8" t="s">
        <v>11</v>
      </c>
      <c r="F74" s="8" t="s">
        <v>781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>
        <v>1</v>
      </c>
      <c r="N74">
        <v>1</v>
      </c>
    </row>
    <row r="75" spans="1:14" hidden="1">
      <c r="A75" t="s">
        <v>373</v>
      </c>
      <c r="B75" t="s">
        <v>718</v>
      </c>
      <c r="C75" s="8" t="s">
        <v>374</v>
      </c>
      <c r="D75" s="8" t="s">
        <v>42</v>
      </c>
      <c r="E75" s="8" t="s">
        <v>11</v>
      </c>
      <c r="F75" s="8" t="s">
        <v>781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>
        <v>1</v>
      </c>
      <c r="M75">
        <v>1</v>
      </c>
      <c r="N75">
        <v>1</v>
      </c>
    </row>
    <row r="76" spans="1:14" hidden="1">
      <c r="A76" t="s">
        <v>362</v>
      </c>
      <c r="B76" t="s">
        <v>718</v>
      </c>
      <c r="C76" s="8" t="s">
        <v>363</v>
      </c>
      <c r="D76" s="8" t="s">
        <v>734</v>
      </c>
      <c r="E76" s="8" t="s">
        <v>11</v>
      </c>
      <c r="F76" s="8" t="s">
        <v>780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>
        <v>1</v>
      </c>
      <c r="N76" t="s">
        <v>0</v>
      </c>
    </row>
    <row r="77" spans="1:14" hidden="1">
      <c r="A77" t="s">
        <v>357</v>
      </c>
      <c r="B77" t="s">
        <v>718</v>
      </c>
      <c r="C77" s="8" t="s">
        <v>358</v>
      </c>
      <c r="D77" s="8" t="s">
        <v>734</v>
      </c>
      <c r="E77" s="8" t="s">
        <v>1</v>
      </c>
      <c r="F77" s="8" t="s">
        <v>780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>
        <v>1</v>
      </c>
    </row>
    <row r="78" spans="1:14" hidden="1">
      <c r="A78" t="s">
        <v>385</v>
      </c>
      <c r="B78" t="s">
        <v>720</v>
      </c>
      <c r="C78" s="8" t="s">
        <v>386</v>
      </c>
      <c r="D78" s="8" t="s">
        <v>131</v>
      </c>
      <c r="E78" s="8" t="s">
        <v>11</v>
      </c>
      <c r="F78" s="8" t="s">
        <v>781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>
        <v>1</v>
      </c>
      <c r="M78">
        <v>1</v>
      </c>
      <c r="N78">
        <v>1</v>
      </c>
    </row>
    <row r="79" spans="1:14" hidden="1">
      <c r="A79" t="s">
        <v>379</v>
      </c>
      <c r="B79" t="s">
        <v>720</v>
      </c>
      <c r="C79" s="8" t="s">
        <v>380</v>
      </c>
      <c r="D79" s="8" t="s">
        <v>131</v>
      </c>
      <c r="E79" s="8" t="s">
        <v>11</v>
      </c>
      <c r="F79" s="8" t="s">
        <v>781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>
        <v>1</v>
      </c>
      <c r="M79">
        <v>1</v>
      </c>
      <c r="N79">
        <v>1</v>
      </c>
    </row>
    <row r="80" spans="1:14" hidden="1">
      <c r="A80" t="s">
        <v>367</v>
      </c>
      <c r="B80" t="s">
        <v>720</v>
      </c>
      <c r="C80" s="8" t="s">
        <v>368</v>
      </c>
      <c r="D80" s="8" t="s">
        <v>748</v>
      </c>
      <c r="E80" s="8" t="s">
        <v>1</v>
      </c>
      <c r="F80" s="8" t="s">
        <v>780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>
        <v>1</v>
      </c>
    </row>
    <row r="81" spans="1:14" hidden="1">
      <c r="A81" t="s">
        <v>406</v>
      </c>
      <c r="B81" t="s">
        <v>719</v>
      </c>
      <c r="C81" s="8" t="s">
        <v>407</v>
      </c>
      <c r="D81" s="17" t="s">
        <v>736</v>
      </c>
      <c r="E81" s="8" t="s">
        <v>11</v>
      </c>
      <c r="F81" s="8" t="s">
        <v>781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>
        <v>1</v>
      </c>
      <c r="N81">
        <v>1</v>
      </c>
    </row>
    <row r="82" spans="1:14" hidden="1">
      <c r="A82" t="s">
        <v>420</v>
      </c>
      <c r="B82" t="s">
        <v>719</v>
      </c>
      <c r="C82" s="8" t="s">
        <v>421</v>
      </c>
      <c r="D82" s="17" t="s">
        <v>736</v>
      </c>
      <c r="E82" s="8" t="s">
        <v>11</v>
      </c>
      <c r="F82" s="8" t="s">
        <v>781</v>
      </c>
      <c r="G82" t="s">
        <v>0</v>
      </c>
      <c r="H82" t="s">
        <v>0</v>
      </c>
      <c r="I82" t="s">
        <v>0</v>
      </c>
      <c r="J82" t="s">
        <v>0</v>
      </c>
      <c r="K82">
        <v>1</v>
      </c>
      <c r="L82" t="s">
        <v>0</v>
      </c>
      <c r="M82" t="s">
        <v>0</v>
      </c>
      <c r="N82" t="s">
        <v>0</v>
      </c>
    </row>
    <row r="83" spans="1:14" hidden="1">
      <c r="A83" t="s">
        <v>9</v>
      </c>
      <c r="B83" t="s">
        <v>718</v>
      </c>
      <c r="C83" s="8" t="s">
        <v>10</v>
      </c>
      <c r="D83" s="8" t="s">
        <v>734</v>
      </c>
      <c r="E83" s="8" t="s">
        <v>11</v>
      </c>
      <c r="F83" s="8" t="s">
        <v>780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>
        <v>1</v>
      </c>
      <c r="M83" t="s">
        <v>0</v>
      </c>
      <c r="N83" t="s">
        <v>0</v>
      </c>
    </row>
    <row r="84" spans="1:14" hidden="1">
      <c r="A84" t="s">
        <v>23</v>
      </c>
      <c r="B84" t="s">
        <v>719</v>
      </c>
      <c r="C84" s="8" t="s">
        <v>768</v>
      </c>
      <c r="D84" s="17" t="s">
        <v>736</v>
      </c>
      <c r="E84" s="8" t="s">
        <v>11</v>
      </c>
      <c r="F84" s="8" t="s">
        <v>781</v>
      </c>
      <c r="G84" t="s">
        <v>0</v>
      </c>
      <c r="H84" t="s">
        <v>0</v>
      </c>
      <c r="I84" t="s">
        <v>0</v>
      </c>
      <c r="J84" t="s">
        <v>0</v>
      </c>
      <c r="K84">
        <v>1</v>
      </c>
      <c r="L84">
        <v>1</v>
      </c>
      <c r="M84">
        <v>1</v>
      </c>
      <c r="N84">
        <v>1</v>
      </c>
    </row>
    <row r="85" spans="1:14" hidden="1">
      <c r="A85" t="s">
        <v>20</v>
      </c>
      <c r="B85" t="s">
        <v>719</v>
      </c>
      <c r="C85" s="8" t="s">
        <v>21</v>
      </c>
      <c r="D85" s="8" t="s">
        <v>736</v>
      </c>
      <c r="E85" s="8" t="s">
        <v>11</v>
      </c>
      <c r="F85" s="8" t="s">
        <v>781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>
        <v>1</v>
      </c>
      <c r="N85">
        <v>1</v>
      </c>
    </row>
    <row r="86" spans="1:14" hidden="1">
      <c r="A86" t="s">
        <v>431</v>
      </c>
      <c r="B86" t="s">
        <v>719</v>
      </c>
      <c r="C86" s="8" t="s">
        <v>432</v>
      </c>
      <c r="D86" s="8" t="s">
        <v>736</v>
      </c>
      <c r="E86" s="8" t="s">
        <v>11</v>
      </c>
      <c r="F86" s="8" t="s">
        <v>781</v>
      </c>
      <c r="G86" t="s">
        <v>0</v>
      </c>
      <c r="H86" t="s">
        <v>0</v>
      </c>
      <c r="I86" t="s">
        <v>0</v>
      </c>
      <c r="J86" t="s">
        <v>0</v>
      </c>
      <c r="K86">
        <v>1</v>
      </c>
      <c r="L86" t="s">
        <v>0</v>
      </c>
      <c r="M86" t="s">
        <v>0</v>
      </c>
      <c r="N86" t="s">
        <v>0</v>
      </c>
    </row>
    <row r="87" spans="1:14" hidden="1">
      <c r="A87" t="s">
        <v>43</v>
      </c>
      <c r="B87" t="s">
        <v>718</v>
      </c>
      <c r="C87" s="8" t="s">
        <v>763</v>
      </c>
      <c r="D87" s="8" t="s">
        <v>42</v>
      </c>
      <c r="E87" s="8" t="s">
        <v>11</v>
      </c>
      <c r="F87" s="8" t="s">
        <v>781</v>
      </c>
      <c r="G87" t="s">
        <v>0</v>
      </c>
      <c r="H87" t="s">
        <v>0</v>
      </c>
      <c r="I87" t="s">
        <v>0</v>
      </c>
      <c r="J87">
        <v>1</v>
      </c>
      <c r="K87">
        <v>1</v>
      </c>
      <c r="L87">
        <v>1</v>
      </c>
      <c r="M87">
        <v>1</v>
      </c>
      <c r="N87">
        <v>1</v>
      </c>
    </row>
    <row r="88" spans="1:14" hidden="1">
      <c r="A88" t="s">
        <v>50</v>
      </c>
      <c r="B88" t="s">
        <v>719</v>
      </c>
      <c r="C88" s="8" t="s">
        <v>51</v>
      </c>
      <c r="D88" s="8" t="s">
        <v>736</v>
      </c>
      <c r="E88" s="8" t="s">
        <v>11</v>
      </c>
      <c r="F88" s="8" t="s">
        <v>781</v>
      </c>
      <c r="G88" t="s">
        <v>0</v>
      </c>
      <c r="H88" t="s">
        <v>0</v>
      </c>
      <c r="I88" t="s">
        <v>0</v>
      </c>
      <c r="J88" t="s">
        <v>0</v>
      </c>
      <c r="K88">
        <v>1</v>
      </c>
      <c r="L88">
        <v>1</v>
      </c>
      <c r="M88">
        <v>1</v>
      </c>
      <c r="N88">
        <v>1</v>
      </c>
    </row>
    <row r="89" spans="1:14" hidden="1">
      <c r="A89" t="s">
        <v>53</v>
      </c>
      <c r="B89" t="s">
        <v>719</v>
      </c>
      <c r="C89" s="8" t="s">
        <v>54</v>
      </c>
      <c r="D89" s="8" t="s">
        <v>736</v>
      </c>
      <c r="E89" s="8" t="s">
        <v>11</v>
      </c>
      <c r="F89" s="8" t="s">
        <v>781</v>
      </c>
      <c r="G89" t="s">
        <v>0</v>
      </c>
      <c r="H89" t="s">
        <v>0</v>
      </c>
      <c r="I89" t="s">
        <v>0</v>
      </c>
      <c r="J89" t="s">
        <v>0</v>
      </c>
      <c r="K89">
        <v>1</v>
      </c>
      <c r="L89">
        <v>1</v>
      </c>
      <c r="M89" t="s">
        <v>0</v>
      </c>
      <c r="N89" t="s">
        <v>0</v>
      </c>
    </row>
    <row r="90" spans="1:14" hidden="1">
      <c r="A90" t="s">
        <v>66</v>
      </c>
      <c r="B90" t="s">
        <v>719</v>
      </c>
      <c r="C90" s="8" t="s">
        <v>67</v>
      </c>
      <c r="D90" s="8" t="s">
        <v>736</v>
      </c>
      <c r="E90" s="8" t="s">
        <v>11</v>
      </c>
      <c r="F90" s="8" t="s">
        <v>781</v>
      </c>
      <c r="G90" t="s">
        <v>0</v>
      </c>
      <c r="H90" t="s">
        <v>0</v>
      </c>
      <c r="I90" t="s">
        <v>0</v>
      </c>
      <c r="J90" t="s">
        <v>0</v>
      </c>
      <c r="K90">
        <v>1</v>
      </c>
      <c r="L90">
        <v>1</v>
      </c>
      <c r="M90">
        <v>1</v>
      </c>
      <c r="N90">
        <v>1</v>
      </c>
    </row>
    <row r="91" spans="1:14" hidden="1">
      <c r="A91" t="s">
        <v>69</v>
      </c>
      <c r="B91" t="s">
        <v>719</v>
      </c>
      <c r="C91" s="8" t="s">
        <v>70</v>
      </c>
      <c r="D91" s="8" t="s">
        <v>736</v>
      </c>
      <c r="E91" s="8" t="s">
        <v>11</v>
      </c>
      <c r="F91" s="8" t="s">
        <v>781</v>
      </c>
      <c r="G91" t="s">
        <v>0</v>
      </c>
      <c r="H91" t="s">
        <v>0</v>
      </c>
      <c r="I91" t="s">
        <v>0</v>
      </c>
      <c r="J91" t="s">
        <v>0</v>
      </c>
      <c r="K91">
        <v>1</v>
      </c>
      <c r="L91" t="s">
        <v>0</v>
      </c>
      <c r="M91" t="s">
        <v>0</v>
      </c>
      <c r="N91">
        <v>1</v>
      </c>
    </row>
    <row r="92" spans="1:14" hidden="1">
      <c r="A92" t="s">
        <v>58</v>
      </c>
      <c r="B92" t="s">
        <v>719</v>
      </c>
      <c r="C92" s="8" t="s">
        <v>59</v>
      </c>
      <c r="D92" s="8" t="s">
        <v>736</v>
      </c>
      <c r="E92" s="8" t="s">
        <v>11</v>
      </c>
      <c r="F92" s="8" t="s">
        <v>781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>
        <v>1</v>
      </c>
      <c r="N92">
        <v>1</v>
      </c>
    </row>
    <row r="93" spans="1:14" hidden="1">
      <c r="A93" t="s">
        <v>63</v>
      </c>
      <c r="B93" t="s">
        <v>719</v>
      </c>
      <c r="C93" s="8" t="s">
        <v>64</v>
      </c>
      <c r="D93" s="8" t="s">
        <v>736</v>
      </c>
      <c r="E93" s="8" t="s">
        <v>11</v>
      </c>
      <c r="F93" s="8" t="s">
        <v>781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>
        <v>1</v>
      </c>
      <c r="M93">
        <v>1</v>
      </c>
      <c r="N93">
        <v>1</v>
      </c>
    </row>
    <row r="94" spans="1:14" hidden="1">
      <c r="A94" t="s">
        <v>47</v>
      </c>
      <c r="B94" t="s">
        <v>719</v>
      </c>
      <c r="C94" s="8" t="s">
        <v>48</v>
      </c>
      <c r="D94" s="8" t="s">
        <v>736</v>
      </c>
      <c r="E94" s="8" t="s">
        <v>11</v>
      </c>
      <c r="F94" s="8" t="s">
        <v>781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>
        <v>1</v>
      </c>
      <c r="M94">
        <v>1</v>
      </c>
      <c r="N94">
        <v>1</v>
      </c>
    </row>
    <row r="95" spans="1:14" hidden="1">
      <c r="A95" t="s">
        <v>78</v>
      </c>
      <c r="B95" t="s">
        <v>719</v>
      </c>
      <c r="C95" s="8" t="s">
        <v>79</v>
      </c>
      <c r="D95" s="8" t="s">
        <v>76</v>
      </c>
      <c r="E95" s="8" t="s">
        <v>11</v>
      </c>
      <c r="F95" s="8" t="s">
        <v>781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>
        <v>1</v>
      </c>
      <c r="M95">
        <v>1</v>
      </c>
      <c r="N95">
        <v>1</v>
      </c>
    </row>
    <row r="96" spans="1:14">
      <c r="A96" t="s">
        <v>545</v>
      </c>
      <c r="B96" t="s">
        <v>721</v>
      </c>
      <c r="C96" s="8" t="s">
        <v>701</v>
      </c>
      <c r="D96" s="8" t="s">
        <v>751</v>
      </c>
      <c r="E96" s="8" t="s">
        <v>11</v>
      </c>
      <c r="F96" s="8" t="s">
        <v>781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>
        <v>1</v>
      </c>
      <c r="N96">
        <v>1</v>
      </c>
    </row>
    <row r="97" spans="1:14" hidden="1">
      <c r="A97" t="s">
        <v>547</v>
      </c>
      <c r="B97" t="s">
        <v>718</v>
      </c>
      <c r="C97" s="8" t="s">
        <v>548</v>
      </c>
      <c r="D97" s="8" t="s">
        <v>733</v>
      </c>
      <c r="E97" s="8" t="s">
        <v>11</v>
      </c>
      <c r="F97" s="8" t="s">
        <v>780</v>
      </c>
      <c r="G97" t="s">
        <v>0</v>
      </c>
      <c r="H97" t="s">
        <v>0</v>
      </c>
      <c r="I97">
        <v>1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</row>
    <row r="98" spans="1:14" hidden="1">
      <c r="A98" t="s">
        <v>35</v>
      </c>
      <c r="B98" t="s">
        <v>718</v>
      </c>
      <c r="C98" s="8" t="s">
        <v>36</v>
      </c>
      <c r="D98" s="8" t="s">
        <v>737</v>
      </c>
      <c r="E98" s="8" t="s">
        <v>11</v>
      </c>
      <c r="F98" s="8" t="s">
        <v>781</v>
      </c>
      <c r="G98" t="s">
        <v>0</v>
      </c>
      <c r="H98">
        <v>1</v>
      </c>
      <c r="I98" t="s">
        <v>0</v>
      </c>
      <c r="J98" t="s">
        <v>0</v>
      </c>
      <c r="K98">
        <v>1</v>
      </c>
      <c r="L98">
        <v>1</v>
      </c>
      <c r="M98">
        <v>1</v>
      </c>
      <c r="N98">
        <v>1</v>
      </c>
    </row>
    <row r="99" spans="1:14" hidden="1">
      <c r="A99" t="s">
        <v>504</v>
      </c>
      <c r="B99" t="s">
        <v>720</v>
      </c>
      <c r="C99" s="8" t="s">
        <v>505</v>
      </c>
      <c r="D99" s="8" t="s">
        <v>131</v>
      </c>
      <c r="E99" s="8" t="s">
        <v>11</v>
      </c>
      <c r="F99" s="8" t="s">
        <v>781</v>
      </c>
      <c r="G99" t="s">
        <v>0</v>
      </c>
      <c r="H99" t="s">
        <v>0</v>
      </c>
      <c r="I99">
        <v>1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</row>
    <row r="100" spans="1:14" hidden="1">
      <c r="A100" t="s">
        <v>478</v>
      </c>
      <c r="B100" t="s">
        <v>720</v>
      </c>
      <c r="C100" s="8" t="s">
        <v>479</v>
      </c>
      <c r="D100" s="8" t="s">
        <v>131</v>
      </c>
      <c r="E100" s="8" t="s">
        <v>11</v>
      </c>
      <c r="F100" s="8" t="s">
        <v>781</v>
      </c>
      <c r="G100" t="s">
        <v>0</v>
      </c>
      <c r="H100" t="s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</row>
    <row r="101" spans="1:14" hidden="1">
      <c r="A101" t="s">
        <v>166</v>
      </c>
      <c r="B101" t="s">
        <v>719</v>
      </c>
      <c r="C101" s="8" t="s">
        <v>167</v>
      </c>
      <c r="D101" s="8" t="s">
        <v>165</v>
      </c>
      <c r="E101" s="8" t="s">
        <v>1</v>
      </c>
      <c r="F101" s="8" t="s">
        <v>781</v>
      </c>
      <c r="G101" t="s">
        <v>0</v>
      </c>
      <c r="H101" t="s">
        <v>0</v>
      </c>
      <c r="I101" t="s">
        <v>0</v>
      </c>
      <c r="J101" t="s">
        <v>0</v>
      </c>
      <c r="K101">
        <v>1</v>
      </c>
      <c r="L101">
        <v>1</v>
      </c>
      <c r="M101">
        <v>1</v>
      </c>
      <c r="N101">
        <v>1</v>
      </c>
    </row>
    <row r="102" spans="1:14" hidden="1">
      <c r="A102" t="s">
        <v>303</v>
      </c>
      <c r="B102" t="s">
        <v>719</v>
      </c>
      <c r="C102" s="8" t="s">
        <v>304</v>
      </c>
      <c r="D102" s="8" t="s">
        <v>165</v>
      </c>
      <c r="E102" s="8" t="s">
        <v>11</v>
      </c>
      <c r="F102" s="8" t="s">
        <v>781</v>
      </c>
      <c r="G102" t="s">
        <v>0</v>
      </c>
      <c r="H102" t="s">
        <v>0</v>
      </c>
      <c r="I102" t="s">
        <v>0</v>
      </c>
      <c r="J102">
        <v>1</v>
      </c>
      <c r="K102">
        <v>1</v>
      </c>
      <c r="L102">
        <v>1</v>
      </c>
      <c r="M102">
        <v>1</v>
      </c>
      <c r="N102">
        <v>1</v>
      </c>
    </row>
    <row r="103" spans="1:14">
      <c r="A103" t="s">
        <v>577</v>
      </c>
      <c r="B103" t="s">
        <v>721</v>
      </c>
      <c r="C103" s="8" t="s">
        <v>764</v>
      </c>
      <c r="D103" s="17" t="s">
        <v>741</v>
      </c>
      <c r="E103" s="8" t="s">
        <v>11</v>
      </c>
      <c r="F103" s="19" t="s">
        <v>782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</row>
    <row r="104" spans="1:14">
      <c r="A104" t="s">
        <v>637</v>
      </c>
      <c r="B104" t="s">
        <v>721</v>
      </c>
      <c r="C104" s="8" t="s">
        <v>707</v>
      </c>
      <c r="D104" s="8" t="s">
        <v>751</v>
      </c>
      <c r="E104" s="8" t="s">
        <v>11</v>
      </c>
      <c r="F104" s="8" t="s">
        <v>781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</row>
    <row r="105" spans="1:14">
      <c r="A105" t="s">
        <v>659</v>
      </c>
      <c r="B105" t="s">
        <v>721</v>
      </c>
      <c r="C105" s="8" t="s">
        <v>708</v>
      </c>
      <c r="D105" s="8" t="s">
        <v>751</v>
      </c>
      <c r="E105" s="8" t="s">
        <v>11</v>
      </c>
      <c r="F105" s="8" t="s">
        <v>781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</row>
    <row r="106" spans="1:14">
      <c r="A106" s="14" t="s">
        <v>468</v>
      </c>
      <c r="B106" t="s">
        <v>721</v>
      </c>
      <c r="C106" s="8" t="s">
        <v>469</v>
      </c>
      <c r="D106" s="8" t="s">
        <v>741</v>
      </c>
      <c r="E106" s="8" t="s">
        <v>11</v>
      </c>
      <c r="F106" s="8" t="s">
        <v>780</v>
      </c>
      <c r="G106" t="s">
        <v>0</v>
      </c>
      <c r="H106">
        <v>1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</row>
    <row r="107" spans="1:14">
      <c r="A107" s="14" t="s">
        <v>509</v>
      </c>
      <c r="B107" t="s">
        <v>721</v>
      </c>
      <c r="C107" s="8" t="s">
        <v>510</v>
      </c>
      <c r="D107" s="8" t="s">
        <v>741</v>
      </c>
      <c r="E107" s="8" t="s">
        <v>11</v>
      </c>
      <c r="F107" s="8" t="s">
        <v>780</v>
      </c>
      <c r="G107">
        <v>1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</row>
  </sheetData>
  <autoFilter ref="A2:F107" xr:uid="{3D2281F3-364B-42BD-BD37-6DC19768A702}">
    <filterColumn colId="1">
      <filters>
        <filter val="Parking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7929-2D19-4B29-A0E6-DA485CD6B867}">
  <sheetPr>
    <pageSetUpPr fitToPage="1"/>
  </sheetPr>
  <dimension ref="B2:J35"/>
  <sheetViews>
    <sheetView showGridLines="0" tabSelected="1" workbookViewId="0">
      <selection activeCell="D22" sqref="D22"/>
    </sheetView>
  </sheetViews>
  <sheetFormatPr defaultRowHeight="15"/>
  <cols>
    <col min="2" max="2" width="12.7109375" bestFit="1" customWidth="1"/>
    <col min="3" max="3" width="27.7109375" bestFit="1" customWidth="1"/>
    <col min="4" max="4" width="13.7109375" bestFit="1" customWidth="1"/>
    <col min="5" max="5" width="15.5703125" bestFit="1" customWidth="1"/>
    <col min="6" max="7" width="15.42578125" bestFit="1" customWidth="1"/>
    <col min="8" max="10" width="13.7109375" bestFit="1" customWidth="1"/>
    <col min="11" max="12" width="11.42578125" customWidth="1"/>
  </cols>
  <sheetData>
    <row r="2" spans="2:10">
      <c r="J2" s="45" t="s">
        <v>797</v>
      </c>
    </row>
    <row r="3" spans="2:10" ht="16.5">
      <c r="B3" s="46" t="s">
        <v>788</v>
      </c>
      <c r="C3" s="57" t="s">
        <v>787</v>
      </c>
      <c r="D3" s="49" t="s">
        <v>786</v>
      </c>
      <c r="E3" s="55" t="s">
        <v>795</v>
      </c>
      <c r="F3" s="54"/>
      <c r="G3" s="56"/>
      <c r="H3" s="55" t="s">
        <v>796</v>
      </c>
      <c r="I3" s="54"/>
      <c r="J3" s="56"/>
    </row>
    <row r="4" spans="2:10" ht="16.5">
      <c r="B4" s="47"/>
      <c r="C4" s="58"/>
      <c r="D4" s="50"/>
      <c r="E4" s="51" t="s">
        <v>792</v>
      </c>
      <c r="F4" s="59" t="s">
        <v>793</v>
      </c>
      <c r="G4" s="52" t="s">
        <v>785</v>
      </c>
      <c r="H4" s="48" t="s">
        <v>789</v>
      </c>
      <c r="I4" s="60" t="s">
        <v>790</v>
      </c>
      <c r="J4" s="53" t="s">
        <v>784</v>
      </c>
    </row>
    <row r="5" spans="2:10">
      <c r="B5" s="70" t="s">
        <v>722</v>
      </c>
      <c r="C5" s="71" t="s">
        <v>750</v>
      </c>
      <c r="D5" s="72" t="s">
        <v>781</v>
      </c>
      <c r="E5" s="73">
        <v>0</v>
      </c>
      <c r="F5" s="138">
        <v>60332</v>
      </c>
      <c r="G5" s="75">
        <f>E5+F5</f>
        <v>60332</v>
      </c>
      <c r="H5" s="76"/>
      <c r="I5" s="74">
        <v>4</v>
      </c>
      <c r="J5" s="75">
        <f>H5+I5</f>
        <v>4</v>
      </c>
    </row>
    <row r="6" spans="2:10">
      <c r="B6" s="77" t="s">
        <v>720</v>
      </c>
      <c r="C6" s="78" t="s">
        <v>748</v>
      </c>
      <c r="D6" s="79" t="s">
        <v>780</v>
      </c>
      <c r="E6" s="80">
        <v>1295.5999999999999</v>
      </c>
      <c r="F6" s="81">
        <v>0</v>
      </c>
      <c r="G6" s="82">
        <f t="shared" ref="G6:G34" si="0">E6+F6</f>
        <v>1295.5999999999999</v>
      </c>
      <c r="H6" s="83">
        <v>1</v>
      </c>
      <c r="I6" s="81"/>
      <c r="J6" s="82">
        <f>H6+I6</f>
        <v>1</v>
      </c>
    </row>
    <row r="7" spans="2:10">
      <c r="B7" s="84"/>
      <c r="C7" s="85" t="s">
        <v>753</v>
      </c>
      <c r="D7" s="86" t="s">
        <v>781</v>
      </c>
      <c r="E7" s="87">
        <v>0</v>
      </c>
      <c r="F7" s="88">
        <v>285</v>
      </c>
      <c r="G7" s="89">
        <f t="shared" si="0"/>
        <v>285</v>
      </c>
      <c r="H7" s="90"/>
      <c r="I7" s="88">
        <v>1</v>
      </c>
      <c r="J7" s="89">
        <f>H7+I7</f>
        <v>1</v>
      </c>
    </row>
    <row r="8" spans="2:10">
      <c r="B8" s="84"/>
      <c r="C8" s="85" t="s">
        <v>742</v>
      </c>
      <c r="D8" s="86" t="s">
        <v>781</v>
      </c>
      <c r="E8" s="87">
        <v>0</v>
      </c>
      <c r="F8" s="88">
        <v>7959</v>
      </c>
      <c r="G8" s="89">
        <f t="shared" si="0"/>
        <v>7959</v>
      </c>
      <c r="H8" s="90"/>
      <c r="I8" s="88">
        <v>4</v>
      </c>
      <c r="J8" s="89">
        <f>H8+I8</f>
        <v>4</v>
      </c>
    </row>
    <row r="9" spans="2:10">
      <c r="B9" s="84"/>
      <c r="C9" s="85" t="s">
        <v>131</v>
      </c>
      <c r="D9" s="86" t="s">
        <v>781</v>
      </c>
      <c r="E9" s="87">
        <v>0</v>
      </c>
      <c r="F9" s="137">
        <v>15363</v>
      </c>
      <c r="G9" s="89">
        <f t="shared" si="0"/>
        <v>15363</v>
      </c>
      <c r="H9" s="90"/>
      <c r="I9" s="137">
        <v>7</v>
      </c>
      <c r="J9" s="89">
        <f>H9+I9</f>
        <v>7</v>
      </c>
    </row>
    <row r="10" spans="2:10">
      <c r="B10" s="91"/>
      <c r="C10" s="92" t="s">
        <v>752</v>
      </c>
      <c r="D10" s="93" t="s">
        <v>780</v>
      </c>
      <c r="E10" s="94">
        <v>0</v>
      </c>
      <c r="F10" s="95">
        <v>13.03</v>
      </c>
      <c r="G10" s="96">
        <f t="shared" si="0"/>
        <v>13.03</v>
      </c>
      <c r="H10" s="97"/>
      <c r="I10" s="95">
        <v>1</v>
      </c>
      <c r="J10" s="96">
        <f>H10+I10</f>
        <v>1</v>
      </c>
    </row>
    <row r="11" spans="2:10">
      <c r="B11" s="84" t="s">
        <v>723</v>
      </c>
      <c r="C11" s="98" t="s">
        <v>275</v>
      </c>
      <c r="D11" s="99" t="s">
        <v>780</v>
      </c>
      <c r="E11" s="100">
        <v>0</v>
      </c>
      <c r="F11" s="101">
        <v>24900</v>
      </c>
      <c r="G11" s="102">
        <f t="shared" si="0"/>
        <v>24900</v>
      </c>
      <c r="H11" s="103"/>
      <c r="I11" s="101">
        <v>1</v>
      </c>
      <c r="J11" s="102">
        <f>H11+I11</f>
        <v>1</v>
      </c>
    </row>
    <row r="12" spans="2:10">
      <c r="B12" s="84"/>
      <c r="C12" s="104" t="s">
        <v>417</v>
      </c>
      <c r="D12" s="105" t="s">
        <v>780</v>
      </c>
      <c r="E12" s="106">
        <v>0</v>
      </c>
      <c r="F12" s="107">
        <v>4090.9090000000001</v>
      </c>
      <c r="G12" s="108">
        <f t="shared" si="0"/>
        <v>4090.9090000000001</v>
      </c>
      <c r="H12" s="109"/>
      <c r="I12" s="107">
        <v>1</v>
      </c>
      <c r="J12" s="108">
        <f>H12+I12</f>
        <v>1</v>
      </c>
    </row>
    <row r="13" spans="2:10">
      <c r="B13" s="77" t="s">
        <v>719</v>
      </c>
      <c r="C13" s="78" t="s">
        <v>744</v>
      </c>
      <c r="D13" s="79" t="s">
        <v>781</v>
      </c>
      <c r="E13" s="80">
        <v>10246.749</v>
      </c>
      <c r="F13" s="81">
        <v>0</v>
      </c>
      <c r="G13" s="82">
        <f t="shared" si="0"/>
        <v>10246.749</v>
      </c>
      <c r="H13" s="83">
        <v>1</v>
      </c>
      <c r="I13" s="81"/>
      <c r="J13" s="82">
        <f>H13+I13</f>
        <v>1</v>
      </c>
    </row>
    <row r="14" spans="2:10">
      <c r="B14" s="84"/>
      <c r="C14" s="85" t="s">
        <v>754</v>
      </c>
      <c r="D14" s="86" t="s">
        <v>781</v>
      </c>
      <c r="E14" s="87">
        <v>0</v>
      </c>
      <c r="F14" s="88">
        <v>939.6</v>
      </c>
      <c r="G14" s="89">
        <f t="shared" si="0"/>
        <v>939.6</v>
      </c>
      <c r="H14" s="90"/>
      <c r="I14" s="88">
        <v>1</v>
      </c>
      <c r="J14" s="89">
        <f>H14+I14</f>
        <v>1</v>
      </c>
    </row>
    <row r="15" spans="2:10">
      <c r="B15" s="84"/>
      <c r="C15" s="85" t="s">
        <v>165</v>
      </c>
      <c r="D15" s="86" t="s">
        <v>781</v>
      </c>
      <c r="E15" s="87">
        <v>39556.339999999997</v>
      </c>
      <c r="F15" s="137">
        <v>16432.381000000001</v>
      </c>
      <c r="G15" s="89">
        <f t="shared" si="0"/>
        <v>55988.720999999998</v>
      </c>
      <c r="H15" s="90">
        <v>1</v>
      </c>
      <c r="I15" s="88">
        <v>1</v>
      </c>
      <c r="J15" s="89">
        <f>H15+I15</f>
        <v>2</v>
      </c>
    </row>
    <row r="16" spans="2:10">
      <c r="B16" s="84"/>
      <c r="C16" s="85" t="s">
        <v>746</v>
      </c>
      <c r="D16" s="86" t="s">
        <v>781</v>
      </c>
      <c r="E16" s="87">
        <v>0</v>
      </c>
      <c r="F16" s="88">
        <v>8079.5839999999998</v>
      </c>
      <c r="G16" s="89">
        <f t="shared" si="0"/>
        <v>8079.5839999999998</v>
      </c>
      <c r="H16" s="90"/>
      <c r="I16" s="88">
        <v>2</v>
      </c>
      <c r="J16" s="89">
        <f>H16+I16</f>
        <v>2</v>
      </c>
    </row>
    <row r="17" spans="2:10">
      <c r="B17" s="84"/>
      <c r="C17" s="85" t="s">
        <v>208</v>
      </c>
      <c r="D17" s="86" t="s">
        <v>781</v>
      </c>
      <c r="E17" s="87">
        <v>218.208</v>
      </c>
      <c r="F17" s="88">
        <v>4566.4260000000004</v>
      </c>
      <c r="G17" s="89">
        <f t="shared" si="0"/>
        <v>4784.634</v>
      </c>
      <c r="H17" s="90">
        <v>1</v>
      </c>
      <c r="I17" s="88">
        <v>1</v>
      </c>
      <c r="J17" s="89">
        <f>H17+I17</f>
        <v>2</v>
      </c>
    </row>
    <row r="18" spans="2:10">
      <c r="B18" s="84"/>
      <c r="C18" s="85" t="s">
        <v>418</v>
      </c>
      <c r="D18" s="86" t="s">
        <v>781</v>
      </c>
      <c r="E18" s="87">
        <v>0</v>
      </c>
      <c r="F18" s="88">
        <v>47.273000000000003</v>
      </c>
      <c r="G18" s="89">
        <f t="shared" si="0"/>
        <v>47.273000000000003</v>
      </c>
      <c r="H18" s="90"/>
      <c r="I18" s="88">
        <v>2</v>
      </c>
      <c r="J18" s="89">
        <f>H18+I18</f>
        <v>2</v>
      </c>
    </row>
    <row r="19" spans="2:10">
      <c r="B19" s="84"/>
      <c r="C19" s="85" t="s">
        <v>736</v>
      </c>
      <c r="D19" s="86" t="s">
        <v>781</v>
      </c>
      <c r="E19" s="87">
        <v>35810.75</v>
      </c>
      <c r="F19" s="88">
        <v>3484.134</v>
      </c>
      <c r="G19" s="89">
        <f t="shared" si="0"/>
        <v>39294.883999999998</v>
      </c>
      <c r="H19" s="90">
        <v>1</v>
      </c>
      <c r="I19" s="137">
        <v>28</v>
      </c>
      <c r="J19" s="89">
        <f>H19+I19</f>
        <v>29</v>
      </c>
    </row>
    <row r="20" spans="2:10">
      <c r="B20" s="84"/>
      <c r="C20" s="85" t="s">
        <v>76</v>
      </c>
      <c r="D20" s="86" t="s">
        <v>781</v>
      </c>
      <c r="E20" s="87">
        <v>0</v>
      </c>
      <c r="F20" s="88">
        <v>6367.5</v>
      </c>
      <c r="G20" s="89">
        <f t="shared" si="0"/>
        <v>6367.5</v>
      </c>
      <c r="H20" s="90"/>
      <c r="I20" s="88">
        <v>1</v>
      </c>
      <c r="J20" s="89">
        <f>H20+I20</f>
        <v>1</v>
      </c>
    </row>
    <row r="21" spans="2:10">
      <c r="B21" s="84"/>
      <c r="C21" s="110" t="s">
        <v>747</v>
      </c>
      <c r="D21" s="111" t="s">
        <v>781</v>
      </c>
      <c r="E21" s="112">
        <v>0</v>
      </c>
      <c r="F21" s="113">
        <v>1586</v>
      </c>
      <c r="G21" s="114">
        <f t="shared" si="0"/>
        <v>1586</v>
      </c>
      <c r="H21" s="115"/>
      <c r="I21" s="113">
        <v>2</v>
      </c>
      <c r="J21" s="114">
        <f>H21+I21</f>
        <v>2</v>
      </c>
    </row>
    <row r="22" spans="2:10">
      <c r="B22" s="77" t="s">
        <v>718</v>
      </c>
      <c r="C22" s="98" t="s">
        <v>739</v>
      </c>
      <c r="D22" s="99" t="s">
        <v>781</v>
      </c>
      <c r="E22" s="100">
        <v>840</v>
      </c>
      <c r="F22" s="101">
        <v>19339.990000000002</v>
      </c>
      <c r="G22" s="102">
        <f t="shared" si="0"/>
        <v>20179.990000000002</v>
      </c>
      <c r="H22" s="103">
        <v>1</v>
      </c>
      <c r="I22" s="101">
        <v>4</v>
      </c>
      <c r="J22" s="102">
        <f>H22+I22</f>
        <v>5</v>
      </c>
    </row>
    <row r="23" spans="2:10">
      <c r="B23" s="84"/>
      <c r="C23" s="85" t="s">
        <v>733</v>
      </c>
      <c r="D23" s="86" t="s">
        <v>780</v>
      </c>
      <c r="E23" s="87">
        <v>0</v>
      </c>
      <c r="F23" s="88">
        <v>165000</v>
      </c>
      <c r="G23" s="89">
        <f t="shared" si="0"/>
        <v>165000</v>
      </c>
      <c r="H23" s="90"/>
      <c r="I23" s="88">
        <v>3</v>
      </c>
      <c r="J23" s="89">
        <f>H23+I23</f>
        <v>3</v>
      </c>
    </row>
    <row r="24" spans="2:10">
      <c r="B24" s="84"/>
      <c r="C24" s="85" t="s">
        <v>745</v>
      </c>
      <c r="D24" s="86" t="s">
        <v>781</v>
      </c>
      <c r="E24" s="87">
        <v>0</v>
      </c>
      <c r="F24" s="88">
        <v>16880.5</v>
      </c>
      <c r="G24" s="89">
        <f t="shared" si="0"/>
        <v>16880.5</v>
      </c>
      <c r="H24" s="90"/>
      <c r="I24" s="88">
        <v>1</v>
      </c>
      <c r="J24" s="89">
        <f>H24+I24</f>
        <v>1</v>
      </c>
    </row>
    <row r="25" spans="2:10">
      <c r="B25" s="84"/>
      <c r="C25" s="85" t="s">
        <v>737</v>
      </c>
      <c r="D25" s="86" t="s">
        <v>781</v>
      </c>
      <c r="E25" s="87">
        <v>0</v>
      </c>
      <c r="F25" s="137">
        <v>22400</v>
      </c>
      <c r="G25" s="89">
        <f t="shared" si="0"/>
        <v>22400</v>
      </c>
      <c r="H25" s="90"/>
      <c r="I25" s="88">
        <v>1</v>
      </c>
      <c r="J25" s="89">
        <f>H25+I25</f>
        <v>1</v>
      </c>
    </row>
    <row r="26" spans="2:10">
      <c r="B26" s="84"/>
      <c r="C26" s="85" t="s">
        <v>734</v>
      </c>
      <c r="D26" s="86" t="s">
        <v>780</v>
      </c>
      <c r="E26" s="87">
        <v>83494.28</v>
      </c>
      <c r="F26" s="88">
        <v>14900</v>
      </c>
      <c r="G26" s="89">
        <f t="shared" si="0"/>
        <v>98394.28</v>
      </c>
      <c r="H26" s="90">
        <v>3</v>
      </c>
      <c r="I26" s="88">
        <v>2</v>
      </c>
      <c r="J26" s="89">
        <f>H26+I26</f>
        <v>5</v>
      </c>
    </row>
    <row r="27" spans="2:10">
      <c r="B27" s="84"/>
      <c r="C27" s="116" t="s">
        <v>735</v>
      </c>
      <c r="D27" s="86" t="s">
        <v>780</v>
      </c>
      <c r="E27" s="87">
        <v>0</v>
      </c>
      <c r="F27" s="88">
        <v>49897</v>
      </c>
      <c r="G27" s="89">
        <f t="shared" si="0"/>
        <v>49897</v>
      </c>
      <c r="H27" s="90"/>
      <c r="I27" s="88">
        <v>2</v>
      </c>
      <c r="J27" s="89">
        <f>H27+I27</f>
        <v>2</v>
      </c>
    </row>
    <row r="28" spans="2:10">
      <c r="B28" s="84"/>
      <c r="C28" s="117"/>
      <c r="D28" s="86" t="s">
        <v>781</v>
      </c>
      <c r="E28" s="87">
        <v>0</v>
      </c>
      <c r="F28" s="88">
        <v>13070</v>
      </c>
      <c r="G28" s="89">
        <f t="shared" si="0"/>
        <v>13070</v>
      </c>
      <c r="H28" s="90"/>
      <c r="I28" s="88">
        <v>1</v>
      </c>
      <c r="J28" s="89">
        <f>H28+I28</f>
        <v>1</v>
      </c>
    </row>
    <row r="29" spans="2:10">
      <c r="B29" s="84"/>
      <c r="C29" s="85" t="s">
        <v>740</v>
      </c>
      <c r="D29" s="86" t="s">
        <v>780</v>
      </c>
      <c r="E29" s="87">
        <v>16931</v>
      </c>
      <c r="F29" s="88">
        <v>0</v>
      </c>
      <c r="G29" s="89">
        <f t="shared" si="0"/>
        <v>16931</v>
      </c>
      <c r="H29" s="90">
        <v>1</v>
      </c>
      <c r="I29" s="88"/>
      <c r="J29" s="89">
        <f>H29+I29</f>
        <v>1</v>
      </c>
    </row>
    <row r="30" spans="2:10">
      <c r="B30" s="84"/>
      <c r="C30" s="85" t="s">
        <v>42</v>
      </c>
      <c r="D30" s="86" t="s">
        <v>781</v>
      </c>
      <c r="E30" s="87">
        <v>0</v>
      </c>
      <c r="F30" s="88">
        <v>10879.95</v>
      </c>
      <c r="G30" s="89">
        <f t="shared" si="0"/>
        <v>10879.95</v>
      </c>
      <c r="H30" s="90"/>
      <c r="I30" s="137">
        <v>5</v>
      </c>
      <c r="J30" s="89">
        <f>H30+I30</f>
        <v>5</v>
      </c>
    </row>
    <row r="31" spans="2:10" ht="15.75" thickBot="1">
      <c r="B31" s="130"/>
      <c r="C31" s="131" t="s">
        <v>257</v>
      </c>
      <c r="D31" s="132" t="s">
        <v>780</v>
      </c>
      <c r="E31" s="133">
        <v>0</v>
      </c>
      <c r="F31" s="134">
        <v>3469</v>
      </c>
      <c r="G31" s="135">
        <f t="shared" si="0"/>
        <v>3469</v>
      </c>
      <c r="H31" s="136"/>
      <c r="I31" s="134">
        <v>1</v>
      </c>
      <c r="J31" s="135">
        <f>H31+I31</f>
        <v>1</v>
      </c>
    </row>
    <row r="32" spans="2:10" ht="15.75" thickTop="1">
      <c r="B32" s="84" t="s">
        <v>721</v>
      </c>
      <c r="C32" s="129" t="s">
        <v>741</v>
      </c>
      <c r="D32" s="124" t="s">
        <v>780</v>
      </c>
      <c r="E32" s="125">
        <v>0</v>
      </c>
      <c r="F32" s="126">
        <v>1496500</v>
      </c>
      <c r="G32" s="127">
        <f t="shared" si="0"/>
        <v>1496500</v>
      </c>
      <c r="H32" s="128"/>
      <c r="I32" s="126">
        <v>3</v>
      </c>
      <c r="J32" s="127">
        <f>H32+I32</f>
        <v>3</v>
      </c>
    </row>
    <row r="33" spans="2:10">
      <c r="B33" s="84"/>
      <c r="C33" s="117"/>
      <c r="D33" s="86" t="s">
        <v>781</v>
      </c>
      <c r="E33" s="87">
        <v>17340</v>
      </c>
      <c r="F33" s="88">
        <v>3600</v>
      </c>
      <c r="G33" s="89">
        <f t="shared" si="0"/>
        <v>20940</v>
      </c>
      <c r="H33" s="90">
        <v>3</v>
      </c>
      <c r="I33" s="88">
        <v>1</v>
      </c>
      <c r="J33" s="89">
        <f>H33+I33</f>
        <v>4</v>
      </c>
    </row>
    <row r="34" spans="2:10">
      <c r="B34" s="91"/>
      <c r="C34" s="118" t="s">
        <v>751</v>
      </c>
      <c r="D34" s="119" t="s">
        <v>781</v>
      </c>
      <c r="E34" s="120">
        <v>616343.57299999997</v>
      </c>
      <c r="F34" s="121">
        <v>1202967.064</v>
      </c>
      <c r="G34" s="122">
        <f t="shared" si="0"/>
        <v>1819310.6370000001</v>
      </c>
      <c r="H34" s="123">
        <v>3</v>
      </c>
      <c r="I34" s="121">
        <v>8</v>
      </c>
      <c r="J34" s="122">
        <f>H34+I34</f>
        <v>11</v>
      </c>
    </row>
    <row r="35" spans="2:10" ht="16.5">
      <c r="B35" s="61" t="s">
        <v>794</v>
      </c>
      <c r="C35" s="62"/>
      <c r="D35" s="63"/>
      <c r="E35" s="64">
        <f>SUM(E5:E34)</f>
        <v>822076.5</v>
      </c>
      <c r="F35" s="65">
        <f t="shared" ref="F35:G35" si="1">SUM(F5:F34)</f>
        <v>3173349.341</v>
      </c>
      <c r="G35" s="66">
        <f t="shared" si="1"/>
        <v>3995425.841</v>
      </c>
      <c r="H35" s="67">
        <f>SUM(H5:H34)</f>
        <v>16</v>
      </c>
      <c r="I35" s="68">
        <f t="shared" ref="I35:J35" si="2">SUM(I5:I34)</f>
        <v>89</v>
      </c>
      <c r="J35" s="69">
        <f t="shared" si="2"/>
        <v>105</v>
      </c>
    </row>
  </sheetData>
  <mergeCells count="8">
    <mergeCell ref="B3:B4"/>
    <mergeCell ref="C3:C4"/>
    <mergeCell ref="D3:D4"/>
    <mergeCell ref="H3:J3"/>
    <mergeCell ref="E3:G3"/>
    <mergeCell ref="B35:D35"/>
    <mergeCell ref="C27:C28"/>
    <mergeCell ref="C32:C33"/>
  </mergeCells>
  <phoneticPr fontId="3" type="noConversion"/>
  <pageMargins left="0.7" right="0.7" top="0.75" bottom="0.75" header="0.3" footer="0.3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AA36-36F8-4CE7-B512-55DD21D78CC0}">
  <sheetPr codeName="Sheet3"/>
  <dimension ref="A6:S38"/>
  <sheetViews>
    <sheetView topLeftCell="C4" workbookViewId="0">
      <selection activeCell="F26" sqref="F26"/>
    </sheetView>
  </sheetViews>
  <sheetFormatPr defaultRowHeight="15"/>
  <cols>
    <col min="1" max="2" width="27.7109375" bestFit="1" customWidth="1"/>
    <col min="3" max="3" width="10.42578125" bestFit="1" customWidth="1"/>
    <col min="4" max="19" width="15.42578125" bestFit="1" customWidth="1"/>
    <col min="20" max="27" width="17.7109375" bestFit="1" customWidth="1"/>
    <col min="28" max="34" width="15.42578125" bestFit="1" customWidth="1"/>
    <col min="35" max="42" width="17.7109375" bestFit="1" customWidth="1"/>
    <col min="43" max="44" width="13.7109375" bestFit="1" customWidth="1"/>
    <col min="45" max="45" width="12.5703125" bestFit="1" customWidth="1"/>
    <col min="46" max="46" width="13.7109375" bestFit="1" customWidth="1"/>
    <col min="47" max="48" width="12.5703125" bestFit="1" customWidth="1"/>
    <col min="49" max="49" width="13.7109375" bestFit="1" customWidth="1"/>
    <col min="50" max="57" width="17.7109375" bestFit="1" customWidth="1"/>
    <col min="58" max="58" width="29.140625" bestFit="1" customWidth="1"/>
    <col min="59" max="59" width="28.28515625" bestFit="1" customWidth="1"/>
    <col min="60" max="60" width="19.28515625" bestFit="1" customWidth="1"/>
    <col min="61" max="61" width="20.85546875" bestFit="1" customWidth="1"/>
    <col min="62" max="62" width="24.140625" bestFit="1" customWidth="1"/>
    <col min="63" max="64" width="21.7109375" bestFit="1" customWidth="1"/>
    <col min="65" max="69" width="24.140625" bestFit="1" customWidth="1"/>
    <col min="70" max="70" width="26.5703125" bestFit="1" customWidth="1"/>
    <col min="71" max="71" width="50.85546875" bestFit="1" customWidth="1"/>
    <col min="72" max="72" width="60.42578125" bestFit="1" customWidth="1"/>
    <col min="73" max="73" width="55.5703125" bestFit="1" customWidth="1"/>
    <col min="74" max="74" width="20.28515625" bestFit="1" customWidth="1"/>
    <col min="75" max="75" width="40.85546875" bestFit="1" customWidth="1"/>
    <col min="76" max="76" width="24.85546875" bestFit="1" customWidth="1"/>
    <col min="77" max="77" width="31.140625" bestFit="1" customWidth="1"/>
    <col min="78" max="78" width="26.42578125" bestFit="1" customWidth="1"/>
    <col min="79" max="79" width="43.28515625" bestFit="1" customWidth="1"/>
    <col min="80" max="80" width="31.140625" bestFit="1" customWidth="1"/>
    <col min="81" max="81" width="54" bestFit="1" customWidth="1"/>
    <col min="82" max="82" width="58.140625" bestFit="1" customWidth="1"/>
    <col min="83" max="83" width="28.7109375" bestFit="1" customWidth="1"/>
    <col min="84" max="84" width="28" bestFit="1" customWidth="1"/>
    <col min="85" max="85" width="27.28515625" bestFit="1" customWidth="1"/>
    <col min="86" max="86" width="28.7109375" bestFit="1" customWidth="1"/>
    <col min="87" max="87" width="33.5703125" bestFit="1" customWidth="1"/>
    <col min="88" max="89" width="31.140625" bestFit="1" customWidth="1"/>
    <col min="90" max="90" width="33.42578125" bestFit="1" customWidth="1"/>
    <col min="91" max="91" width="33.5703125" bestFit="1" customWidth="1"/>
    <col min="92" max="92" width="25.85546875" bestFit="1" customWidth="1"/>
    <col min="93" max="93" width="39" bestFit="1" customWidth="1"/>
    <col min="94" max="94" width="33.28515625" bestFit="1" customWidth="1"/>
    <col min="95" max="95" width="33.140625" bestFit="1" customWidth="1"/>
    <col min="96" max="96" width="43.5703125" bestFit="1" customWidth="1"/>
    <col min="97" max="98" width="33.85546875" bestFit="1" customWidth="1"/>
    <col min="99" max="99" width="33.5703125" bestFit="1" customWidth="1"/>
    <col min="100" max="100" width="33.85546875" bestFit="1" customWidth="1"/>
    <col min="101" max="101" width="29.140625" bestFit="1" customWidth="1"/>
    <col min="102" max="103" width="33.85546875" bestFit="1" customWidth="1"/>
    <col min="104" max="106" width="29.140625" bestFit="1" customWidth="1"/>
    <col min="107" max="107" width="33.85546875" bestFit="1" customWidth="1"/>
    <col min="108" max="108" width="30.42578125" bestFit="1" customWidth="1"/>
    <col min="109" max="109" width="26.42578125" bestFit="1" customWidth="1"/>
    <col min="110" max="110" width="33.5703125" bestFit="1" customWidth="1"/>
    <col min="111" max="111" width="36" bestFit="1" customWidth="1"/>
    <col min="112" max="112" width="45.7109375" bestFit="1" customWidth="1"/>
    <col min="113" max="113" width="28.7109375" bestFit="1" customWidth="1"/>
    <col min="114" max="114" width="36" bestFit="1" customWidth="1"/>
    <col min="115" max="115" width="41.28515625" bestFit="1" customWidth="1"/>
    <col min="116" max="116" width="33.42578125" bestFit="1" customWidth="1"/>
    <col min="117" max="117" width="38.42578125" bestFit="1" customWidth="1"/>
    <col min="118" max="118" width="29.85546875" bestFit="1" customWidth="1"/>
    <col min="119" max="119" width="36" bestFit="1" customWidth="1"/>
    <col min="120" max="120" width="45.7109375" bestFit="1" customWidth="1"/>
    <col min="121" max="121" width="23.42578125" bestFit="1" customWidth="1"/>
    <col min="122" max="122" width="30.85546875" bestFit="1" customWidth="1"/>
    <col min="123" max="123" width="28.42578125" bestFit="1" customWidth="1"/>
    <col min="124" max="124" width="39" bestFit="1" customWidth="1"/>
    <col min="125" max="125" width="40.85546875" bestFit="1" customWidth="1"/>
    <col min="126" max="126" width="52.85546875" bestFit="1" customWidth="1"/>
    <col min="127" max="128" width="55.28515625" bestFit="1" customWidth="1"/>
    <col min="129" max="129" width="54" bestFit="1" customWidth="1"/>
    <col min="130" max="130" width="51" bestFit="1" customWidth="1"/>
    <col min="131" max="131" width="13.140625" bestFit="1" customWidth="1"/>
    <col min="132" max="133" width="11.85546875" bestFit="1" customWidth="1"/>
  </cols>
  <sheetData>
    <row r="6" spans="1:19">
      <c r="D6" s="7" t="s">
        <v>681</v>
      </c>
      <c r="E6" s="7" t="s">
        <v>783</v>
      </c>
    </row>
    <row r="7" spans="1:19">
      <c r="D7" t="s">
        <v>1</v>
      </c>
      <c r="L7" t="s">
        <v>11</v>
      </c>
    </row>
    <row r="8" spans="1:19">
      <c r="A8" s="7" t="s">
        <v>724</v>
      </c>
      <c r="B8" s="7" t="s">
        <v>730</v>
      </c>
      <c r="C8" s="7" t="s">
        <v>781</v>
      </c>
      <c r="D8" t="s">
        <v>772</v>
      </c>
      <c r="E8" t="s">
        <v>773</v>
      </c>
      <c r="F8" t="s">
        <v>774</v>
      </c>
      <c r="G8" t="s">
        <v>775</v>
      </c>
      <c r="H8" t="s">
        <v>776</v>
      </c>
      <c r="I8" t="s">
        <v>777</v>
      </c>
      <c r="J8" t="s">
        <v>778</v>
      </c>
      <c r="K8" t="s">
        <v>779</v>
      </c>
      <c r="L8" t="s">
        <v>772</v>
      </c>
      <c r="M8" t="s">
        <v>773</v>
      </c>
      <c r="N8" t="s">
        <v>774</v>
      </c>
      <c r="O8" t="s">
        <v>775</v>
      </c>
      <c r="P8" t="s">
        <v>776</v>
      </c>
      <c r="Q8" t="s">
        <v>777</v>
      </c>
      <c r="R8" t="s">
        <v>778</v>
      </c>
      <c r="S8" t="s">
        <v>779</v>
      </c>
    </row>
    <row r="9" spans="1:19">
      <c r="A9" t="s">
        <v>722</v>
      </c>
      <c r="B9" t="s">
        <v>750</v>
      </c>
      <c r="C9" t="s">
        <v>781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>
        <v>0</v>
      </c>
      <c r="O9" s="40">
        <v>8230000</v>
      </c>
      <c r="P9" s="40">
        <v>8230000</v>
      </c>
      <c r="Q9" s="40">
        <v>11680000</v>
      </c>
      <c r="R9" s="40">
        <v>13284000</v>
      </c>
      <c r="S9" s="40">
        <v>18908000</v>
      </c>
    </row>
    <row r="10" spans="1:19">
      <c r="A10" t="s">
        <v>720</v>
      </c>
      <c r="B10" t="s">
        <v>748</v>
      </c>
      <c r="C10" t="s">
        <v>780</v>
      </c>
      <c r="D10" s="40"/>
      <c r="E10" s="40"/>
      <c r="F10" s="40"/>
      <c r="G10" s="40"/>
      <c r="H10" s="40"/>
      <c r="I10" s="40"/>
      <c r="J10" s="40">
        <v>0</v>
      </c>
      <c r="K10" s="40">
        <v>1295600</v>
      </c>
      <c r="L10" s="40"/>
      <c r="M10" s="40"/>
      <c r="N10" s="40"/>
      <c r="O10" s="40"/>
      <c r="P10" s="40"/>
      <c r="Q10" s="40"/>
      <c r="R10" s="40"/>
      <c r="S10" s="40"/>
    </row>
    <row r="11" spans="1:19">
      <c r="B11" t="s">
        <v>753</v>
      </c>
      <c r="C11" t="s">
        <v>781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>
        <v>0</v>
      </c>
      <c r="O11" s="40">
        <v>0</v>
      </c>
      <c r="P11" s="40">
        <v>0</v>
      </c>
      <c r="Q11" s="40">
        <v>95000</v>
      </c>
      <c r="R11" s="40">
        <v>95000</v>
      </c>
      <c r="S11" s="40">
        <v>95000</v>
      </c>
    </row>
    <row r="12" spans="1:19">
      <c r="B12" t="s">
        <v>742</v>
      </c>
      <c r="C12" t="s">
        <v>781</v>
      </c>
      <c r="D12" s="40"/>
      <c r="E12" s="40"/>
      <c r="F12" s="40"/>
      <c r="G12" s="40"/>
      <c r="H12" s="40"/>
      <c r="I12" s="40"/>
      <c r="J12" s="40"/>
      <c r="K12" s="40"/>
      <c r="L12" s="40">
        <v>230000</v>
      </c>
      <c r="M12" s="40">
        <v>615000</v>
      </c>
      <c r="N12" s="40">
        <v>615000</v>
      </c>
      <c r="O12" s="40">
        <v>615000</v>
      </c>
      <c r="P12" s="40">
        <v>615000</v>
      </c>
      <c r="Q12" s="40">
        <v>615000</v>
      </c>
      <c r="R12" s="40">
        <v>1415000</v>
      </c>
      <c r="S12" s="40">
        <v>3239000</v>
      </c>
    </row>
    <row r="13" spans="1:19">
      <c r="B13" t="s">
        <v>131</v>
      </c>
      <c r="C13" t="s">
        <v>781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>
        <v>1200000</v>
      </c>
      <c r="O13" s="40">
        <v>1200000</v>
      </c>
      <c r="P13" s="40">
        <v>1500000</v>
      </c>
      <c r="Q13" s="40">
        <v>3321000</v>
      </c>
      <c r="R13" s="40">
        <v>3321000</v>
      </c>
      <c r="S13" s="40">
        <v>4821000</v>
      </c>
    </row>
    <row r="14" spans="1:19">
      <c r="B14" t="s">
        <v>752</v>
      </c>
      <c r="C14" t="s">
        <v>780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13030</v>
      </c>
    </row>
    <row r="15" spans="1:19">
      <c r="A15" t="s">
        <v>723</v>
      </c>
      <c r="B15" t="s">
        <v>275</v>
      </c>
      <c r="C15" t="s">
        <v>780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>
        <v>0</v>
      </c>
      <c r="O15" s="40">
        <v>0</v>
      </c>
      <c r="P15" s="40">
        <v>0</v>
      </c>
      <c r="Q15" s="40">
        <v>0</v>
      </c>
      <c r="R15" s="40">
        <v>24900000</v>
      </c>
      <c r="S15" s="40">
        <v>0</v>
      </c>
    </row>
    <row r="16" spans="1:19">
      <c r="B16" t="s">
        <v>417</v>
      </c>
      <c r="C16" t="s">
        <v>780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>
        <v>4090909</v>
      </c>
      <c r="R16" s="40">
        <v>0</v>
      </c>
      <c r="S16" s="40">
        <v>0</v>
      </c>
    </row>
    <row r="17" spans="1:19">
      <c r="A17" t="s">
        <v>719</v>
      </c>
      <c r="B17" t="s">
        <v>744</v>
      </c>
      <c r="C17" t="s">
        <v>781</v>
      </c>
      <c r="D17" s="40"/>
      <c r="E17" s="40"/>
      <c r="F17" s="40"/>
      <c r="G17" s="40"/>
      <c r="H17" s="40"/>
      <c r="I17" s="40">
        <v>0</v>
      </c>
      <c r="J17" s="40">
        <v>0</v>
      </c>
      <c r="K17" s="40">
        <v>10246749</v>
      </c>
      <c r="L17" s="40"/>
      <c r="M17" s="40"/>
      <c r="N17" s="40"/>
      <c r="O17" s="40"/>
      <c r="P17" s="40"/>
      <c r="Q17" s="40"/>
      <c r="R17" s="40"/>
      <c r="S17" s="40"/>
    </row>
    <row r="18" spans="1:19">
      <c r="B18" t="s">
        <v>754</v>
      </c>
      <c r="C18" t="s">
        <v>781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>
        <v>0</v>
      </c>
      <c r="R18" s="40">
        <v>939600</v>
      </c>
      <c r="S18" s="40">
        <v>0</v>
      </c>
    </row>
    <row r="19" spans="1:19">
      <c r="B19" t="s">
        <v>165</v>
      </c>
      <c r="C19" t="s">
        <v>781</v>
      </c>
      <c r="D19" s="40"/>
      <c r="E19" s="40"/>
      <c r="F19" s="40">
        <v>0</v>
      </c>
      <c r="G19" s="40">
        <v>0</v>
      </c>
      <c r="H19" s="40">
        <v>7742430</v>
      </c>
      <c r="I19" s="40">
        <v>9650770</v>
      </c>
      <c r="J19" s="40">
        <v>10895370</v>
      </c>
      <c r="K19" s="40">
        <v>11267770</v>
      </c>
      <c r="L19" s="40"/>
      <c r="M19" s="40"/>
      <c r="N19" s="40">
        <v>0</v>
      </c>
      <c r="O19" s="40">
        <v>4199564</v>
      </c>
      <c r="P19" s="40">
        <v>4484727</v>
      </c>
      <c r="Q19" s="40">
        <v>1325827</v>
      </c>
      <c r="R19" s="40">
        <v>5047263</v>
      </c>
      <c r="S19" s="40">
        <v>1375000</v>
      </c>
    </row>
    <row r="20" spans="1:19">
      <c r="B20" t="s">
        <v>746</v>
      </c>
      <c r="C20" t="s">
        <v>781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8079584</v>
      </c>
    </row>
    <row r="21" spans="1:19">
      <c r="B21" t="s">
        <v>208</v>
      </c>
      <c r="C21" t="s">
        <v>781</v>
      </c>
      <c r="D21" s="40"/>
      <c r="E21" s="40"/>
      <c r="F21" s="40"/>
      <c r="G21" s="40">
        <v>0</v>
      </c>
      <c r="H21" s="40">
        <v>54552</v>
      </c>
      <c r="I21" s="40">
        <v>54552</v>
      </c>
      <c r="J21" s="40">
        <v>54552</v>
      </c>
      <c r="K21" s="40">
        <v>54552</v>
      </c>
      <c r="L21" s="40"/>
      <c r="M21" s="40"/>
      <c r="N21" s="40">
        <v>0</v>
      </c>
      <c r="O21" s="40">
        <v>940827</v>
      </c>
      <c r="P21" s="40">
        <v>921750</v>
      </c>
      <c r="Q21" s="40">
        <v>829367</v>
      </c>
      <c r="R21" s="40">
        <v>970543</v>
      </c>
      <c r="S21" s="40">
        <v>903939</v>
      </c>
    </row>
    <row r="22" spans="1:19">
      <c r="B22" t="s">
        <v>418</v>
      </c>
      <c r="C22" t="s">
        <v>781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>
        <v>0</v>
      </c>
      <c r="O22" s="40">
        <v>0</v>
      </c>
      <c r="P22" s="40">
        <v>23364</v>
      </c>
      <c r="Q22" s="40">
        <v>0</v>
      </c>
      <c r="R22" s="40">
        <v>23909</v>
      </c>
      <c r="S22" s="40">
        <v>0</v>
      </c>
    </row>
    <row r="23" spans="1:19">
      <c r="B23" t="s">
        <v>736</v>
      </c>
      <c r="C23" t="s">
        <v>781</v>
      </c>
      <c r="D23" s="40"/>
      <c r="E23" s="40"/>
      <c r="F23" s="40"/>
      <c r="G23" s="40">
        <v>0</v>
      </c>
      <c r="H23" s="40">
        <v>8930250</v>
      </c>
      <c r="I23" s="40">
        <v>8729750</v>
      </c>
      <c r="J23" s="40">
        <v>9080500</v>
      </c>
      <c r="K23" s="40">
        <v>9070250</v>
      </c>
      <c r="L23" s="40"/>
      <c r="M23" s="40"/>
      <c r="N23" s="40">
        <v>0</v>
      </c>
      <c r="O23" s="40">
        <v>0</v>
      </c>
      <c r="P23" s="40">
        <v>1524449</v>
      </c>
      <c r="Q23" s="40">
        <v>642483</v>
      </c>
      <c r="R23" s="40">
        <v>677646</v>
      </c>
      <c r="S23" s="40">
        <v>639556</v>
      </c>
    </row>
    <row r="24" spans="1:19">
      <c r="B24" t="s">
        <v>76</v>
      </c>
      <c r="C24" t="s">
        <v>781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>
        <v>2124000</v>
      </c>
      <c r="R24" s="40">
        <v>2124000</v>
      </c>
      <c r="S24" s="40">
        <v>2119500</v>
      </c>
    </row>
    <row r="25" spans="1:19">
      <c r="B25" t="s">
        <v>747</v>
      </c>
      <c r="C25" t="s">
        <v>781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>
        <v>0</v>
      </c>
      <c r="O25" s="40">
        <v>0</v>
      </c>
      <c r="P25" s="40">
        <v>174000</v>
      </c>
      <c r="Q25" s="40">
        <v>454000</v>
      </c>
      <c r="R25" s="40">
        <v>479000</v>
      </c>
      <c r="S25" s="40">
        <v>479000</v>
      </c>
    </row>
    <row r="26" spans="1:19">
      <c r="A26" t="s">
        <v>718</v>
      </c>
      <c r="B26" t="s">
        <v>739</v>
      </c>
      <c r="C26" t="s">
        <v>781</v>
      </c>
      <c r="D26" s="40"/>
      <c r="E26" s="40"/>
      <c r="F26" s="40"/>
      <c r="G26" s="40"/>
      <c r="H26" s="40"/>
      <c r="I26" s="40">
        <v>280000</v>
      </c>
      <c r="J26" s="40">
        <v>280000</v>
      </c>
      <c r="K26" s="40">
        <v>280000</v>
      </c>
      <c r="L26" s="40"/>
      <c r="M26" s="40"/>
      <c r="N26" s="40">
        <v>2273400</v>
      </c>
      <c r="O26" s="40">
        <v>2710400</v>
      </c>
      <c r="P26" s="40">
        <v>3126560</v>
      </c>
      <c r="Q26" s="40">
        <v>3626560</v>
      </c>
      <c r="R26" s="40">
        <v>3626560</v>
      </c>
      <c r="S26" s="40">
        <v>3976510</v>
      </c>
    </row>
    <row r="27" spans="1:19">
      <c r="B27" t="s">
        <v>733</v>
      </c>
      <c r="C27" t="s">
        <v>780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>
        <v>20000000</v>
      </c>
      <c r="O27" s="40">
        <v>50000000</v>
      </c>
      <c r="P27" s="40">
        <v>0</v>
      </c>
      <c r="Q27" s="40">
        <v>0</v>
      </c>
      <c r="R27" s="40">
        <v>0</v>
      </c>
      <c r="S27" s="40">
        <v>95000000</v>
      </c>
    </row>
    <row r="28" spans="1:19">
      <c r="B28" t="s">
        <v>745</v>
      </c>
      <c r="C28" t="s">
        <v>781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>
        <v>0</v>
      </c>
      <c r="S28" s="40">
        <v>16880500</v>
      </c>
    </row>
    <row r="29" spans="1:19">
      <c r="B29" t="s">
        <v>737</v>
      </c>
      <c r="C29" t="s">
        <v>781</v>
      </c>
      <c r="D29" s="40"/>
      <c r="E29" s="40"/>
      <c r="F29" s="40"/>
      <c r="G29" s="40"/>
      <c r="H29" s="40"/>
      <c r="I29" s="40"/>
      <c r="J29" s="40"/>
      <c r="K29" s="40"/>
      <c r="L29" s="40">
        <v>0</v>
      </c>
      <c r="M29" s="40">
        <v>3200000</v>
      </c>
      <c r="N29" s="40"/>
      <c r="O29" s="40">
        <v>0</v>
      </c>
      <c r="P29" s="40">
        <v>9600000</v>
      </c>
      <c r="Q29" s="40">
        <v>3200000</v>
      </c>
      <c r="R29" s="40">
        <v>3200000</v>
      </c>
      <c r="S29" s="40">
        <v>3200000</v>
      </c>
    </row>
    <row r="30" spans="1:19">
      <c r="B30" t="s">
        <v>734</v>
      </c>
      <c r="C30" t="s">
        <v>780</v>
      </c>
      <c r="D30" s="40"/>
      <c r="E30" s="40"/>
      <c r="F30" s="40"/>
      <c r="G30" s="40"/>
      <c r="H30" s="40"/>
      <c r="I30" s="40">
        <v>0</v>
      </c>
      <c r="J30" s="40">
        <v>0</v>
      </c>
      <c r="K30" s="40">
        <v>83494280</v>
      </c>
      <c r="L30" s="40"/>
      <c r="M30" s="40"/>
      <c r="N30" s="40"/>
      <c r="O30" s="40"/>
      <c r="P30" s="40"/>
      <c r="Q30" s="40">
        <v>8100000</v>
      </c>
      <c r="R30" s="40">
        <v>6800000</v>
      </c>
      <c r="S30" s="40">
        <v>0</v>
      </c>
    </row>
    <row r="31" spans="1:19">
      <c r="B31" t="s">
        <v>735</v>
      </c>
      <c r="C31" t="s">
        <v>780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>
        <v>0</v>
      </c>
      <c r="P31" s="40">
        <v>1500000</v>
      </c>
      <c r="Q31" s="40">
        <v>8637000</v>
      </c>
      <c r="R31" s="40">
        <v>38500000</v>
      </c>
      <c r="S31" s="40">
        <v>1260000</v>
      </c>
    </row>
    <row r="32" spans="1:19">
      <c r="C32" t="s">
        <v>781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>
        <v>980000</v>
      </c>
      <c r="O32" s="40">
        <v>1740000</v>
      </c>
      <c r="P32" s="40">
        <v>1740000</v>
      </c>
      <c r="Q32" s="40">
        <v>1740000</v>
      </c>
      <c r="R32" s="40">
        <v>1740000</v>
      </c>
      <c r="S32" s="40">
        <v>5130000</v>
      </c>
    </row>
    <row r="33" spans="1:19">
      <c r="B33" t="s">
        <v>740</v>
      </c>
      <c r="C33" t="s">
        <v>780</v>
      </c>
      <c r="D33" s="40"/>
      <c r="E33" s="40"/>
      <c r="F33" s="40"/>
      <c r="G33" s="40"/>
      <c r="H33" s="40"/>
      <c r="I33" s="40"/>
      <c r="J33" s="40"/>
      <c r="K33" s="40">
        <v>16931000</v>
      </c>
      <c r="L33" s="40"/>
      <c r="M33" s="40"/>
      <c r="N33" s="40"/>
      <c r="O33" s="40"/>
      <c r="P33" s="40"/>
      <c r="Q33" s="40"/>
      <c r="R33" s="40"/>
      <c r="S33" s="40"/>
    </row>
    <row r="34" spans="1:19">
      <c r="B34" t="s">
        <v>42</v>
      </c>
      <c r="C34" t="s">
        <v>781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>
        <v>1000000</v>
      </c>
      <c r="P34" s="40">
        <v>2380000</v>
      </c>
      <c r="Q34" s="40">
        <v>2500000</v>
      </c>
      <c r="R34" s="40">
        <v>2500000</v>
      </c>
      <c r="S34" s="40">
        <v>2499950</v>
      </c>
    </row>
    <row r="35" spans="1:19">
      <c r="B35" t="s">
        <v>257</v>
      </c>
      <c r="C35" t="s">
        <v>780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>
        <v>1330000</v>
      </c>
      <c r="S35" s="40">
        <v>2139000</v>
      </c>
    </row>
    <row r="36" spans="1:19">
      <c r="A36" t="s">
        <v>721</v>
      </c>
      <c r="B36" t="s">
        <v>741</v>
      </c>
      <c r="C36" t="s">
        <v>780</v>
      </c>
      <c r="D36" s="40"/>
      <c r="E36" s="40"/>
      <c r="F36" s="40"/>
      <c r="G36" s="40"/>
      <c r="H36" s="40"/>
      <c r="I36" s="40"/>
      <c r="J36" s="40"/>
      <c r="K36" s="40"/>
      <c r="L36" s="40">
        <v>27000000</v>
      </c>
      <c r="M36" s="40">
        <v>1424750000</v>
      </c>
      <c r="N36" s="40">
        <v>44750000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</row>
    <row r="37" spans="1:19">
      <c r="C37" t="s">
        <v>781</v>
      </c>
      <c r="D37" s="40">
        <v>1170000</v>
      </c>
      <c r="E37" s="40">
        <v>1170000</v>
      </c>
      <c r="F37" s="40">
        <v>1170000</v>
      </c>
      <c r="G37" s="40">
        <v>1170000</v>
      </c>
      <c r="H37" s="40">
        <v>1170000</v>
      </c>
      <c r="I37" s="40">
        <v>590000</v>
      </c>
      <c r="J37" s="40">
        <v>1170000</v>
      </c>
      <c r="K37" s="40">
        <v>9730000</v>
      </c>
      <c r="L37" s="40">
        <v>450000</v>
      </c>
      <c r="M37" s="40">
        <v>450000</v>
      </c>
      <c r="N37" s="40">
        <v>450000</v>
      </c>
      <c r="O37" s="40">
        <v>450000</v>
      </c>
      <c r="P37" s="40">
        <v>450000</v>
      </c>
      <c r="Q37" s="40">
        <v>450000</v>
      </c>
      <c r="R37" s="40">
        <v>450000</v>
      </c>
      <c r="S37" s="40">
        <v>450000</v>
      </c>
    </row>
    <row r="38" spans="1:19">
      <c r="B38" t="s">
        <v>751</v>
      </c>
      <c r="C38" t="s">
        <v>781</v>
      </c>
      <c r="D38" s="40">
        <v>63294594</v>
      </c>
      <c r="E38" s="40">
        <v>70748961</v>
      </c>
      <c r="F38" s="40">
        <v>38507612</v>
      </c>
      <c r="G38" s="40">
        <v>148510618</v>
      </c>
      <c r="H38" s="40">
        <v>57740376</v>
      </c>
      <c r="I38" s="40">
        <v>74928211</v>
      </c>
      <c r="J38" s="40">
        <v>71723572</v>
      </c>
      <c r="K38" s="40">
        <v>90889629</v>
      </c>
      <c r="L38" s="40">
        <v>141094919</v>
      </c>
      <c r="M38" s="40">
        <v>161573730</v>
      </c>
      <c r="N38" s="40">
        <v>146844070</v>
      </c>
      <c r="O38" s="40">
        <v>130270667</v>
      </c>
      <c r="P38" s="40">
        <v>145013100</v>
      </c>
      <c r="Q38" s="40">
        <v>147607681</v>
      </c>
      <c r="R38" s="40">
        <v>177718765</v>
      </c>
      <c r="S38" s="40">
        <v>152844132</v>
      </c>
    </row>
  </sheetData>
  <phoneticPr fontId="3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98D9-C46C-46DA-8EBA-081570D5A3BB}">
  <sheetPr codeName="Sheet4"/>
  <dimension ref="A1:N10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E19" sqref="E19"/>
    </sheetView>
  </sheetViews>
  <sheetFormatPr defaultRowHeight="15"/>
  <cols>
    <col min="2" max="2" width="9.28515625" bestFit="1" customWidth="1"/>
    <col min="3" max="3" width="37.7109375" style="8" customWidth="1"/>
    <col min="4" max="4" width="20.42578125" style="8" customWidth="1"/>
    <col min="5" max="6" width="9.140625" style="8" customWidth="1"/>
    <col min="7" max="14" width="14.42578125" style="2" customWidth="1"/>
  </cols>
  <sheetData>
    <row r="1" spans="1:14">
      <c r="A1">
        <f>COUNTA(A3:A107)</f>
        <v>105</v>
      </c>
      <c r="G1" s="2">
        <f>SUBTOTAL(9,G3:G107)</f>
        <v>233239513</v>
      </c>
      <c r="H1" s="2">
        <f>SUBTOTAL(9,H3:H107)</f>
        <v>1662507691</v>
      </c>
      <c r="I1" s="2">
        <f>SUBTOTAL(9,I3:I107)</f>
        <v>256790082</v>
      </c>
      <c r="J1" s="2">
        <f>SUBTOTAL(9,J3:J107)</f>
        <v>351037076</v>
      </c>
      <c r="K1" s="2">
        <f>SUBTOTAL(9,K3:K107)</f>
        <v>256920558</v>
      </c>
      <c r="L1" s="2">
        <f>SUBTOTAL(9,L3:L107)</f>
        <v>295272110</v>
      </c>
      <c r="M1" s="2">
        <f>SUBTOTAL(9,M3:M107)</f>
        <v>382346280</v>
      </c>
      <c r="N1" s="2">
        <f>SUBTOTAL(9,N3:N107)</f>
        <v>557312531</v>
      </c>
    </row>
    <row r="2" spans="1:14" s="37" customFormat="1">
      <c r="A2" s="32" t="s">
        <v>726</v>
      </c>
      <c r="B2" s="33" t="s">
        <v>724</v>
      </c>
      <c r="C2" s="33" t="s">
        <v>728</v>
      </c>
      <c r="D2" s="33" t="s">
        <v>730</v>
      </c>
      <c r="E2" s="33" t="s">
        <v>771</v>
      </c>
      <c r="F2" s="33" t="s">
        <v>782</v>
      </c>
      <c r="G2" s="34" t="s">
        <v>756</v>
      </c>
      <c r="H2" s="34" t="s">
        <v>755</v>
      </c>
      <c r="I2" s="35" t="s">
        <v>711</v>
      </c>
      <c r="J2" s="36" t="s">
        <v>712</v>
      </c>
      <c r="K2" s="36" t="s">
        <v>713</v>
      </c>
      <c r="L2" s="36" t="s">
        <v>714</v>
      </c>
      <c r="M2" s="36" t="s">
        <v>715</v>
      </c>
      <c r="N2" s="36" t="s">
        <v>716</v>
      </c>
    </row>
    <row r="3" spans="1:14">
      <c r="A3" t="s">
        <v>652</v>
      </c>
      <c r="B3" t="s">
        <v>721</v>
      </c>
      <c r="C3" s="8" t="s">
        <v>757</v>
      </c>
      <c r="D3" s="17" t="s">
        <v>741</v>
      </c>
      <c r="E3" s="8" t="s">
        <v>11</v>
      </c>
      <c r="F3" s="8" t="s">
        <v>780</v>
      </c>
      <c r="G3" s="2">
        <v>0</v>
      </c>
      <c r="H3" s="2">
        <v>44750000</v>
      </c>
      <c r="I3" s="2">
        <v>44750000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>
      <c r="A4" t="s">
        <v>563</v>
      </c>
      <c r="B4" t="s">
        <v>721</v>
      </c>
      <c r="C4" s="8" t="s">
        <v>704</v>
      </c>
      <c r="D4" s="17" t="s">
        <v>751</v>
      </c>
      <c r="E4" s="8" t="s">
        <v>1</v>
      </c>
      <c r="F4" s="8" t="s">
        <v>781</v>
      </c>
      <c r="G4" s="2">
        <v>600000</v>
      </c>
      <c r="H4" s="2">
        <v>600000</v>
      </c>
      <c r="I4" s="2">
        <v>600000</v>
      </c>
      <c r="J4" s="2">
        <v>600000</v>
      </c>
      <c r="K4" s="2">
        <v>600000</v>
      </c>
      <c r="L4" s="2">
        <v>600000</v>
      </c>
      <c r="M4" s="2">
        <v>600000</v>
      </c>
      <c r="N4" s="2">
        <v>600000</v>
      </c>
    </row>
    <row r="5" spans="1:14">
      <c r="A5" t="s">
        <v>475</v>
      </c>
      <c r="B5" t="s">
        <v>721</v>
      </c>
      <c r="C5" s="8" t="s">
        <v>758</v>
      </c>
      <c r="D5" s="17" t="s">
        <v>741</v>
      </c>
      <c r="E5" s="8" t="s">
        <v>1</v>
      </c>
      <c r="F5" s="19" t="s">
        <v>782</v>
      </c>
      <c r="G5" s="2">
        <v>250000</v>
      </c>
      <c r="H5" s="2">
        <v>250000</v>
      </c>
      <c r="I5" s="2">
        <v>250000</v>
      </c>
      <c r="J5" s="2">
        <v>250000</v>
      </c>
      <c r="K5" s="2">
        <v>250000</v>
      </c>
      <c r="L5" s="2">
        <v>250000</v>
      </c>
      <c r="M5" s="2">
        <v>250000</v>
      </c>
      <c r="N5" s="2">
        <v>250000</v>
      </c>
    </row>
    <row r="6" spans="1:14">
      <c r="A6" t="s">
        <v>428</v>
      </c>
      <c r="B6" t="s">
        <v>721</v>
      </c>
      <c r="C6" s="8" t="s">
        <v>759</v>
      </c>
      <c r="D6" s="17" t="s">
        <v>741</v>
      </c>
      <c r="E6" s="8" t="s">
        <v>1</v>
      </c>
      <c r="F6" s="19" t="s">
        <v>782</v>
      </c>
      <c r="G6" s="2">
        <v>340000</v>
      </c>
      <c r="H6" s="2">
        <v>340000</v>
      </c>
      <c r="I6" s="2">
        <v>340000</v>
      </c>
      <c r="J6" s="2">
        <v>340000</v>
      </c>
      <c r="K6" s="2">
        <v>340000</v>
      </c>
      <c r="L6" s="2">
        <v>340000</v>
      </c>
      <c r="M6" s="2">
        <v>340000</v>
      </c>
      <c r="N6" s="2">
        <v>340000</v>
      </c>
    </row>
    <row r="7" spans="1:14">
      <c r="A7" t="s">
        <v>516</v>
      </c>
      <c r="B7" t="s">
        <v>721</v>
      </c>
      <c r="C7" s="8" t="s">
        <v>699</v>
      </c>
      <c r="D7" s="17" t="s">
        <v>751</v>
      </c>
      <c r="E7" s="8" t="s">
        <v>11</v>
      </c>
      <c r="F7" s="8" t="s">
        <v>781</v>
      </c>
      <c r="G7" s="2">
        <v>6079036</v>
      </c>
      <c r="H7" s="2">
        <v>6857218</v>
      </c>
      <c r="I7" s="2">
        <v>6556313</v>
      </c>
      <c r="J7" s="2">
        <v>6539942</v>
      </c>
      <c r="K7" s="2">
        <v>6539931</v>
      </c>
      <c r="L7" s="2">
        <v>6490859</v>
      </c>
      <c r="M7" s="2">
        <v>6245379</v>
      </c>
      <c r="N7" s="2">
        <v>6093588</v>
      </c>
    </row>
    <row r="8" spans="1:14">
      <c r="A8" t="s">
        <v>466</v>
      </c>
      <c r="B8" t="s">
        <v>721</v>
      </c>
      <c r="C8" s="8" t="s">
        <v>760</v>
      </c>
      <c r="D8" s="17" t="s">
        <v>741</v>
      </c>
      <c r="E8" s="8" t="s">
        <v>1</v>
      </c>
      <c r="F8" s="19" t="s">
        <v>782</v>
      </c>
      <c r="G8" s="2">
        <v>580000</v>
      </c>
      <c r="H8" s="2">
        <v>580000</v>
      </c>
      <c r="I8" s="2">
        <v>580000</v>
      </c>
      <c r="J8" s="2">
        <v>580000</v>
      </c>
      <c r="K8" s="2">
        <v>580000</v>
      </c>
      <c r="L8" s="2">
        <v>0</v>
      </c>
      <c r="M8" s="2">
        <v>580000</v>
      </c>
      <c r="N8" s="2">
        <v>9140000</v>
      </c>
    </row>
    <row r="9" spans="1:14">
      <c r="A9" t="s">
        <v>523</v>
      </c>
      <c r="B9" t="s">
        <v>721</v>
      </c>
      <c r="C9" s="8" t="s">
        <v>700</v>
      </c>
      <c r="D9" s="17" t="s">
        <v>751</v>
      </c>
      <c r="E9" s="8" t="s">
        <v>11</v>
      </c>
      <c r="F9" s="8" t="s">
        <v>781</v>
      </c>
      <c r="G9" s="2">
        <v>2183645</v>
      </c>
      <c r="H9" s="2">
        <v>2029836</v>
      </c>
      <c r="I9" s="2">
        <v>2365269</v>
      </c>
      <c r="J9" s="2">
        <v>2158113</v>
      </c>
      <c r="K9" s="2">
        <v>2234372</v>
      </c>
      <c r="L9" s="2">
        <v>2153479</v>
      </c>
      <c r="M9" s="2">
        <v>2213461</v>
      </c>
      <c r="N9" s="2">
        <v>2246203</v>
      </c>
    </row>
    <row r="10" spans="1:14">
      <c r="A10" t="s">
        <v>438</v>
      </c>
      <c r="B10" t="s">
        <v>721</v>
      </c>
      <c r="C10" s="8" t="s">
        <v>696</v>
      </c>
      <c r="D10" s="17" t="s">
        <v>751</v>
      </c>
      <c r="E10" s="8" t="s">
        <v>1</v>
      </c>
      <c r="F10" s="8" t="s">
        <v>781</v>
      </c>
      <c r="G10" s="2">
        <v>25201101</v>
      </c>
      <c r="H10" s="2">
        <v>31896001</v>
      </c>
      <c r="I10" s="2">
        <v>0</v>
      </c>
      <c r="J10" s="2">
        <v>114479545</v>
      </c>
      <c r="K10" s="2">
        <v>19590001</v>
      </c>
      <c r="L10" s="2">
        <v>36781816</v>
      </c>
      <c r="M10" s="2">
        <v>34359544</v>
      </c>
      <c r="N10" s="2">
        <v>51570000</v>
      </c>
    </row>
    <row r="11" spans="1:14">
      <c r="A11" t="s">
        <v>570</v>
      </c>
      <c r="B11" t="s">
        <v>721</v>
      </c>
      <c r="C11" s="8" t="s">
        <v>705</v>
      </c>
      <c r="D11" s="17" t="s">
        <v>751</v>
      </c>
      <c r="E11" s="8" t="s">
        <v>11</v>
      </c>
      <c r="F11" s="8" t="s">
        <v>781</v>
      </c>
      <c r="G11" s="2">
        <v>83653580</v>
      </c>
      <c r="H11" s="2">
        <v>109360039</v>
      </c>
      <c r="I11" s="2">
        <v>93751343</v>
      </c>
      <c r="J11" s="2">
        <v>81634449</v>
      </c>
      <c r="K11" s="2">
        <v>86755906</v>
      </c>
      <c r="L11" s="2">
        <v>93113488</v>
      </c>
      <c r="M11" s="2">
        <v>80890486</v>
      </c>
      <c r="N11" s="2">
        <v>82291049</v>
      </c>
    </row>
    <row r="12" spans="1:14">
      <c r="A12" t="s">
        <v>556</v>
      </c>
      <c r="B12" t="s">
        <v>721</v>
      </c>
      <c r="C12" s="8" t="s">
        <v>703</v>
      </c>
      <c r="D12" s="17" t="s">
        <v>751</v>
      </c>
      <c r="E12" s="8" t="s">
        <v>1</v>
      </c>
      <c r="F12" s="8" t="s">
        <v>781</v>
      </c>
      <c r="G12" s="2">
        <v>37493493</v>
      </c>
      <c r="H12" s="2">
        <v>38252960</v>
      </c>
      <c r="I12" s="2">
        <v>37907612</v>
      </c>
      <c r="J12" s="2">
        <v>33431073</v>
      </c>
      <c r="K12" s="2">
        <v>37550375</v>
      </c>
      <c r="L12" s="2">
        <v>37546395</v>
      </c>
      <c r="M12" s="2">
        <v>36764028</v>
      </c>
      <c r="N12" s="2">
        <v>38719629</v>
      </c>
    </row>
    <row r="13" spans="1:14">
      <c r="A13" t="s">
        <v>291</v>
      </c>
      <c r="B13" t="s">
        <v>720</v>
      </c>
      <c r="C13" s="8" t="s">
        <v>765</v>
      </c>
      <c r="D13" s="17" t="s">
        <v>742</v>
      </c>
      <c r="E13" s="8" t="s">
        <v>11</v>
      </c>
      <c r="F13" s="8" t="s">
        <v>781</v>
      </c>
      <c r="G13" s="2">
        <v>230000</v>
      </c>
      <c r="H13" s="2">
        <v>230000</v>
      </c>
      <c r="I13" s="2">
        <v>230000</v>
      </c>
      <c r="J13" s="2">
        <v>230000</v>
      </c>
      <c r="K13" s="2">
        <v>230000</v>
      </c>
      <c r="L13" s="2">
        <v>230000</v>
      </c>
      <c r="M13" s="2">
        <v>230000</v>
      </c>
      <c r="N13" s="2">
        <v>230000</v>
      </c>
    </row>
    <row r="14" spans="1:14">
      <c r="A14" t="s">
        <v>459</v>
      </c>
      <c r="B14" t="s">
        <v>721</v>
      </c>
      <c r="C14" s="8" t="s">
        <v>697</v>
      </c>
      <c r="D14" s="17" t="s">
        <v>751</v>
      </c>
      <c r="E14" s="8" t="s">
        <v>11</v>
      </c>
      <c r="F14" s="8" t="s">
        <v>781</v>
      </c>
      <c r="G14" s="2">
        <v>13428654</v>
      </c>
      <c r="H14" s="2">
        <v>11214819</v>
      </c>
      <c r="I14" s="2">
        <v>11202964</v>
      </c>
      <c r="J14" s="2">
        <v>9129982</v>
      </c>
      <c r="K14" s="2">
        <v>18768346</v>
      </c>
      <c r="L14" s="2">
        <v>13423491</v>
      </c>
      <c r="M14" s="2">
        <v>13225164</v>
      </c>
      <c r="N14" s="2">
        <v>12320291</v>
      </c>
    </row>
    <row r="15" spans="1:14">
      <c r="A15" t="s">
        <v>628</v>
      </c>
      <c r="B15" t="s">
        <v>721</v>
      </c>
      <c r="C15" s="8" t="s">
        <v>706</v>
      </c>
      <c r="D15" s="17" t="s">
        <v>751</v>
      </c>
      <c r="E15" s="8" t="s">
        <v>11</v>
      </c>
      <c r="F15" s="8" t="s">
        <v>781</v>
      </c>
      <c r="G15" s="2">
        <v>1525454</v>
      </c>
      <c r="H15" s="2">
        <v>1864545</v>
      </c>
      <c r="I15" s="2">
        <v>1680000</v>
      </c>
      <c r="J15" s="2">
        <v>1440909</v>
      </c>
      <c r="K15" s="2">
        <v>1832727</v>
      </c>
      <c r="L15" s="2">
        <v>1510000</v>
      </c>
      <c r="M15" s="2">
        <v>1853636</v>
      </c>
      <c r="N15" s="2">
        <v>1436364</v>
      </c>
    </row>
    <row r="16" spans="1:14">
      <c r="A16" t="s">
        <v>29</v>
      </c>
      <c r="B16" t="s">
        <v>718</v>
      </c>
      <c r="C16" s="8" t="s">
        <v>761</v>
      </c>
      <c r="D16" s="17" t="s">
        <v>735</v>
      </c>
      <c r="E16" s="8" t="s">
        <v>11</v>
      </c>
      <c r="F16" s="19" t="s">
        <v>782</v>
      </c>
      <c r="I16" s="2">
        <v>980000</v>
      </c>
      <c r="J16" s="2">
        <v>1740000</v>
      </c>
      <c r="K16" s="2">
        <v>1740000</v>
      </c>
      <c r="L16" s="2">
        <v>1740000</v>
      </c>
      <c r="M16" s="2">
        <v>1740000</v>
      </c>
      <c r="N16" s="2">
        <v>5130000</v>
      </c>
    </row>
    <row r="17" spans="1:14">
      <c r="A17" t="s">
        <v>444</v>
      </c>
      <c r="B17" t="s">
        <v>722</v>
      </c>
      <c r="C17" s="8" t="s">
        <v>445</v>
      </c>
      <c r="D17" s="17" t="s">
        <v>750</v>
      </c>
      <c r="E17" s="8" t="s">
        <v>11</v>
      </c>
      <c r="F17" s="8" t="s">
        <v>781</v>
      </c>
      <c r="I17" s="2">
        <v>0</v>
      </c>
      <c r="J17" s="2">
        <v>6425000</v>
      </c>
      <c r="K17" s="2">
        <v>6425000</v>
      </c>
      <c r="L17" s="2">
        <v>9875000</v>
      </c>
      <c r="M17" s="2">
        <v>9919000</v>
      </c>
      <c r="N17" s="2">
        <v>15903000</v>
      </c>
    </row>
    <row r="18" spans="1:14">
      <c r="A18" t="s">
        <v>450</v>
      </c>
      <c r="B18" t="s">
        <v>719</v>
      </c>
      <c r="C18" s="8" t="s">
        <v>451</v>
      </c>
      <c r="D18" s="17" t="s">
        <v>736</v>
      </c>
      <c r="E18" s="8" t="s">
        <v>11</v>
      </c>
      <c r="F18" s="8" t="s">
        <v>781</v>
      </c>
      <c r="I18" s="2">
        <v>0</v>
      </c>
      <c r="J18" s="2">
        <v>0</v>
      </c>
      <c r="K18" s="2">
        <v>80945</v>
      </c>
      <c r="L18" s="2">
        <v>16291</v>
      </c>
      <c r="M18" s="2">
        <v>22255</v>
      </c>
      <c r="N18" s="2">
        <v>22255</v>
      </c>
    </row>
    <row r="19" spans="1:14">
      <c r="A19" t="s">
        <v>94</v>
      </c>
      <c r="B19" t="s">
        <v>718</v>
      </c>
      <c r="C19" s="8" t="s">
        <v>95</v>
      </c>
      <c r="D19" s="17" t="s">
        <v>42</v>
      </c>
      <c r="E19" s="8" t="s">
        <v>11</v>
      </c>
      <c r="F19" s="8" t="s">
        <v>781</v>
      </c>
      <c r="J19" s="2">
        <v>0</v>
      </c>
      <c r="K19" s="2">
        <v>600000</v>
      </c>
      <c r="L19" s="2">
        <v>600000</v>
      </c>
      <c r="M19" s="2">
        <v>600000</v>
      </c>
      <c r="N19" s="2">
        <v>600000</v>
      </c>
    </row>
    <row r="20" spans="1:14">
      <c r="A20" t="s">
        <v>145</v>
      </c>
      <c r="B20" t="s">
        <v>718</v>
      </c>
      <c r="C20" s="8" t="s">
        <v>146</v>
      </c>
      <c r="D20" s="8" t="s">
        <v>739</v>
      </c>
      <c r="E20" s="8" t="s">
        <v>1</v>
      </c>
      <c r="F20" s="8" t="s">
        <v>781</v>
      </c>
      <c r="L20" s="2">
        <v>280000</v>
      </c>
      <c r="M20" s="2">
        <v>280000</v>
      </c>
      <c r="N20" s="2">
        <v>280000</v>
      </c>
    </row>
    <row r="21" spans="1:14">
      <c r="A21" t="s">
        <v>84</v>
      </c>
      <c r="B21" t="s">
        <v>718</v>
      </c>
      <c r="C21" s="8" t="s">
        <v>85</v>
      </c>
      <c r="D21" s="17" t="s">
        <v>734</v>
      </c>
      <c r="E21" s="8" t="s">
        <v>1</v>
      </c>
      <c r="F21" s="8" t="s">
        <v>780</v>
      </c>
      <c r="N21" s="2">
        <v>25829280</v>
      </c>
    </row>
    <row r="22" spans="1:14">
      <c r="A22" t="s">
        <v>133</v>
      </c>
      <c r="B22" t="s">
        <v>720</v>
      </c>
      <c r="C22" s="8" t="s">
        <v>134</v>
      </c>
      <c r="D22" s="8" t="s">
        <v>131</v>
      </c>
      <c r="E22" s="8" t="s">
        <v>11</v>
      </c>
      <c r="F22" s="8" t="s">
        <v>781</v>
      </c>
      <c r="L22" s="2">
        <v>750000</v>
      </c>
      <c r="M22" s="2">
        <v>750000</v>
      </c>
      <c r="N22" s="2">
        <v>750000</v>
      </c>
    </row>
    <row r="23" spans="1:14">
      <c r="A23" t="s">
        <v>124</v>
      </c>
      <c r="B23" t="s">
        <v>719</v>
      </c>
      <c r="C23" s="8" t="s">
        <v>125</v>
      </c>
      <c r="D23" s="8" t="s">
        <v>736</v>
      </c>
      <c r="E23" s="8" t="s">
        <v>11</v>
      </c>
      <c r="F23" s="8" t="s">
        <v>781</v>
      </c>
      <c r="K23" s="2">
        <v>107336</v>
      </c>
      <c r="L23" s="2">
        <v>29455</v>
      </c>
      <c r="M23" s="2">
        <v>51709</v>
      </c>
      <c r="N23" s="2">
        <v>41091</v>
      </c>
    </row>
    <row r="24" spans="1:14">
      <c r="A24" t="s">
        <v>118</v>
      </c>
      <c r="B24" t="s">
        <v>719</v>
      </c>
      <c r="C24" s="8" t="s">
        <v>119</v>
      </c>
      <c r="D24" s="8" t="s">
        <v>736</v>
      </c>
      <c r="E24" s="8" t="s">
        <v>11</v>
      </c>
      <c r="F24" s="8" t="s">
        <v>781</v>
      </c>
      <c r="L24" s="2">
        <v>121382</v>
      </c>
      <c r="M24" s="2">
        <v>146691</v>
      </c>
      <c r="N24" s="2">
        <v>96218</v>
      </c>
    </row>
    <row r="25" spans="1:14">
      <c r="A25" t="s">
        <v>110</v>
      </c>
      <c r="B25" t="s">
        <v>719</v>
      </c>
      <c r="C25" s="8" t="s">
        <v>111</v>
      </c>
      <c r="D25" s="8" t="s">
        <v>736</v>
      </c>
      <c r="E25" s="8" t="s">
        <v>11</v>
      </c>
      <c r="F25" s="8" t="s">
        <v>781</v>
      </c>
      <c r="L25" s="2">
        <v>73236</v>
      </c>
      <c r="M25" s="2">
        <v>87782</v>
      </c>
      <c r="N25" s="2">
        <v>58473</v>
      </c>
    </row>
    <row r="26" spans="1:14">
      <c r="A26" t="s">
        <v>102</v>
      </c>
      <c r="B26" t="s">
        <v>719</v>
      </c>
      <c r="C26" s="8" t="s">
        <v>103</v>
      </c>
      <c r="D26" s="8" t="s">
        <v>736</v>
      </c>
      <c r="E26" s="8" t="s">
        <v>11</v>
      </c>
      <c r="F26" s="8" t="s">
        <v>781</v>
      </c>
      <c r="L26" s="2">
        <v>49309</v>
      </c>
      <c r="M26" s="2">
        <v>59055</v>
      </c>
      <c r="N26" s="2">
        <v>37964</v>
      </c>
    </row>
    <row r="27" spans="1:14">
      <c r="A27" t="s">
        <v>492</v>
      </c>
      <c r="B27" t="s">
        <v>718</v>
      </c>
      <c r="C27" s="8" t="s">
        <v>493</v>
      </c>
      <c r="D27" s="8" t="s">
        <v>739</v>
      </c>
      <c r="E27" s="8" t="s">
        <v>11</v>
      </c>
      <c r="F27" s="8" t="s">
        <v>781</v>
      </c>
      <c r="I27" s="2">
        <v>2273400</v>
      </c>
      <c r="J27" s="2">
        <v>2710400</v>
      </c>
      <c r="K27" s="2">
        <v>2710400</v>
      </c>
      <c r="L27" s="2">
        <v>2710400</v>
      </c>
      <c r="M27" s="2">
        <v>2710400</v>
      </c>
      <c r="N27" s="2">
        <v>2710400</v>
      </c>
    </row>
    <row r="28" spans="1:14">
      <c r="A28" t="s">
        <v>481</v>
      </c>
      <c r="B28" t="s">
        <v>720</v>
      </c>
      <c r="C28" s="8" t="s">
        <v>482</v>
      </c>
      <c r="D28" s="17" t="s">
        <v>752</v>
      </c>
      <c r="E28" s="8" t="s">
        <v>11</v>
      </c>
      <c r="F28" s="8" t="s">
        <v>780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13030</v>
      </c>
    </row>
    <row r="29" spans="1:14">
      <c r="A29" t="s">
        <v>484</v>
      </c>
      <c r="B29" t="s">
        <v>719</v>
      </c>
      <c r="C29" s="8" t="s">
        <v>485</v>
      </c>
      <c r="D29" s="17" t="s">
        <v>736</v>
      </c>
      <c r="E29" s="8" t="s">
        <v>11</v>
      </c>
      <c r="F29" s="8" t="s">
        <v>781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23055</v>
      </c>
    </row>
    <row r="30" spans="1:14">
      <c r="A30" t="s">
        <v>190</v>
      </c>
      <c r="B30" t="s">
        <v>718</v>
      </c>
      <c r="C30" s="8" t="s">
        <v>191</v>
      </c>
      <c r="D30" s="17" t="s">
        <v>733</v>
      </c>
      <c r="E30" s="8" t="s">
        <v>11</v>
      </c>
      <c r="F30" s="8" t="s">
        <v>780</v>
      </c>
      <c r="J30" s="2">
        <v>50000000</v>
      </c>
      <c r="K30" s="2">
        <v>0</v>
      </c>
      <c r="L30" s="2">
        <v>0</v>
      </c>
      <c r="M30" s="2">
        <v>0</v>
      </c>
      <c r="N30" s="2">
        <v>0</v>
      </c>
    </row>
    <row r="31" spans="1:14">
      <c r="A31" t="s">
        <v>159</v>
      </c>
      <c r="B31" t="s">
        <v>718</v>
      </c>
      <c r="C31" s="8" t="s">
        <v>160</v>
      </c>
      <c r="D31" s="17" t="s">
        <v>735</v>
      </c>
      <c r="E31" s="8" t="s">
        <v>11</v>
      </c>
      <c r="F31" s="8" t="s">
        <v>780</v>
      </c>
      <c r="J31" s="2">
        <v>0</v>
      </c>
      <c r="K31" s="2">
        <v>1500000</v>
      </c>
      <c r="L31" s="2">
        <v>0</v>
      </c>
      <c r="M31" s="2">
        <v>0</v>
      </c>
      <c r="N31" s="2">
        <v>0</v>
      </c>
    </row>
    <row r="32" spans="1:14">
      <c r="A32" t="s">
        <v>156</v>
      </c>
      <c r="B32" t="s">
        <v>718</v>
      </c>
      <c r="C32" s="8" t="s">
        <v>157</v>
      </c>
      <c r="D32" s="17" t="s">
        <v>734</v>
      </c>
      <c r="E32" s="8" t="s">
        <v>1</v>
      </c>
      <c r="F32" s="8" t="s">
        <v>780</v>
      </c>
      <c r="N32" s="2">
        <v>9250000</v>
      </c>
    </row>
    <row r="33" spans="1:14">
      <c r="A33" t="s">
        <v>171</v>
      </c>
      <c r="B33" t="s">
        <v>718</v>
      </c>
      <c r="C33" s="8" t="s">
        <v>172</v>
      </c>
      <c r="D33" s="17" t="s">
        <v>740</v>
      </c>
      <c r="E33" s="8" t="s">
        <v>1</v>
      </c>
      <c r="F33" s="8" t="s">
        <v>780</v>
      </c>
      <c r="N33" s="2">
        <v>16931000</v>
      </c>
    </row>
    <row r="34" spans="1:14">
      <c r="A34" t="s">
        <v>186</v>
      </c>
      <c r="B34" t="s">
        <v>719</v>
      </c>
      <c r="C34" s="8" t="s">
        <v>187</v>
      </c>
      <c r="D34" s="8" t="s">
        <v>736</v>
      </c>
      <c r="E34" s="8" t="s">
        <v>11</v>
      </c>
      <c r="F34" s="8" t="s">
        <v>781</v>
      </c>
      <c r="K34" s="2">
        <v>17727</v>
      </c>
      <c r="L34" s="2">
        <v>20073</v>
      </c>
      <c r="M34" s="2">
        <v>10036</v>
      </c>
      <c r="N34" s="2">
        <v>9236</v>
      </c>
    </row>
    <row r="35" spans="1:14">
      <c r="A35" t="s">
        <v>180</v>
      </c>
      <c r="B35" t="s">
        <v>719</v>
      </c>
      <c r="C35" s="8" t="s">
        <v>181</v>
      </c>
      <c r="D35" s="8" t="s">
        <v>736</v>
      </c>
      <c r="E35" s="8" t="s">
        <v>11</v>
      </c>
      <c r="F35" s="8" t="s">
        <v>781</v>
      </c>
      <c r="K35" s="2">
        <v>16945</v>
      </c>
      <c r="L35" s="2">
        <v>6764</v>
      </c>
      <c r="M35" s="2">
        <v>17382</v>
      </c>
      <c r="N35" s="2">
        <v>4364</v>
      </c>
    </row>
    <row r="36" spans="1:14">
      <c r="A36" t="s">
        <v>183</v>
      </c>
      <c r="B36" t="s">
        <v>719</v>
      </c>
      <c r="C36" s="8" t="s">
        <v>184</v>
      </c>
      <c r="D36" s="8" t="s">
        <v>736</v>
      </c>
      <c r="E36" s="8" t="s">
        <v>11</v>
      </c>
      <c r="F36" s="8" t="s">
        <v>781</v>
      </c>
      <c r="K36" s="2">
        <v>26982</v>
      </c>
      <c r="L36" s="2">
        <v>18618</v>
      </c>
      <c r="M36" s="2">
        <v>14473</v>
      </c>
      <c r="N36" s="2">
        <v>9891</v>
      </c>
    </row>
    <row r="37" spans="1:14">
      <c r="A37" t="s">
        <v>495</v>
      </c>
      <c r="B37" t="s">
        <v>723</v>
      </c>
      <c r="C37" s="8" t="s">
        <v>496</v>
      </c>
      <c r="D37" s="8" t="s">
        <v>275</v>
      </c>
      <c r="E37" s="8" t="s">
        <v>11</v>
      </c>
      <c r="F37" s="8" t="s">
        <v>780</v>
      </c>
      <c r="I37" s="2">
        <v>0</v>
      </c>
      <c r="J37" s="2">
        <v>0</v>
      </c>
      <c r="K37" s="2">
        <v>0</v>
      </c>
      <c r="L37" s="2">
        <v>0</v>
      </c>
      <c r="M37" s="2">
        <v>24900000</v>
      </c>
      <c r="N37" s="2">
        <v>0</v>
      </c>
    </row>
    <row r="38" spans="1:14">
      <c r="A38" t="s">
        <v>501</v>
      </c>
      <c r="B38" t="s">
        <v>722</v>
      </c>
      <c r="C38" s="8" t="s">
        <v>502</v>
      </c>
      <c r="D38" s="8" t="s">
        <v>750</v>
      </c>
      <c r="E38" s="8" t="s">
        <v>11</v>
      </c>
      <c r="F38" s="8" t="s">
        <v>781</v>
      </c>
      <c r="I38" s="2">
        <v>0</v>
      </c>
      <c r="J38" s="2">
        <v>855000</v>
      </c>
      <c r="K38" s="2">
        <v>855000</v>
      </c>
      <c r="L38" s="2">
        <v>855000</v>
      </c>
      <c r="M38" s="2">
        <v>855000</v>
      </c>
      <c r="N38" s="2">
        <v>855000</v>
      </c>
    </row>
    <row r="39" spans="1:14">
      <c r="A39" t="s">
        <v>507</v>
      </c>
      <c r="B39" t="s">
        <v>719</v>
      </c>
      <c r="C39" s="8" t="s">
        <v>508</v>
      </c>
      <c r="D39" s="8" t="s">
        <v>418</v>
      </c>
      <c r="E39" s="8" t="s">
        <v>11</v>
      </c>
      <c r="F39" s="8" t="s">
        <v>781</v>
      </c>
      <c r="I39" s="2">
        <v>0</v>
      </c>
      <c r="J39" s="2">
        <v>0</v>
      </c>
      <c r="K39" s="2">
        <v>0</v>
      </c>
      <c r="L39" s="2">
        <v>0</v>
      </c>
      <c r="M39" s="2">
        <v>23909</v>
      </c>
      <c r="N39" s="2">
        <v>0</v>
      </c>
    </row>
    <row r="40" spans="1:14">
      <c r="A40" t="s">
        <v>214</v>
      </c>
      <c r="B40" t="s">
        <v>718</v>
      </c>
      <c r="C40" s="8" t="s">
        <v>762</v>
      </c>
      <c r="D40" s="8" t="s">
        <v>42</v>
      </c>
      <c r="E40" s="8" t="s">
        <v>11</v>
      </c>
      <c r="F40" s="8" t="s">
        <v>781</v>
      </c>
      <c r="J40" s="2">
        <v>0</v>
      </c>
      <c r="K40" s="2">
        <v>780000</v>
      </c>
      <c r="L40" s="2">
        <v>0</v>
      </c>
      <c r="M40" s="2">
        <v>0</v>
      </c>
      <c r="N40" s="2">
        <v>0</v>
      </c>
    </row>
    <row r="41" spans="1:14">
      <c r="A41" t="s">
        <v>202</v>
      </c>
      <c r="B41" t="s">
        <v>718</v>
      </c>
      <c r="C41" s="8" t="s">
        <v>203</v>
      </c>
      <c r="D41" s="8" t="s">
        <v>735</v>
      </c>
      <c r="E41" s="8" t="s">
        <v>11</v>
      </c>
      <c r="F41" s="8" t="s">
        <v>780</v>
      </c>
      <c r="K41" s="2">
        <v>0</v>
      </c>
      <c r="L41" s="2">
        <v>8637000</v>
      </c>
      <c r="M41" s="2">
        <v>38500000</v>
      </c>
      <c r="N41" s="2">
        <v>1260000</v>
      </c>
    </row>
    <row r="42" spans="1:14">
      <c r="A42" t="s">
        <v>259</v>
      </c>
      <c r="B42" t="s">
        <v>718</v>
      </c>
      <c r="C42" s="8" t="s">
        <v>260</v>
      </c>
      <c r="D42" s="8" t="s">
        <v>257</v>
      </c>
      <c r="E42" s="8" t="s">
        <v>11</v>
      </c>
      <c r="F42" s="8" t="s">
        <v>780</v>
      </c>
      <c r="M42" s="2">
        <v>1330000</v>
      </c>
      <c r="N42" s="2">
        <v>2139000</v>
      </c>
    </row>
    <row r="43" spans="1:14">
      <c r="A43" t="s">
        <v>401</v>
      </c>
      <c r="B43" t="s">
        <v>718</v>
      </c>
      <c r="C43" s="8" t="s">
        <v>402</v>
      </c>
      <c r="D43" s="8" t="s">
        <v>739</v>
      </c>
      <c r="E43" s="8" t="s">
        <v>11</v>
      </c>
      <c r="F43" s="8" t="s">
        <v>781</v>
      </c>
      <c r="M43" s="2">
        <v>0</v>
      </c>
      <c r="N43" s="2">
        <v>350000</v>
      </c>
    </row>
    <row r="44" spans="1:14">
      <c r="A44" t="s">
        <v>252</v>
      </c>
      <c r="B44" t="s">
        <v>720</v>
      </c>
      <c r="C44" s="8" t="s">
        <v>253</v>
      </c>
      <c r="D44" s="8" t="s">
        <v>131</v>
      </c>
      <c r="E44" s="8" t="s">
        <v>11</v>
      </c>
      <c r="F44" s="8" t="s">
        <v>781</v>
      </c>
      <c r="J44" s="2">
        <v>600000</v>
      </c>
      <c r="K44" s="2">
        <v>600000</v>
      </c>
      <c r="L44" s="2">
        <v>600000</v>
      </c>
      <c r="M44" s="2">
        <v>600000</v>
      </c>
      <c r="N44" s="2">
        <v>1500000</v>
      </c>
    </row>
    <row r="45" spans="1:14">
      <c r="A45" t="s">
        <v>221</v>
      </c>
      <c r="B45" t="s">
        <v>720</v>
      </c>
      <c r="C45" s="8" t="s">
        <v>222</v>
      </c>
      <c r="D45" s="8" t="s">
        <v>742</v>
      </c>
      <c r="E45" s="8" t="s">
        <v>11</v>
      </c>
      <c r="F45" s="8" t="s">
        <v>781</v>
      </c>
      <c r="M45" s="2">
        <v>0</v>
      </c>
      <c r="N45" s="2">
        <v>1217000</v>
      </c>
    </row>
    <row r="46" spans="1:14">
      <c r="A46" t="s">
        <v>209</v>
      </c>
      <c r="B46" t="s">
        <v>719</v>
      </c>
      <c r="C46" s="8" t="s">
        <v>210</v>
      </c>
      <c r="D46" s="8" t="s">
        <v>208</v>
      </c>
      <c r="E46" s="8" t="s">
        <v>1</v>
      </c>
      <c r="F46" s="8" t="s">
        <v>781</v>
      </c>
      <c r="J46" s="2">
        <v>0</v>
      </c>
      <c r="K46" s="2">
        <v>54552</v>
      </c>
      <c r="L46" s="2">
        <v>54552</v>
      </c>
      <c r="M46" s="2">
        <v>54552</v>
      </c>
      <c r="N46" s="2">
        <v>54552</v>
      </c>
    </row>
    <row r="47" spans="1:14">
      <c r="A47" t="s">
        <v>240</v>
      </c>
      <c r="B47" t="s">
        <v>719</v>
      </c>
      <c r="C47" s="8" t="s">
        <v>241</v>
      </c>
      <c r="D47" s="8" t="s">
        <v>736</v>
      </c>
      <c r="E47" s="8" t="s">
        <v>11</v>
      </c>
      <c r="F47" s="8" t="s">
        <v>781</v>
      </c>
      <c r="K47" s="2">
        <v>83927</v>
      </c>
      <c r="L47" s="2">
        <v>14336</v>
      </c>
      <c r="M47" s="2">
        <v>4682</v>
      </c>
      <c r="N47" s="2">
        <v>5091</v>
      </c>
    </row>
    <row r="48" spans="1:14">
      <c r="A48" t="s">
        <v>234</v>
      </c>
      <c r="B48" t="s">
        <v>719</v>
      </c>
      <c r="C48" s="8" t="s">
        <v>235</v>
      </c>
      <c r="D48" s="8" t="s">
        <v>736</v>
      </c>
      <c r="E48" s="8" t="s">
        <v>11</v>
      </c>
      <c r="F48" s="8" t="s">
        <v>781</v>
      </c>
      <c r="K48" s="2">
        <v>439059</v>
      </c>
      <c r="L48" s="2">
        <v>67155</v>
      </c>
      <c r="M48" s="2">
        <v>55245</v>
      </c>
      <c r="N48" s="2">
        <v>45064</v>
      </c>
    </row>
    <row r="49" spans="1:14">
      <c r="A49" t="s">
        <v>246</v>
      </c>
      <c r="B49" t="s">
        <v>719</v>
      </c>
      <c r="C49" s="8" t="s">
        <v>247</v>
      </c>
      <c r="D49" s="8" t="s">
        <v>736</v>
      </c>
      <c r="E49" s="8" t="s">
        <v>11</v>
      </c>
      <c r="F49" s="8" t="s">
        <v>781</v>
      </c>
      <c r="K49" s="2">
        <v>29073</v>
      </c>
      <c r="L49" s="2">
        <v>22118</v>
      </c>
      <c r="M49" s="2">
        <v>9318</v>
      </c>
      <c r="N49" s="2">
        <v>23500</v>
      </c>
    </row>
    <row r="50" spans="1:14">
      <c r="A50" t="s">
        <v>396</v>
      </c>
      <c r="B50" t="s">
        <v>719</v>
      </c>
      <c r="C50" s="8" t="s">
        <v>397</v>
      </c>
      <c r="D50" s="8" t="s">
        <v>736</v>
      </c>
      <c r="E50" s="8" t="s">
        <v>11</v>
      </c>
      <c r="F50" s="8" t="s">
        <v>781</v>
      </c>
      <c r="L50" s="2">
        <v>23855</v>
      </c>
      <c r="M50" s="2">
        <v>35855</v>
      </c>
      <c r="N50" s="2">
        <v>20000</v>
      </c>
    </row>
    <row r="51" spans="1:14">
      <c r="A51" t="s">
        <v>529</v>
      </c>
      <c r="B51" t="s">
        <v>722</v>
      </c>
      <c r="C51" s="8" t="s">
        <v>530</v>
      </c>
      <c r="D51" s="8" t="s">
        <v>750</v>
      </c>
      <c r="E51" s="8" t="s">
        <v>11</v>
      </c>
      <c r="F51" s="8" t="s">
        <v>781</v>
      </c>
      <c r="I51" s="2">
        <v>0</v>
      </c>
      <c r="J51" s="2">
        <v>950000</v>
      </c>
      <c r="K51" s="2">
        <v>950000</v>
      </c>
      <c r="L51" s="2">
        <v>950000</v>
      </c>
      <c r="M51" s="2">
        <v>950000</v>
      </c>
      <c r="N51" s="2">
        <v>950000</v>
      </c>
    </row>
    <row r="52" spans="1:14">
      <c r="A52" t="s">
        <v>535</v>
      </c>
      <c r="B52" t="s">
        <v>723</v>
      </c>
      <c r="C52" s="8" t="s">
        <v>536</v>
      </c>
      <c r="D52" s="8" t="s">
        <v>417</v>
      </c>
      <c r="E52" s="8" t="s">
        <v>11</v>
      </c>
      <c r="F52" s="8" t="s">
        <v>780</v>
      </c>
      <c r="L52" s="2">
        <v>4090909</v>
      </c>
      <c r="M52" s="2">
        <v>0</v>
      </c>
      <c r="N52" s="2">
        <v>0</v>
      </c>
    </row>
    <row r="53" spans="1:14">
      <c r="A53" t="s">
        <v>281</v>
      </c>
      <c r="B53" t="s">
        <v>719</v>
      </c>
      <c r="C53" s="8" t="s">
        <v>282</v>
      </c>
      <c r="D53" s="17" t="s">
        <v>736</v>
      </c>
      <c r="E53" s="8" t="s">
        <v>1</v>
      </c>
      <c r="F53" s="8" t="s">
        <v>781</v>
      </c>
      <c r="J53" s="2">
        <v>0</v>
      </c>
      <c r="K53" s="2">
        <v>8930250</v>
      </c>
      <c r="L53" s="2">
        <v>8729750</v>
      </c>
      <c r="M53" s="2">
        <v>9080500</v>
      </c>
      <c r="N53" s="2">
        <v>9070250</v>
      </c>
    </row>
    <row r="54" spans="1:14">
      <c r="A54" t="s">
        <v>284</v>
      </c>
      <c r="B54" t="s">
        <v>719</v>
      </c>
      <c r="C54" s="8" t="s">
        <v>285</v>
      </c>
      <c r="D54" s="17" t="s">
        <v>736</v>
      </c>
      <c r="E54" s="8" t="s">
        <v>11</v>
      </c>
      <c r="F54" s="8" t="s">
        <v>781</v>
      </c>
      <c r="K54" s="2">
        <v>26955</v>
      </c>
      <c r="L54" s="2">
        <v>2545</v>
      </c>
      <c r="M54" s="2">
        <v>4364</v>
      </c>
      <c r="N54" s="2">
        <v>0</v>
      </c>
    </row>
    <row r="55" spans="1:14">
      <c r="A55" t="s">
        <v>273</v>
      </c>
      <c r="B55" t="s">
        <v>719</v>
      </c>
      <c r="C55" s="8" t="s">
        <v>274</v>
      </c>
      <c r="D55" s="8" t="s">
        <v>744</v>
      </c>
      <c r="E55" s="8" t="s">
        <v>1</v>
      </c>
      <c r="F55" s="8" t="s">
        <v>781</v>
      </c>
      <c r="L55" s="2">
        <v>0</v>
      </c>
      <c r="M55" s="2">
        <v>0</v>
      </c>
      <c r="N55" s="2">
        <v>10246749</v>
      </c>
    </row>
    <row r="56" spans="1:14">
      <c r="A56" t="s">
        <v>589</v>
      </c>
      <c r="B56" t="s">
        <v>720</v>
      </c>
      <c r="C56" s="8" t="s">
        <v>590</v>
      </c>
      <c r="D56" s="8" t="s">
        <v>742</v>
      </c>
      <c r="E56" s="8" t="s">
        <v>11</v>
      </c>
      <c r="F56" s="8" t="s">
        <v>781</v>
      </c>
      <c r="G56" s="2">
        <v>0</v>
      </c>
      <c r="H56" s="2">
        <v>385000</v>
      </c>
      <c r="I56" s="2">
        <v>385000</v>
      </c>
      <c r="J56" s="2">
        <v>385000</v>
      </c>
      <c r="K56" s="2">
        <v>385000</v>
      </c>
      <c r="L56" s="2">
        <v>385000</v>
      </c>
      <c r="M56" s="2">
        <v>1185000</v>
      </c>
      <c r="N56" s="2">
        <v>1185000</v>
      </c>
    </row>
    <row r="57" spans="1:14">
      <c r="A57" t="s">
        <v>583</v>
      </c>
      <c r="B57" t="s">
        <v>720</v>
      </c>
      <c r="C57" s="8" t="s">
        <v>584</v>
      </c>
      <c r="D57" s="8" t="s">
        <v>753</v>
      </c>
      <c r="E57" s="8" t="s">
        <v>11</v>
      </c>
      <c r="F57" s="8" t="s">
        <v>781</v>
      </c>
      <c r="I57" s="2">
        <v>0</v>
      </c>
      <c r="J57" s="2">
        <v>0</v>
      </c>
      <c r="K57" s="2">
        <v>0</v>
      </c>
      <c r="L57" s="2">
        <v>95000</v>
      </c>
      <c r="M57" s="2">
        <v>95000</v>
      </c>
      <c r="N57" s="2">
        <v>95000</v>
      </c>
    </row>
    <row r="58" spans="1:14">
      <c r="A58" t="s">
        <v>606</v>
      </c>
      <c r="B58" t="s">
        <v>719</v>
      </c>
      <c r="C58" s="8" t="s">
        <v>607</v>
      </c>
      <c r="D58" s="8" t="s">
        <v>746</v>
      </c>
      <c r="E58" s="8" t="s">
        <v>11</v>
      </c>
      <c r="F58" s="8" t="s">
        <v>781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5000000</v>
      </c>
    </row>
    <row r="59" spans="1:14">
      <c r="A59" t="s">
        <v>612</v>
      </c>
      <c r="B59" t="s">
        <v>719</v>
      </c>
      <c r="C59" s="8" t="s">
        <v>613</v>
      </c>
      <c r="D59" s="8" t="s">
        <v>208</v>
      </c>
      <c r="E59" s="8" t="s">
        <v>11</v>
      </c>
      <c r="F59" s="8" t="s">
        <v>781</v>
      </c>
      <c r="I59" s="2">
        <v>0</v>
      </c>
      <c r="J59" s="2">
        <v>940827</v>
      </c>
      <c r="K59" s="2">
        <v>921750</v>
      </c>
      <c r="L59" s="2">
        <v>829367</v>
      </c>
      <c r="M59" s="2">
        <v>970543</v>
      </c>
      <c r="N59" s="2">
        <v>903939</v>
      </c>
    </row>
    <row r="60" spans="1:14">
      <c r="A60" t="s">
        <v>615</v>
      </c>
      <c r="B60" t="s">
        <v>719</v>
      </c>
      <c r="C60" s="8" t="s">
        <v>616</v>
      </c>
      <c r="D60" s="8" t="s">
        <v>418</v>
      </c>
      <c r="E60" s="8" t="s">
        <v>11</v>
      </c>
      <c r="F60" s="8" t="s">
        <v>781</v>
      </c>
      <c r="I60" s="2">
        <v>0</v>
      </c>
      <c r="J60" s="2">
        <v>0</v>
      </c>
      <c r="K60" s="2">
        <v>23364</v>
      </c>
      <c r="L60" s="2">
        <v>0</v>
      </c>
      <c r="M60" s="2">
        <v>0</v>
      </c>
      <c r="N60" s="2">
        <v>0</v>
      </c>
    </row>
    <row r="61" spans="1:14">
      <c r="A61" t="s">
        <v>621</v>
      </c>
      <c r="B61" t="s">
        <v>719</v>
      </c>
      <c r="C61" s="8" t="s">
        <v>622</v>
      </c>
      <c r="D61" s="8" t="s">
        <v>747</v>
      </c>
      <c r="E61" s="8" t="s">
        <v>11</v>
      </c>
      <c r="F61" s="8" t="s">
        <v>781</v>
      </c>
      <c r="I61" s="2">
        <v>0</v>
      </c>
      <c r="J61" s="2">
        <v>0</v>
      </c>
      <c r="K61" s="2">
        <v>0</v>
      </c>
      <c r="L61" s="2">
        <v>0</v>
      </c>
      <c r="M61" s="2">
        <v>25000</v>
      </c>
      <c r="N61" s="2">
        <v>25000</v>
      </c>
    </row>
    <row r="62" spans="1:14">
      <c r="A62" t="s">
        <v>595</v>
      </c>
      <c r="B62" t="s">
        <v>720</v>
      </c>
      <c r="C62" s="8" t="s">
        <v>596</v>
      </c>
      <c r="D62" s="8" t="s">
        <v>131</v>
      </c>
      <c r="E62" s="8" t="s">
        <v>11</v>
      </c>
      <c r="F62" s="8" t="s">
        <v>781</v>
      </c>
      <c r="I62" s="2">
        <v>0</v>
      </c>
      <c r="J62" s="2">
        <v>0</v>
      </c>
      <c r="K62" s="2">
        <v>300000</v>
      </c>
      <c r="L62" s="2">
        <v>300000</v>
      </c>
      <c r="M62" s="2">
        <v>300000</v>
      </c>
      <c r="N62" s="2">
        <v>900000</v>
      </c>
    </row>
    <row r="63" spans="1:14">
      <c r="A63" t="s">
        <v>603</v>
      </c>
      <c r="B63" t="s">
        <v>719</v>
      </c>
      <c r="C63" s="8" t="s">
        <v>604</v>
      </c>
      <c r="D63" s="8" t="s">
        <v>754</v>
      </c>
      <c r="E63" s="8" t="s">
        <v>11</v>
      </c>
      <c r="F63" s="8" t="s">
        <v>781</v>
      </c>
      <c r="L63" s="2">
        <v>0</v>
      </c>
      <c r="M63" s="2">
        <v>939600</v>
      </c>
      <c r="N63" s="2">
        <v>0</v>
      </c>
    </row>
    <row r="64" spans="1:14">
      <c r="A64" t="s">
        <v>312</v>
      </c>
      <c r="B64" t="s">
        <v>718</v>
      </c>
      <c r="C64" s="8" t="s">
        <v>313</v>
      </c>
      <c r="D64" s="8" t="s">
        <v>42</v>
      </c>
      <c r="E64" s="8" t="s">
        <v>11</v>
      </c>
      <c r="F64" s="8" t="s">
        <v>781</v>
      </c>
      <c r="L64" s="2">
        <v>450000</v>
      </c>
      <c r="M64" s="2">
        <v>450000</v>
      </c>
      <c r="N64" s="2">
        <v>449950</v>
      </c>
    </row>
    <row r="65" spans="1:14">
      <c r="A65" t="s">
        <v>320</v>
      </c>
      <c r="B65" t="s">
        <v>718</v>
      </c>
      <c r="C65" s="8" t="s">
        <v>321</v>
      </c>
      <c r="D65" s="8" t="s">
        <v>739</v>
      </c>
      <c r="E65" s="8" t="s">
        <v>11</v>
      </c>
      <c r="F65" s="8" t="s">
        <v>781</v>
      </c>
      <c r="L65" s="2">
        <v>500000</v>
      </c>
      <c r="M65" s="2">
        <v>500000</v>
      </c>
      <c r="N65" s="2">
        <v>499950</v>
      </c>
    </row>
    <row r="66" spans="1:14">
      <c r="A66" t="s">
        <v>297</v>
      </c>
      <c r="B66" t="s">
        <v>718</v>
      </c>
      <c r="C66" s="8" t="s">
        <v>298</v>
      </c>
      <c r="D66" s="8" t="s">
        <v>745</v>
      </c>
      <c r="E66" s="8" t="s">
        <v>11</v>
      </c>
      <c r="F66" s="8" t="s">
        <v>781</v>
      </c>
      <c r="M66" s="2">
        <v>0</v>
      </c>
      <c r="N66" s="2">
        <v>16880500</v>
      </c>
    </row>
    <row r="67" spans="1:14">
      <c r="A67" t="s">
        <v>649</v>
      </c>
      <c r="B67" t="s">
        <v>719</v>
      </c>
      <c r="C67" s="8" t="s">
        <v>650</v>
      </c>
      <c r="D67" s="17" t="s">
        <v>736</v>
      </c>
      <c r="E67" s="8" t="s">
        <v>11</v>
      </c>
      <c r="F67" s="8" t="s">
        <v>781</v>
      </c>
      <c r="I67" s="2">
        <v>0</v>
      </c>
      <c r="J67" s="2">
        <v>0</v>
      </c>
      <c r="K67" s="2">
        <v>8000</v>
      </c>
      <c r="L67" s="2">
        <v>0</v>
      </c>
      <c r="M67" s="2">
        <v>15709</v>
      </c>
      <c r="N67" s="2">
        <v>0</v>
      </c>
    </row>
    <row r="68" spans="1:14">
      <c r="A68" t="s">
        <v>344</v>
      </c>
      <c r="B68" t="s">
        <v>718</v>
      </c>
      <c r="C68" s="8" t="s">
        <v>345</v>
      </c>
      <c r="D68" s="8" t="s">
        <v>739</v>
      </c>
      <c r="E68" s="8" t="s">
        <v>11</v>
      </c>
      <c r="F68" s="8" t="s">
        <v>781</v>
      </c>
      <c r="K68" s="2">
        <v>416160</v>
      </c>
      <c r="L68" s="2">
        <v>416160</v>
      </c>
      <c r="M68" s="2">
        <v>416160</v>
      </c>
      <c r="N68" s="2">
        <v>416160</v>
      </c>
    </row>
    <row r="69" spans="1:14">
      <c r="A69" t="s">
        <v>351</v>
      </c>
      <c r="B69" t="s">
        <v>718</v>
      </c>
      <c r="C69" s="8" t="s">
        <v>352</v>
      </c>
      <c r="D69" s="8" t="s">
        <v>733</v>
      </c>
      <c r="E69" s="8" t="s">
        <v>11</v>
      </c>
      <c r="F69" s="8" t="s">
        <v>780</v>
      </c>
      <c r="N69" s="2">
        <v>95000000</v>
      </c>
    </row>
    <row r="70" spans="1:14">
      <c r="A70" t="s">
        <v>338</v>
      </c>
      <c r="B70" t="s">
        <v>719</v>
      </c>
      <c r="C70" s="8" t="s">
        <v>339</v>
      </c>
      <c r="D70" s="8" t="s">
        <v>747</v>
      </c>
      <c r="E70" s="8" t="s">
        <v>11</v>
      </c>
      <c r="F70" s="8" t="s">
        <v>781</v>
      </c>
      <c r="J70" s="2">
        <v>0</v>
      </c>
      <c r="K70" s="2">
        <v>174000</v>
      </c>
      <c r="L70" s="2">
        <v>454000</v>
      </c>
      <c r="M70" s="2">
        <v>454000</v>
      </c>
      <c r="N70" s="2">
        <v>454000</v>
      </c>
    </row>
    <row r="71" spans="1:14">
      <c r="A71" t="s">
        <v>332</v>
      </c>
      <c r="B71" t="s">
        <v>719</v>
      </c>
      <c r="C71" s="8" t="s">
        <v>767</v>
      </c>
      <c r="D71" s="17" t="s">
        <v>736</v>
      </c>
      <c r="E71" s="8" t="s">
        <v>11</v>
      </c>
      <c r="F71" s="8" t="s">
        <v>781</v>
      </c>
      <c r="K71" s="2">
        <v>51827</v>
      </c>
      <c r="L71" s="2">
        <v>11273</v>
      </c>
      <c r="M71" s="2">
        <v>0</v>
      </c>
      <c r="N71" s="2">
        <v>3927</v>
      </c>
    </row>
    <row r="72" spans="1:14">
      <c r="A72" t="s">
        <v>329</v>
      </c>
      <c r="B72" t="s">
        <v>719</v>
      </c>
      <c r="C72" s="8" t="s">
        <v>330</v>
      </c>
      <c r="D72" s="8" t="s">
        <v>746</v>
      </c>
      <c r="E72" s="8" t="s">
        <v>11</v>
      </c>
      <c r="F72" s="8" t="s">
        <v>781</v>
      </c>
      <c r="L72" s="2">
        <v>0</v>
      </c>
      <c r="M72" s="2">
        <v>0</v>
      </c>
      <c r="N72" s="2">
        <v>3079584</v>
      </c>
    </row>
    <row r="73" spans="1:14">
      <c r="A73" t="s">
        <v>667</v>
      </c>
      <c r="B73" t="s">
        <v>720</v>
      </c>
      <c r="C73" s="8" t="s">
        <v>668</v>
      </c>
      <c r="D73" s="8" t="s">
        <v>742</v>
      </c>
      <c r="E73" s="8" t="s">
        <v>11</v>
      </c>
      <c r="F73" s="8" t="s">
        <v>781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607000</v>
      </c>
    </row>
    <row r="74" spans="1:14">
      <c r="A74" t="s">
        <v>414</v>
      </c>
      <c r="B74" t="s">
        <v>722</v>
      </c>
      <c r="C74" s="8" t="s">
        <v>415</v>
      </c>
      <c r="D74" s="8" t="s">
        <v>750</v>
      </c>
      <c r="E74" s="8" t="s">
        <v>11</v>
      </c>
      <c r="F74" s="8" t="s">
        <v>781</v>
      </c>
      <c r="L74" s="2">
        <v>0</v>
      </c>
      <c r="M74" s="2">
        <v>1560000</v>
      </c>
      <c r="N74" s="2">
        <v>1200000</v>
      </c>
    </row>
    <row r="75" spans="1:14">
      <c r="A75" t="s">
        <v>373</v>
      </c>
      <c r="B75" t="s">
        <v>718</v>
      </c>
      <c r="C75" s="8" t="s">
        <v>374</v>
      </c>
      <c r="D75" s="8" t="s">
        <v>42</v>
      </c>
      <c r="E75" s="8" t="s">
        <v>11</v>
      </c>
      <c r="F75" s="8" t="s">
        <v>781</v>
      </c>
      <c r="K75" s="2">
        <v>0</v>
      </c>
      <c r="L75" s="2">
        <v>450000</v>
      </c>
      <c r="M75" s="2">
        <v>450000</v>
      </c>
      <c r="N75" s="2">
        <v>450000</v>
      </c>
    </row>
    <row r="76" spans="1:14">
      <c r="A76" t="s">
        <v>362</v>
      </c>
      <c r="B76" t="s">
        <v>718</v>
      </c>
      <c r="C76" s="8" t="s">
        <v>363</v>
      </c>
      <c r="D76" s="8" t="s">
        <v>734</v>
      </c>
      <c r="E76" s="8" t="s">
        <v>11</v>
      </c>
      <c r="F76" s="8" t="s">
        <v>780</v>
      </c>
      <c r="L76" s="2">
        <v>0</v>
      </c>
      <c r="M76" s="2">
        <v>6800000</v>
      </c>
      <c r="N76" s="2">
        <v>0</v>
      </c>
    </row>
    <row r="77" spans="1:14">
      <c r="A77" t="s">
        <v>357</v>
      </c>
      <c r="B77" t="s">
        <v>718</v>
      </c>
      <c r="C77" s="8" t="s">
        <v>358</v>
      </c>
      <c r="D77" s="8" t="s">
        <v>734</v>
      </c>
      <c r="E77" s="8" t="s">
        <v>1</v>
      </c>
      <c r="F77" s="8" t="s">
        <v>780</v>
      </c>
      <c r="L77" s="2">
        <v>0</v>
      </c>
      <c r="M77" s="2">
        <v>0</v>
      </c>
      <c r="N77" s="2">
        <v>48415000</v>
      </c>
    </row>
    <row r="78" spans="1:14">
      <c r="A78" t="s">
        <v>385</v>
      </c>
      <c r="B78" t="s">
        <v>720</v>
      </c>
      <c r="C78" s="8" t="s">
        <v>386</v>
      </c>
      <c r="D78" s="8" t="s">
        <v>131</v>
      </c>
      <c r="E78" s="8" t="s">
        <v>11</v>
      </c>
      <c r="F78" s="8" t="s">
        <v>781</v>
      </c>
      <c r="K78" s="2">
        <v>0</v>
      </c>
      <c r="L78" s="2">
        <v>750000</v>
      </c>
      <c r="M78" s="2">
        <v>750000</v>
      </c>
      <c r="N78" s="2">
        <v>750000</v>
      </c>
    </row>
    <row r="79" spans="1:14">
      <c r="A79" t="s">
        <v>379</v>
      </c>
      <c r="B79" t="s">
        <v>720</v>
      </c>
      <c r="C79" s="8" t="s">
        <v>380</v>
      </c>
      <c r="D79" s="8" t="s">
        <v>131</v>
      </c>
      <c r="E79" s="8" t="s">
        <v>11</v>
      </c>
      <c r="F79" s="8" t="s">
        <v>781</v>
      </c>
      <c r="K79" s="2">
        <v>0</v>
      </c>
      <c r="L79" s="2">
        <v>321000</v>
      </c>
      <c r="M79" s="2">
        <v>321000</v>
      </c>
      <c r="N79" s="2">
        <v>321000</v>
      </c>
    </row>
    <row r="80" spans="1:14">
      <c r="A80" t="s">
        <v>367</v>
      </c>
      <c r="B80" t="s">
        <v>720</v>
      </c>
      <c r="C80" s="8" t="s">
        <v>368</v>
      </c>
      <c r="D80" s="8" t="s">
        <v>748</v>
      </c>
      <c r="E80" s="8" t="s">
        <v>1</v>
      </c>
      <c r="F80" s="8" t="s">
        <v>780</v>
      </c>
      <c r="M80" s="2">
        <v>0</v>
      </c>
      <c r="N80" s="2">
        <v>1295600</v>
      </c>
    </row>
    <row r="81" spans="1:14">
      <c r="A81" t="s">
        <v>406</v>
      </c>
      <c r="B81" t="s">
        <v>719</v>
      </c>
      <c r="C81" s="8" t="s">
        <v>407</v>
      </c>
      <c r="D81" s="17" t="s">
        <v>736</v>
      </c>
      <c r="E81" s="8" t="s">
        <v>11</v>
      </c>
      <c r="F81" s="8" t="s">
        <v>781</v>
      </c>
      <c r="M81" s="2">
        <v>9236</v>
      </c>
      <c r="N81" s="2">
        <v>32800</v>
      </c>
    </row>
    <row r="82" spans="1:14">
      <c r="A82" t="s">
        <v>420</v>
      </c>
      <c r="B82" t="s">
        <v>719</v>
      </c>
      <c r="C82" s="8" t="s">
        <v>421</v>
      </c>
      <c r="D82" s="17" t="s">
        <v>736</v>
      </c>
      <c r="E82" s="8" t="s">
        <v>11</v>
      </c>
      <c r="F82" s="8" t="s">
        <v>781</v>
      </c>
      <c r="I82" s="2">
        <v>0</v>
      </c>
      <c r="J82" s="2">
        <v>0</v>
      </c>
      <c r="K82" s="2">
        <v>24582</v>
      </c>
      <c r="L82" s="2">
        <v>0</v>
      </c>
      <c r="M82" s="2">
        <v>0</v>
      </c>
      <c r="N82" s="2">
        <v>0</v>
      </c>
    </row>
    <row r="83" spans="1:14">
      <c r="A83" t="s">
        <v>9</v>
      </c>
      <c r="B83" t="s">
        <v>718</v>
      </c>
      <c r="C83" s="8" t="s">
        <v>10</v>
      </c>
      <c r="D83" s="8" t="s">
        <v>734</v>
      </c>
      <c r="E83" s="8" t="s">
        <v>11</v>
      </c>
      <c r="F83" s="8" t="s">
        <v>780</v>
      </c>
      <c r="L83" s="2">
        <v>8100000</v>
      </c>
      <c r="M83" s="2">
        <v>0</v>
      </c>
      <c r="N83" s="2">
        <v>0</v>
      </c>
    </row>
    <row r="84" spans="1:14">
      <c r="A84" t="s">
        <v>23</v>
      </c>
      <c r="B84" t="s">
        <v>719</v>
      </c>
      <c r="C84" s="8" t="s">
        <v>768</v>
      </c>
      <c r="D84" s="17" t="s">
        <v>736</v>
      </c>
      <c r="E84" s="8" t="s">
        <v>11</v>
      </c>
      <c r="F84" s="8" t="s">
        <v>781</v>
      </c>
      <c r="K84" s="2">
        <v>83227</v>
      </c>
      <c r="L84" s="2">
        <v>7182</v>
      </c>
      <c r="M84" s="2">
        <v>7182</v>
      </c>
      <c r="N84" s="2">
        <v>7182</v>
      </c>
    </row>
    <row r="85" spans="1:14">
      <c r="A85" t="s">
        <v>20</v>
      </c>
      <c r="B85" t="s">
        <v>719</v>
      </c>
      <c r="C85" s="8" t="s">
        <v>21</v>
      </c>
      <c r="D85" s="8" t="s">
        <v>736</v>
      </c>
      <c r="E85" s="8" t="s">
        <v>11</v>
      </c>
      <c r="F85" s="8" t="s">
        <v>781</v>
      </c>
      <c r="M85" s="2">
        <v>33818</v>
      </c>
      <c r="N85" s="2">
        <v>7855</v>
      </c>
    </row>
    <row r="86" spans="1:14">
      <c r="A86" t="s">
        <v>431</v>
      </c>
      <c r="B86" t="s">
        <v>719</v>
      </c>
      <c r="C86" s="8" t="s">
        <v>432</v>
      </c>
      <c r="D86" s="8" t="s">
        <v>736</v>
      </c>
      <c r="E86" s="8" t="s">
        <v>11</v>
      </c>
      <c r="F86" s="8" t="s">
        <v>781</v>
      </c>
      <c r="I86" s="2">
        <v>0</v>
      </c>
      <c r="J86" s="2">
        <v>0</v>
      </c>
      <c r="K86" s="2">
        <v>40909</v>
      </c>
      <c r="L86" s="2">
        <v>0</v>
      </c>
      <c r="M86" s="2">
        <v>0</v>
      </c>
      <c r="N86" s="2">
        <v>0</v>
      </c>
    </row>
    <row r="87" spans="1:14">
      <c r="A87" t="s">
        <v>43</v>
      </c>
      <c r="B87" t="s">
        <v>718</v>
      </c>
      <c r="C87" s="8" t="s">
        <v>763</v>
      </c>
      <c r="D87" s="8" t="s">
        <v>42</v>
      </c>
      <c r="E87" s="8" t="s">
        <v>11</v>
      </c>
      <c r="F87" s="8" t="s">
        <v>781</v>
      </c>
      <c r="J87" s="2">
        <v>1000000</v>
      </c>
      <c r="K87" s="2">
        <v>1000000</v>
      </c>
      <c r="L87" s="2">
        <v>1000000</v>
      </c>
      <c r="M87" s="2">
        <v>1000000</v>
      </c>
      <c r="N87" s="2">
        <v>1000000</v>
      </c>
    </row>
    <row r="88" spans="1:14">
      <c r="A88" t="s">
        <v>50</v>
      </c>
      <c r="B88" t="s">
        <v>719</v>
      </c>
      <c r="C88" s="8" t="s">
        <v>51</v>
      </c>
      <c r="D88" s="8" t="s">
        <v>736</v>
      </c>
      <c r="E88" s="8" t="s">
        <v>11</v>
      </c>
      <c r="F88" s="8" t="s">
        <v>781</v>
      </c>
      <c r="K88" s="2">
        <v>281091</v>
      </c>
      <c r="L88" s="2">
        <v>123345</v>
      </c>
      <c r="M88" s="2">
        <v>64945</v>
      </c>
      <c r="N88" s="2">
        <v>157600</v>
      </c>
    </row>
    <row r="89" spans="1:14">
      <c r="A89" t="s">
        <v>53</v>
      </c>
      <c r="B89" t="s">
        <v>719</v>
      </c>
      <c r="C89" s="8" t="s">
        <v>54</v>
      </c>
      <c r="D89" s="8" t="s">
        <v>736</v>
      </c>
      <c r="E89" s="8" t="s">
        <v>11</v>
      </c>
      <c r="F89" s="8" t="s">
        <v>781</v>
      </c>
      <c r="K89" s="2">
        <v>24873</v>
      </c>
      <c r="L89" s="2">
        <v>4800</v>
      </c>
      <c r="M89" s="2">
        <v>0</v>
      </c>
      <c r="N89" s="2">
        <v>0</v>
      </c>
    </row>
    <row r="90" spans="1:14">
      <c r="A90" t="s">
        <v>66</v>
      </c>
      <c r="B90" t="s">
        <v>719</v>
      </c>
      <c r="C90" s="8" t="s">
        <v>67</v>
      </c>
      <c r="D90" s="8" t="s">
        <v>736</v>
      </c>
      <c r="E90" s="8" t="s">
        <v>11</v>
      </c>
      <c r="F90" s="8" t="s">
        <v>781</v>
      </c>
      <c r="K90" s="2">
        <v>165036</v>
      </c>
      <c r="L90" s="2">
        <v>21000</v>
      </c>
      <c r="M90" s="2">
        <v>17436</v>
      </c>
      <c r="N90" s="2">
        <v>17336</v>
      </c>
    </row>
    <row r="91" spans="1:14">
      <c r="A91" t="s">
        <v>69</v>
      </c>
      <c r="B91" t="s">
        <v>719</v>
      </c>
      <c r="C91" s="8" t="s">
        <v>70</v>
      </c>
      <c r="D91" s="8" t="s">
        <v>736</v>
      </c>
      <c r="E91" s="8" t="s">
        <v>11</v>
      </c>
      <c r="F91" s="8" t="s">
        <v>781</v>
      </c>
      <c r="K91" s="2">
        <v>15955</v>
      </c>
      <c r="L91" s="2">
        <v>0</v>
      </c>
      <c r="M91" s="2">
        <v>0</v>
      </c>
      <c r="N91" s="2">
        <v>2909</v>
      </c>
    </row>
    <row r="92" spans="1:14">
      <c r="A92" t="s">
        <v>58</v>
      </c>
      <c r="B92" t="s">
        <v>719</v>
      </c>
      <c r="C92" s="8" t="s">
        <v>59</v>
      </c>
      <c r="D92" s="8" t="s">
        <v>736</v>
      </c>
      <c r="E92" s="8" t="s">
        <v>11</v>
      </c>
      <c r="F92" s="8" t="s">
        <v>781</v>
      </c>
      <c r="L92" s="2">
        <v>0</v>
      </c>
      <c r="M92" s="2">
        <v>4655</v>
      </c>
      <c r="N92" s="2">
        <v>7636</v>
      </c>
    </row>
    <row r="93" spans="1:14">
      <c r="A93" t="s">
        <v>63</v>
      </c>
      <c r="B93" t="s">
        <v>719</v>
      </c>
      <c r="C93" s="8" t="s">
        <v>64</v>
      </c>
      <c r="D93" s="8" t="s">
        <v>736</v>
      </c>
      <c r="E93" s="8" t="s">
        <v>11</v>
      </c>
      <c r="F93" s="8" t="s">
        <v>781</v>
      </c>
      <c r="L93" s="2">
        <v>6473</v>
      </c>
      <c r="M93" s="2">
        <v>2545</v>
      </c>
      <c r="N93" s="2">
        <v>2545</v>
      </c>
    </row>
    <row r="94" spans="1:14">
      <c r="A94" t="s">
        <v>47</v>
      </c>
      <c r="B94" t="s">
        <v>719</v>
      </c>
      <c r="C94" s="8" t="s">
        <v>48</v>
      </c>
      <c r="D94" s="8" t="s">
        <v>736</v>
      </c>
      <c r="E94" s="8" t="s">
        <v>11</v>
      </c>
      <c r="F94" s="8" t="s">
        <v>781</v>
      </c>
      <c r="L94" s="2">
        <v>3273</v>
      </c>
      <c r="M94" s="2">
        <v>3273</v>
      </c>
      <c r="N94" s="2">
        <v>3564</v>
      </c>
    </row>
    <row r="95" spans="1:14">
      <c r="A95" t="s">
        <v>78</v>
      </c>
      <c r="B95" t="s">
        <v>719</v>
      </c>
      <c r="C95" s="8" t="s">
        <v>79</v>
      </c>
      <c r="D95" s="8" t="s">
        <v>76</v>
      </c>
      <c r="E95" s="8" t="s">
        <v>11</v>
      </c>
      <c r="F95" s="8" t="s">
        <v>781</v>
      </c>
      <c r="L95" s="2">
        <v>2124000</v>
      </c>
      <c r="M95" s="2">
        <v>2124000</v>
      </c>
      <c r="N95" s="2">
        <v>2119500</v>
      </c>
    </row>
    <row r="96" spans="1:14">
      <c r="A96" t="s">
        <v>545</v>
      </c>
      <c r="B96" t="s">
        <v>721</v>
      </c>
      <c r="C96" s="8" t="s">
        <v>701</v>
      </c>
      <c r="D96" s="8" t="s">
        <v>751</v>
      </c>
      <c r="E96" s="8" t="s">
        <v>11</v>
      </c>
      <c r="F96" s="8" t="s">
        <v>781</v>
      </c>
      <c r="L96" s="2">
        <v>0</v>
      </c>
      <c r="M96" s="2">
        <v>41046094</v>
      </c>
      <c r="N96" s="2">
        <v>18238364</v>
      </c>
    </row>
    <row r="97" spans="1:14">
      <c r="A97" t="s">
        <v>547</v>
      </c>
      <c r="B97" t="s">
        <v>718</v>
      </c>
      <c r="C97" s="8" t="s">
        <v>548</v>
      </c>
      <c r="D97" s="8" t="s">
        <v>733</v>
      </c>
      <c r="E97" s="8" t="s">
        <v>11</v>
      </c>
      <c r="F97" s="8" t="s">
        <v>780</v>
      </c>
      <c r="I97" s="2">
        <v>20000000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 spans="1:14">
      <c r="A98" t="s">
        <v>35</v>
      </c>
      <c r="B98" t="s">
        <v>718</v>
      </c>
      <c r="C98" s="8" t="s">
        <v>36</v>
      </c>
      <c r="D98" s="8" t="s">
        <v>737</v>
      </c>
      <c r="E98" s="8" t="s">
        <v>11</v>
      </c>
      <c r="F98" s="8" t="s">
        <v>781</v>
      </c>
      <c r="G98" s="2">
        <v>0</v>
      </c>
      <c r="H98" s="2">
        <v>3200000</v>
      </c>
      <c r="J98" s="2">
        <v>0</v>
      </c>
      <c r="K98" s="2">
        <v>9600000</v>
      </c>
      <c r="L98" s="2">
        <v>3200000</v>
      </c>
      <c r="M98" s="2">
        <v>3200000</v>
      </c>
      <c r="N98" s="2">
        <v>3200000</v>
      </c>
    </row>
    <row r="99" spans="1:14">
      <c r="A99" t="s">
        <v>504</v>
      </c>
      <c r="B99" t="s">
        <v>720</v>
      </c>
      <c r="C99" s="8" t="s">
        <v>505</v>
      </c>
      <c r="D99" s="8" t="s">
        <v>131</v>
      </c>
      <c r="E99" s="8" t="s">
        <v>11</v>
      </c>
      <c r="F99" s="8" t="s">
        <v>781</v>
      </c>
      <c r="I99" s="2">
        <v>600000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>
      <c r="A100" t="s">
        <v>478</v>
      </c>
      <c r="B100" t="s">
        <v>720</v>
      </c>
      <c r="C100" s="8" t="s">
        <v>479</v>
      </c>
      <c r="D100" s="8" t="s">
        <v>131</v>
      </c>
      <c r="E100" s="8" t="s">
        <v>11</v>
      </c>
      <c r="F100" s="8" t="s">
        <v>781</v>
      </c>
      <c r="I100" s="2">
        <v>600000</v>
      </c>
      <c r="J100" s="2">
        <v>600000</v>
      </c>
      <c r="K100" s="2">
        <v>600000</v>
      </c>
      <c r="L100" s="2">
        <v>600000</v>
      </c>
      <c r="M100" s="2">
        <v>600000</v>
      </c>
      <c r="N100" s="2">
        <v>600000</v>
      </c>
    </row>
    <row r="101" spans="1:14">
      <c r="A101" t="s">
        <v>166</v>
      </c>
      <c r="B101" t="s">
        <v>719</v>
      </c>
      <c r="C101" s="8" t="s">
        <v>167</v>
      </c>
      <c r="D101" s="8" t="s">
        <v>165</v>
      </c>
      <c r="E101" s="8" t="s">
        <v>1</v>
      </c>
      <c r="F101" s="8" t="s">
        <v>781</v>
      </c>
      <c r="I101" s="2">
        <v>0</v>
      </c>
      <c r="J101" s="2">
        <v>0</v>
      </c>
      <c r="K101" s="2">
        <v>7742430</v>
      </c>
      <c r="L101" s="2">
        <v>9650770</v>
      </c>
      <c r="M101" s="2">
        <v>10895370</v>
      </c>
      <c r="N101" s="2">
        <v>11267770</v>
      </c>
    </row>
    <row r="102" spans="1:14">
      <c r="A102" t="s">
        <v>303</v>
      </c>
      <c r="B102" t="s">
        <v>719</v>
      </c>
      <c r="C102" s="8" t="s">
        <v>304</v>
      </c>
      <c r="D102" s="8" t="s">
        <v>165</v>
      </c>
      <c r="E102" s="8" t="s">
        <v>11</v>
      </c>
      <c r="F102" s="8" t="s">
        <v>781</v>
      </c>
      <c r="I102" s="2">
        <v>0</v>
      </c>
      <c r="J102" s="2">
        <v>4199564</v>
      </c>
      <c r="K102" s="2">
        <v>4484727</v>
      </c>
      <c r="L102" s="2">
        <v>1325827</v>
      </c>
      <c r="M102" s="2">
        <v>5047263</v>
      </c>
      <c r="N102" s="2">
        <v>1375000</v>
      </c>
    </row>
    <row r="103" spans="1:14">
      <c r="A103" t="s">
        <v>577</v>
      </c>
      <c r="B103" t="s">
        <v>721</v>
      </c>
      <c r="C103" s="8" t="s">
        <v>764</v>
      </c>
      <c r="D103" s="17" t="s">
        <v>741</v>
      </c>
      <c r="E103" s="8" t="s">
        <v>11</v>
      </c>
      <c r="F103" s="19" t="s">
        <v>782</v>
      </c>
      <c r="G103" s="2">
        <v>450000</v>
      </c>
      <c r="H103" s="2">
        <v>450000</v>
      </c>
      <c r="I103" s="2">
        <v>450000</v>
      </c>
      <c r="J103" s="2">
        <v>450000</v>
      </c>
      <c r="K103" s="2">
        <v>450000</v>
      </c>
      <c r="L103" s="2">
        <v>450000</v>
      </c>
      <c r="M103" s="2">
        <v>450000</v>
      </c>
      <c r="N103" s="2">
        <v>450000</v>
      </c>
    </row>
    <row r="104" spans="1:14">
      <c r="A104" t="s">
        <v>637</v>
      </c>
      <c r="B104" t="s">
        <v>721</v>
      </c>
      <c r="C104" s="8" t="s">
        <v>707</v>
      </c>
      <c r="D104" s="8" t="s">
        <v>751</v>
      </c>
      <c r="E104" s="8" t="s">
        <v>11</v>
      </c>
      <c r="F104" s="8" t="s">
        <v>781</v>
      </c>
      <c r="G104" s="2">
        <v>13224550</v>
      </c>
      <c r="H104" s="2">
        <v>9247273</v>
      </c>
      <c r="I104" s="2">
        <v>10288181</v>
      </c>
      <c r="J104" s="2">
        <v>8367272</v>
      </c>
      <c r="K104" s="2">
        <v>7881818</v>
      </c>
      <c r="L104" s="2">
        <v>9916364</v>
      </c>
      <c r="M104" s="2">
        <v>11244545</v>
      </c>
      <c r="N104" s="2">
        <v>9218273</v>
      </c>
    </row>
    <row r="105" spans="1:14">
      <c r="A105" t="s">
        <v>659</v>
      </c>
      <c r="B105" t="s">
        <v>721</v>
      </c>
      <c r="C105" s="8" t="s">
        <v>708</v>
      </c>
      <c r="D105" s="8" t="s">
        <v>751</v>
      </c>
      <c r="E105" s="8" t="s">
        <v>11</v>
      </c>
      <c r="F105" s="8" t="s">
        <v>781</v>
      </c>
      <c r="G105" s="2">
        <v>21000000</v>
      </c>
      <c r="H105" s="2">
        <v>21000000</v>
      </c>
      <c r="I105" s="2">
        <v>21000000</v>
      </c>
      <c r="J105" s="2">
        <v>21000000</v>
      </c>
      <c r="K105" s="2">
        <v>21000000</v>
      </c>
      <c r="L105" s="2">
        <v>21000000</v>
      </c>
      <c r="M105" s="2">
        <v>21000000</v>
      </c>
      <c r="N105" s="2">
        <v>21000000</v>
      </c>
    </row>
    <row r="106" spans="1:14">
      <c r="A106" s="14" t="s">
        <v>468</v>
      </c>
      <c r="B106" t="s">
        <v>721</v>
      </c>
      <c r="C106" s="8" t="s">
        <v>469</v>
      </c>
      <c r="D106" s="8" t="s">
        <v>741</v>
      </c>
      <c r="E106" s="8" t="s">
        <v>11</v>
      </c>
      <c r="F106" s="8" t="s">
        <v>780</v>
      </c>
      <c r="G106" s="2">
        <v>0</v>
      </c>
      <c r="H106" s="2">
        <v>1380000000</v>
      </c>
    </row>
    <row r="107" spans="1:14">
      <c r="A107" s="14" t="s">
        <v>509</v>
      </c>
      <c r="B107" t="s">
        <v>721</v>
      </c>
      <c r="C107" s="8" t="s">
        <v>510</v>
      </c>
      <c r="D107" s="8" t="s">
        <v>741</v>
      </c>
      <c r="E107" s="8" t="s">
        <v>11</v>
      </c>
      <c r="F107" s="8" t="s">
        <v>780</v>
      </c>
      <c r="G107" s="2">
        <v>27000000</v>
      </c>
      <c r="H107" s="2">
        <v>0</v>
      </c>
    </row>
  </sheetData>
  <autoFilter ref="A2:N107" xr:uid="{3D2281F3-364B-42BD-BD37-6DC19768A702}"/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BF244"/>
  <sheetViews>
    <sheetView zoomScaleNormal="100" workbookViewId="0">
      <pane xSplit="8" ySplit="1" topLeftCell="I233" activePane="bottomRight" state="frozen"/>
      <selection pane="topRight" activeCell="J1" sqref="J1"/>
      <selection pane="bottomLeft" activeCell="A4" sqref="A4"/>
      <selection pane="bottomRight" activeCell="H255" sqref="H255"/>
    </sheetView>
  </sheetViews>
  <sheetFormatPr defaultRowHeight="15"/>
  <cols>
    <col min="1" max="1" width="8" style="6" bestFit="1" customWidth="1"/>
    <col min="2" max="2" width="14.5703125" style="6" bestFit="1" customWidth="1"/>
    <col min="3" max="3" width="32.140625" style="13" customWidth="1"/>
    <col min="4" max="4" width="11.28515625" style="6" bestFit="1" customWidth="1"/>
    <col min="5" max="5" width="14" style="6" bestFit="1" customWidth="1"/>
    <col min="6" max="6" width="20.140625" style="6" customWidth="1"/>
    <col min="7" max="7" width="12.7109375" style="6" bestFit="1" customWidth="1"/>
    <col min="8" max="8" width="10.7109375" style="6" bestFit="1" customWidth="1"/>
    <col min="9" max="9" width="17.28515625" style="6" bestFit="1" customWidth="1"/>
    <col min="10" max="10" width="17.85546875" style="6" bestFit="1" customWidth="1"/>
    <col min="11" max="11" width="17.5703125" style="6" bestFit="1" customWidth="1"/>
    <col min="12" max="12" width="18.28515625" style="6" customWidth="1"/>
    <col min="13" max="13" width="17.5703125" style="6" customWidth="1"/>
    <col min="14" max="14" width="18.140625" style="6" customWidth="1"/>
    <col min="15" max="15" width="17.42578125" style="6" customWidth="1"/>
    <col min="16" max="16" width="17.5703125" style="6" customWidth="1"/>
    <col min="17" max="17" width="18.140625" style="6" customWidth="1"/>
    <col min="18" max="19" width="17.28515625" style="6" customWidth="1"/>
    <col min="20" max="21" width="17.140625" style="6" customWidth="1"/>
    <col min="22" max="22" width="17.7109375" style="6" customWidth="1"/>
    <col min="23" max="23" width="17.42578125" style="6" customWidth="1"/>
    <col min="24" max="24" width="18.140625" style="6" customWidth="1"/>
    <col min="25" max="25" width="17.42578125" style="6" customWidth="1"/>
    <col min="26" max="26" width="17.85546875" style="6" customWidth="1"/>
    <col min="27" max="27" width="17.28515625" style="6" customWidth="1"/>
    <col min="28" max="28" width="17.42578125" style="6" customWidth="1"/>
    <col min="29" max="29" width="17.85546875" style="6" customWidth="1"/>
    <col min="30" max="31" width="17.140625" style="6" customWidth="1"/>
    <col min="32" max="32" width="17" style="6" customWidth="1"/>
    <col min="33" max="33" width="17.140625" style="6" customWidth="1"/>
    <col min="34" max="34" width="17.7109375" style="6" customWidth="1"/>
    <col min="35" max="35" width="17.42578125" style="6" customWidth="1"/>
    <col min="36" max="36" width="18.140625" style="6" customWidth="1"/>
    <col min="37" max="37" width="17.42578125" style="6" customWidth="1"/>
    <col min="38" max="38" width="17.85546875" style="6" customWidth="1"/>
    <col min="39" max="39" width="17.28515625" style="6" customWidth="1"/>
    <col min="40" max="40" width="17.42578125" style="6" customWidth="1"/>
    <col min="41" max="41" width="17.85546875" style="6" customWidth="1"/>
    <col min="42" max="43" width="17.140625" style="6" customWidth="1"/>
    <col min="44" max="44" width="17" style="6" customWidth="1"/>
    <col min="45" max="56" width="13" style="6" customWidth="1"/>
    <col min="57" max="57" width="15" style="6" bestFit="1" customWidth="1"/>
    <col min="58" max="16384" width="9.140625" style="6"/>
  </cols>
  <sheetData>
    <row r="1" spans="1:58" s="38" customFormat="1">
      <c r="A1" s="1" t="s">
        <v>675</v>
      </c>
      <c r="B1" s="1" t="s">
        <v>676</v>
      </c>
      <c r="C1" s="5" t="s">
        <v>677</v>
      </c>
      <c r="D1" s="1" t="s">
        <v>678</v>
      </c>
      <c r="E1" s="1" t="s">
        <v>679</v>
      </c>
      <c r="F1" s="1" t="s">
        <v>680</v>
      </c>
      <c r="G1" s="1" t="s">
        <v>681</v>
      </c>
      <c r="H1" s="1" t="s">
        <v>682</v>
      </c>
      <c r="I1" s="4">
        <v>45322</v>
      </c>
      <c r="J1" s="4">
        <v>45351</v>
      </c>
      <c r="K1" s="4">
        <v>45382</v>
      </c>
      <c r="L1" s="4">
        <v>45412</v>
      </c>
      <c r="M1" s="4">
        <v>45443</v>
      </c>
      <c r="N1" s="4">
        <v>45473</v>
      </c>
      <c r="O1" s="4">
        <v>45504</v>
      </c>
      <c r="P1" s="4">
        <v>45535</v>
      </c>
      <c r="Q1" s="4">
        <v>45565</v>
      </c>
      <c r="R1" s="4">
        <v>45596</v>
      </c>
      <c r="S1" s="4">
        <v>45626</v>
      </c>
      <c r="T1" s="4">
        <v>45657</v>
      </c>
      <c r="U1" s="4">
        <v>45688</v>
      </c>
      <c r="V1" s="4">
        <v>45716</v>
      </c>
      <c r="W1" s="4">
        <v>45747</v>
      </c>
      <c r="X1" s="4">
        <v>45777</v>
      </c>
      <c r="Y1" s="4">
        <v>45808</v>
      </c>
      <c r="Z1" s="4">
        <v>45838</v>
      </c>
      <c r="AA1" s="4">
        <v>45869</v>
      </c>
      <c r="AB1" s="4">
        <v>45900</v>
      </c>
      <c r="AC1" s="4">
        <v>45930</v>
      </c>
      <c r="AD1" s="4">
        <v>45961</v>
      </c>
      <c r="AE1" s="4">
        <v>45991</v>
      </c>
      <c r="AF1" s="4">
        <v>46022</v>
      </c>
      <c r="AG1" s="4">
        <v>46053</v>
      </c>
      <c r="AH1" s="4">
        <v>46081</v>
      </c>
      <c r="AI1" s="4">
        <v>46112</v>
      </c>
      <c r="AJ1" s="4">
        <v>46142</v>
      </c>
      <c r="AK1" s="4">
        <v>46173</v>
      </c>
      <c r="AL1" s="4">
        <v>46203</v>
      </c>
      <c r="AM1" s="4">
        <v>46234</v>
      </c>
      <c r="AN1" s="4">
        <v>46265</v>
      </c>
      <c r="AO1" s="4">
        <v>46295</v>
      </c>
      <c r="AP1" s="4">
        <v>46326</v>
      </c>
      <c r="AQ1" s="4">
        <v>46356</v>
      </c>
      <c r="AR1" s="4">
        <v>46387</v>
      </c>
      <c r="AS1" s="4">
        <v>46418</v>
      </c>
      <c r="AT1" s="4">
        <v>46446</v>
      </c>
      <c r="AU1" s="4">
        <v>46477</v>
      </c>
      <c r="AV1" s="4">
        <v>46507</v>
      </c>
      <c r="AW1" s="4">
        <v>46538</v>
      </c>
      <c r="AX1" s="4">
        <v>46568</v>
      </c>
      <c r="AY1" s="4">
        <v>46599</v>
      </c>
      <c r="AZ1" s="4">
        <v>46630</v>
      </c>
      <c r="BA1" s="4">
        <v>46660</v>
      </c>
      <c r="BB1" s="4">
        <v>46691</v>
      </c>
      <c r="BC1" s="4">
        <v>46721</v>
      </c>
      <c r="BD1" s="4">
        <v>46752</v>
      </c>
      <c r="BE1" s="38" t="s">
        <v>709</v>
      </c>
      <c r="BF1" s="38" t="s">
        <v>710</v>
      </c>
    </row>
    <row r="2" spans="1:58">
      <c r="A2" s="9" t="s">
        <v>392</v>
      </c>
      <c r="B2" s="9" t="s">
        <v>30</v>
      </c>
      <c r="C2" s="11" t="s">
        <v>10</v>
      </c>
      <c r="D2" s="9" t="s">
        <v>9</v>
      </c>
      <c r="E2" s="9" t="s">
        <v>8</v>
      </c>
      <c r="F2" s="9"/>
      <c r="G2" s="9" t="s">
        <v>4</v>
      </c>
      <c r="H2" s="9" t="s">
        <v>3</v>
      </c>
      <c r="L2" s="29">
        <v>8100000</v>
      </c>
      <c r="M2" s="29">
        <v>0</v>
      </c>
      <c r="N2" s="29">
        <v>0</v>
      </c>
      <c r="BE2" s="30">
        <f t="shared" ref="BE2:BE28" si="0">SUM(I2:BD2)</f>
        <v>8100000</v>
      </c>
      <c r="BF2" s="6">
        <f t="shared" ref="BF2:BF28" si="1">COUNTIF(I2:BD2, "&gt;0")</f>
        <v>1</v>
      </c>
    </row>
    <row r="3" spans="1:58">
      <c r="A3" s="9" t="s">
        <v>392</v>
      </c>
      <c r="B3" s="9" t="s">
        <v>30</v>
      </c>
      <c r="C3" s="11" t="s">
        <v>10</v>
      </c>
      <c r="D3" s="9" t="s">
        <v>9</v>
      </c>
      <c r="E3" s="9" t="s">
        <v>8</v>
      </c>
      <c r="F3" s="9"/>
      <c r="G3" s="9" t="s">
        <v>7</v>
      </c>
      <c r="H3" s="9" t="s">
        <v>5</v>
      </c>
      <c r="L3" s="29"/>
      <c r="M3" s="29"/>
      <c r="N3" s="29"/>
      <c r="O3" s="29"/>
      <c r="P3" s="29">
        <v>0</v>
      </c>
      <c r="Q3" s="29">
        <v>6000000</v>
      </c>
      <c r="R3" s="29">
        <v>0</v>
      </c>
      <c r="S3" s="29">
        <v>0</v>
      </c>
      <c r="T3" s="29">
        <v>0</v>
      </c>
      <c r="BE3" s="30">
        <f t="shared" si="0"/>
        <v>6000000</v>
      </c>
      <c r="BF3" s="6">
        <f t="shared" si="1"/>
        <v>1</v>
      </c>
    </row>
    <row r="4" spans="1:58">
      <c r="A4" s="9" t="s">
        <v>392</v>
      </c>
      <c r="B4" s="9" t="s">
        <v>30</v>
      </c>
      <c r="C4" s="11" t="s">
        <v>10</v>
      </c>
      <c r="D4" s="9" t="s">
        <v>9</v>
      </c>
      <c r="E4" s="9" t="s">
        <v>8</v>
      </c>
      <c r="F4" s="9"/>
      <c r="G4" s="9" t="s">
        <v>0</v>
      </c>
      <c r="H4" s="9" t="s">
        <v>6</v>
      </c>
      <c r="L4" s="29"/>
      <c r="M4" s="29"/>
      <c r="N4" s="29"/>
      <c r="O4" s="29">
        <v>6400000</v>
      </c>
      <c r="BE4" s="30">
        <f t="shared" si="0"/>
        <v>6400000</v>
      </c>
      <c r="BF4" s="6">
        <f t="shared" si="1"/>
        <v>1</v>
      </c>
    </row>
    <row r="5" spans="1:58">
      <c r="A5" s="9" t="s">
        <v>392</v>
      </c>
      <c r="B5" s="9" t="s">
        <v>30</v>
      </c>
      <c r="C5" s="11" t="s">
        <v>688</v>
      </c>
      <c r="D5" s="9" t="s">
        <v>15</v>
      </c>
      <c r="E5" s="9" t="s">
        <v>8</v>
      </c>
      <c r="F5" s="9"/>
      <c r="G5" s="9" t="s">
        <v>14</v>
      </c>
      <c r="H5" s="9" t="s">
        <v>12</v>
      </c>
      <c r="I5" s="29"/>
      <c r="J5" s="29"/>
      <c r="K5" s="29"/>
      <c r="L5" s="29"/>
      <c r="M5" s="29"/>
      <c r="N5" s="29"/>
      <c r="O5" s="29"/>
      <c r="P5" s="29">
        <v>30000000</v>
      </c>
      <c r="Q5" s="29">
        <v>3000000</v>
      </c>
      <c r="R5" s="29">
        <v>30000000</v>
      </c>
      <c r="S5" s="29">
        <v>3000000</v>
      </c>
      <c r="T5" s="29">
        <v>3000000</v>
      </c>
      <c r="U5" s="29">
        <v>3000000</v>
      </c>
      <c r="V5" s="29">
        <v>3000000</v>
      </c>
      <c r="W5" s="29">
        <v>3000000</v>
      </c>
      <c r="X5" s="29">
        <v>3000000</v>
      </c>
      <c r="Y5" s="29">
        <v>3000000</v>
      </c>
      <c r="Z5" s="29">
        <v>3000000</v>
      </c>
      <c r="AA5" s="29">
        <v>3000000</v>
      </c>
      <c r="AB5" s="29">
        <v>3000000</v>
      </c>
      <c r="AC5" s="29">
        <v>3000000</v>
      </c>
      <c r="AD5" s="29">
        <v>3000000</v>
      </c>
      <c r="AE5" s="29">
        <v>3000000</v>
      </c>
      <c r="AF5" s="29">
        <v>3000000</v>
      </c>
      <c r="BE5" s="30">
        <f t="shared" si="0"/>
        <v>105000000</v>
      </c>
      <c r="BF5" s="6">
        <f t="shared" si="1"/>
        <v>17</v>
      </c>
    </row>
    <row r="6" spans="1:58">
      <c r="A6" s="9" t="s">
        <v>392</v>
      </c>
      <c r="B6" s="9" t="s">
        <v>30</v>
      </c>
      <c r="C6" s="11" t="s">
        <v>688</v>
      </c>
      <c r="D6" s="9" t="s">
        <v>15</v>
      </c>
      <c r="E6" s="9" t="s">
        <v>8</v>
      </c>
      <c r="F6" s="9"/>
      <c r="G6" s="9" t="s">
        <v>11</v>
      </c>
      <c r="H6" s="9" t="s">
        <v>13</v>
      </c>
      <c r="I6" s="29"/>
      <c r="J6" s="29"/>
      <c r="K6" s="29"/>
      <c r="L6" s="29"/>
      <c r="M6" s="29"/>
      <c r="N6" s="29"/>
      <c r="O6" s="29">
        <v>3000000</v>
      </c>
      <c r="BE6" s="30">
        <f t="shared" si="0"/>
        <v>3000000</v>
      </c>
      <c r="BF6" s="6">
        <f t="shared" si="1"/>
        <v>1</v>
      </c>
    </row>
    <row r="7" spans="1:58">
      <c r="A7" s="9" t="s">
        <v>392</v>
      </c>
      <c r="B7" s="9" t="s">
        <v>30</v>
      </c>
      <c r="C7" s="11" t="s">
        <v>21</v>
      </c>
      <c r="D7" s="9" t="s">
        <v>20</v>
      </c>
      <c r="E7" s="9" t="s">
        <v>19</v>
      </c>
      <c r="F7" s="9" t="s">
        <v>18</v>
      </c>
      <c r="G7" s="9" t="s">
        <v>17</v>
      </c>
      <c r="H7" s="9" t="s">
        <v>16</v>
      </c>
      <c r="M7" s="29">
        <v>33818</v>
      </c>
      <c r="N7" s="29">
        <v>7855</v>
      </c>
      <c r="BE7" s="30">
        <f t="shared" si="0"/>
        <v>41673</v>
      </c>
      <c r="BF7" s="6">
        <f t="shared" si="1"/>
        <v>2</v>
      </c>
    </row>
    <row r="8" spans="1:58">
      <c r="A8" s="9" t="s">
        <v>392</v>
      </c>
      <c r="B8" s="9" t="s">
        <v>30</v>
      </c>
      <c r="C8" s="11" t="s">
        <v>24</v>
      </c>
      <c r="D8" s="9" t="s">
        <v>23</v>
      </c>
      <c r="E8" s="9" t="s">
        <v>2</v>
      </c>
      <c r="F8" s="9"/>
      <c r="G8" s="9" t="s">
        <v>1</v>
      </c>
      <c r="H8" s="9" t="s">
        <v>22</v>
      </c>
      <c r="K8" s="29">
        <v>83227</v>
      </c>
      <c r="L8" s="29">
        <v>7182</v>
      </c>
      <c r="M8" s="29">
        <v>7182</v>
      </c>
      <c r="N8" s="29">
        <v>7182</v>
      </c>
      <c r="BE8" s="30">
        <f t="shared" si="0"/>
        <v>104773</v>
      </c>
      <c r="BF8" s="6">
        <f t="shared" si="1"/>
        <v>4</v>
      </c>
    </row>
    <row r="9" spans="1:58">
      <c r="A9" s="9" t="s">
        <v>392</v>
      </c>
      <c r="B9" s="9" t="s">
        <v>30</v>
      </c>
      <c r="C9" s="11" t="s">
        <v>689</v>
      </c>
      <c r="D9" s="9" t="s">
        <v>29</v>
      </c>
      <c r="E9" s="9" t="s">
        <v>8</v>
      </c>
      <c r="F9" s="9"/>
      <c r="G9" s="9" t="s">
        <v>11</v>
      </c>
      <c r="H9" s="9" t="s">
        <v>25</v>
      </c>
      <c r="I9" s="29">
        <v>980000</v>
      </c>
      <c r="J9" s="29">
        <v>1740000</v>
      </c>
      <c r="K9" s="29">
        <v>1740000</v>
      </c>
      <c r="L9" s="29">
        <v>1740000</v>
      </c>
      <c r="M9" s="29">
        <v>1740000</v>
      </c>
      <c r="N9" s="29">
        <v>5130000</v>
      </c>
      <c r="BE9" s="30">
        <f t="shared" si="0"/>
        <v>13070000</v>
      </c>
      <c r="BF9" s="6">
        <f t="shared" si="1"/>
        <v>6</v>
      </c>
    </row>
    <row r="10" spans="1:58">
      <c r="A10" s="9" t="s">
        <v>392</v>
      </c>
      <c r="B10" s="9" t="s">
        <v>30</v>
      </c>
      <c r="C10" s="11" t="s">
        <v>689</v>
      </c>
      <c r="D10" s="9" t="s">
        <v>29</v>
      </c>
      <c r="E10" s="9" t="s">
        <v>8</v>
      </c>
      <c r="F10" s="9"/>
      <c r="G10" s="9" t="s">
        <v>28</v>
      </c>
      <c r="H10" s="9" t="s">
        <v>26</v>
      </c>
      <c r="J10" s="29"/>
      <c r="K10" s="29"/>
      <c r="L10" s="29"/>
      <c r="M10" s="29"/>
      <c r="N10" s="29"/>
      <c r="O10" s="29"/>
      <c r="P10" s="29">
        <v>1740000</v>
      </c>
      <c r="Q10" s="29">
        <v>1740000</v>
      </c>
      <c r="R10" s="29">
        <v>1740000</v>
      </c>
      <c r="S10" s="29">
        <v>1740000</v>
      </c>
      <c r="T10" s="29">
        <v>1740000</v>
      </c>
      <c r="U10" s="29">
        <v>1740000</v>
      </c>
      <c r="V10" s="29">
        <v>1740000</v>
      </c>
      <c r="W10" s="29">
        <v>1740000</v>
      </c>
      <c r="X10" s="29">
        <v>1740000</v>
      </c>
      <c r="Y10" s="29">
        <v>1740000</v>
      </c>
      <c r="Z10" s="29">
        <v>1740000</v>
      </c>
      <c r="AA10" s="29">
        <v>1740000</v>
      </c>
      <c r="AB10" s="29">
        <v>1740000</v>
      </c>
      <c r="AC10" s="29">
        <v>1740000</v>
      </c>
      <c r="AD10" s="29">
        <v>1740000</v>
      </c>
      <c r="AE10" s="29">
        <v>1740000</v>
      </c>
      <c r="AF10" s="29">
        <v>1740000</v>
      </c>
      <c r="AG10" s="29">
        <v>1740000</v>
      </c>
      <c r="AH10" s="29">
        <v>1740000</v>
      </c>
      <c r="AI10" s="29">
        <v>1740000</v>
      </c>
      <c r="AJ10" s="29">
        <v>1740000</v>
      </c>
      <c r="AK10" s="29">
        <v>1740000</v>
      </c>
      <c r="AL10" s="29">
        <v>1740000</v>
      </c>
      <c r="AM10" s="29">
        <v>1740000</v>
      </c>
      <c r="AN10" s="29">
        <v>1740000</v>
      </c>
      <c r="AO10" s="29">
        <v>1740000</v>
      </c>
      <c r="AP10" s="29">
        <v>1740000</v>
      </c>
      <c r="AQ10" s="29">
        <v>1740000</v>
      </c>
      <c r="AR10" s="29">
        <v>1740000</v>
      </c>
      <c r="BE10" s="30">
        <f t="shared" si="0"/>
        <v>50460000</v>
      </c>
      <c r="BF10" s="6">
        <f t="shared" si="1"/>
        <v>29</v>
      </c>
    </row>
    <row r="11" spans="1:58">
      <c r="A11" s="9" t="s">
        <v>392</v>
      </c>
      <c r="B11" s="9" t="s">
        <v>30</v>
      </c>
      <c r="C11" s="11" t="s">
        <v>689</v>
      </c>
      <c r="D11" s="9" t="s">
        <v>29</v>
      </c>
      <c r="E11" s="9" t="s">
        <v>8</v>
      </c>
      <c r="F11" s="9"/>
      <c r="G11" s="9" t="s">
        <v>11</v>
      </c>
      <c r="H11" s="9" t="s">
        <v>27</v>
      </c>
      <c r="I11" s="29"/>
      <c r="J11" s="29"/>
      <c r="K11" s="29"/>
      <c r="L11" s="29"/>
      <c r="M11" s="29"/>
      <c r="N11" s="29"/>
      <c r="O11" s="29">
        <v>2850000</v>
      </c>
      <c r="BE11" s="30">
        <f t="shared" si="0"/>
        <v>2850000</v>
      </c>
      <c r="BF11" s="6">
        <f t="shared" si="1"/>
        <v>1</v>
      </c>
    </row>
    <row r="12" spans="1:58">
      <c r="A12" s="9" t="s">
        <v>392</v>
      </c>
      <c r="B12" s="9" t="s">
        <v>80</v>
      </c>
      <c r="C12" s="11" t="s">
        <v>36</v>
      </c>
      <c r="D12" s="9" t="s">
        <v>35</v>
      </c>
      <c r="E12" s="9" t="s">
        <v>8</v>
      </c>
      <c r="F12" s="9"/>
      <c r="G12" s="9" t="s">
        <v>17</v>
      </c>
      <c r="H12" s="9" t="s">
        <v>31</v>
      </c>
      <c r="I12" s="29">
        <v>0</v>
      </c>
      <c r="J12" s="29">
        <v>0</v>
      </c>
      <c r="K12" s="29">
        <v>9600000</v>
      </c>
      <c r="L12" s="29">
        <v>3200000</v>
      </c>
      <c r="M12" s="29">
        <v>3200000</v>
      </c>
      <c r="N12" s="29">
        <v>3200000</v>
      </c>
      <c r="BE12" s="30">
        <f t="shared" si="0"/>
        <v>19200000</v>
      </c>
      <c r="BF12" s="6">
        <f t="shared" si="1"/>
        <v>4</v>
      </c>
    </row>
    <row r="13" spans="1:58">
      <c r="A13" s="9" t="s">
        <v>392</v>
      </c>
      <c r="B13" s="9" t="s">
        <v>80</v>
      </c>
      <c r="C13" s="11" t="s">
        <v>36</v>
      </c>
      <c r="D13" s="9" t="s">
        <v>35</v>
      </c>
      <c r="E13" s="9" t="s">
        <v>8</v>
      </c>
      <c r="F13" s="9"/>
      <c r="G13" s="9" t="s">
        <v>34</v>
      </c>
      <c r="H13" s="9" t="s">
        <v>32</v>
      </c>
      <c r="I13" s="29"/>
      <c r="J13" s="29"/>
      <c r="K13" s="29"/>
      <c r="L13" s="29"/>
      <c r="M13" s="29"/>
      <c r="N13" s="29"/>
      <c r="O13" s="29"/>
      <c r="P13" s="29">
        <v>3200000</v>
      </c>
      <c r="Q13" s="29">
        <v>3200000</v>
      </c>
      <c r="R13" s="29">
        <v>3200000</v>
      </c>
      <c r="S13" s="29">
        <v>3200000</v>
      </c>
      <c r="T13" s="29">
        <v>3200000</v>
      </c>
      <c r="BE13" s="30">
        <f t="shared" si="0"/>
        <v>16000000</v>
      </c>
      <c r="BF13" s="6">
        <f t="shared" si="1"/>
        <v>5</v>
      </c>
    </row>
    <row r="14" spans="1:58">
      <c r="A14" s="9" t="s">
        <v>392</v>
      </c>
      <c r="B14" s="9" t="s">
        <v>80</v>
      </c>
      <c r="C14" s="11" t="s">
        <v>36</v>
      </c>
      <c r="D14" s="9" t="s">
        <v>35</v>
      </c>
      <c r="E14" s="9" t="s">
        <v>8</v>
      </c>
      <c r="F14" s="9"/>
      <c r="G14" s="9" t="s">
        <v>17</v>
      </c>
      <c r="H14" s="9" t="s">
        <v>33</v>
      </c>
      <c r="I14" s="29"/>
      <c r="J14" s="29"/>
      <c r="K14" s="29"/>
      <c r="L14" s="29"/>
      <c r="M14" s="29"/>
      <c r="N14" s="29"/>
      <c r="O14" s="29">
        <v>3200000</v>
      </c>
      <c r="BE14" s="30">
        <f t="shared" si="0"/>
        <v>3200000</v>
      </c>
      <c r="BF14" s="6">
        <f t="shared" si="1"/>
        <v>1</v>
      </c>
    </row>
    <row r="15" spans="1:58">
      <c r="A15" s="9" t="s">
        <v>392</v>
      </c>
      <c r="B15" s="9" t="s">
        <v>80</v>
      </c>
      <c r="C15" s="11" t="s">
        <v>686</v>
      </c>
      <c r="D15" s="9" t="s">
        <v>43</v>
      </c>
      <c r="E15" s="9" t="s">
        <v>8</v>
      </c>
      <c r="F15" s="9"/>
      <c r="G15" s="9" t="s">
        <v>38</v>
      </c>
      <c r="H15" s="9" t="s">
        <v>37</v>
      </c>
      <c r="J15" s="29">
        <v>1000000</v>
      </c>
      <c r="K15" s="29">
        <v>1000000</v>
      </c>
      <c r="L15" s="29">
        <v>1000000</v>
      </c>
      <c r="M15" s="29">
        <v>1000000</v>
      </c>
      <c r="N15" s="29">
        <v>1000000</v>
      </c>
      <c r="BE15" s="30">
        <f t="shared" si="0"/>
        <v>5000000</v>
      </c>
      <c r="BF15" s="6">
        <f t="shared" si="1"/>
        <v>5</v>
      </c>
    </row>
    <row r="16" spans="1:58">
      <c r="A16" s="9" t="s">
        <v>392</v>
      </c>
      <c r="B16" s="9" t="s">
        <v>80</v>
      </c>
      <c r="C16" s="11" t="s">
        <v>686</v>
      </c>
      <c r="D16" s="9" t="s">
        <v>43</v>
      </c>
      <c r="E16" s="9" t="s">
        <v>8</v>
      </c>
      <c r="F16" s="9"/>
      <c r="G16" s="9" t="s">
        <v>41</v>
      </c>
      <c r="H16" s="9" t="s">
        <v>39</v>
      </c>
      <c r="J16" s="29"/>
      <c r="K16" s="29"/>
      <c r="L16" s="29"/>
      <c r="M16" s="29"/>
      <c r="N16" s="29"/>
      <c r="O16" s="29"/>
      <c r="P16" s="29">
        <v>1000000</v>
      </c>
      <c r="Q16" s="29">
        <v>1000000</v>
      </c>
      <c r="R16" s="29">
        <v>1000000</v>
      </c>
      <c r="S16" s="29">
        <v>1000000</v>
      </c>
      <c r="T16" s="29">
        <v>1000000</v>
      </c>
      <c r="U16" s="29">
        <v>1000000</v>
      </c>
      <c r="BE16" s="30">
        <f t="shared" si="0"/>
        <v>6000000</v>
      </c>
      <c r="BF16" s="6">
        <f t="shared" si="1"/>
        <v>6</v>
      </c>
    </row>
    <row r="17" spans="1:58">
      <c r="A17" s="9" t="s">
        <v>392</v>
      </c>
      <c r="B17" s="9" t="s">
        <v>80</v>
      </c>
      <c r="C17" s="11" t="s">
        <v>686</v>
      </c>
      <c r="D17" s="9" t="s">
        <v>43</v>
      </c>
      <c r="E17" s="9" t="s">
        <v>8</v>
      </c>
      <c r="F17" s="9"/>
      <c r="G17" s="9" t="s">
        <v>38</v>
      </c>
      <c r="H17" s="9" t="s">
        <v>40</v>
      </c>
      <c r="J17" s="29"/>
      <c r="K17" s="29"/>
      <c r="L17" s="29"/>
      <c r="M17" s="29"/>
      <c r="N17" s="29"/>
      <c r="O17" s="29">
        <v>1000000</v>
      </c>
      <c r="BE17" s="30">
        <f t="shared" si="0"/>
        <v>1000000</v>
      </c>
      <c r="BF17" s="6">
        <f t="shared" si="1"/>
        <v>1</v>
      </c>
    </row>
    <row r="18" spans="1:58">
      <c r="A18" s="9" t="s">
        <v>392</v>
      </c>
      <c r="B18" s="9" t="s">
        <v>80</v>
      </c>
      <c r="C18" s="11" t="s">
        <v>48</v>
      </c>
      <c r="D18" s="9" t="s">
        <v>47</v>
      </c>
      <c r="E18" s="9" t="s">
        <v>46</v>
      </c>
      <c r="F18" s="9"/>
      <c r="G18" s="9" t="s">
        <v>45</v>
      </c>
      <c r="H18" s="9" t="s">
        <v>44</v>
      </c>
      <c r="L18" s="29">
        <v>3273</v>
      </c>
      <c r="M18" s="29">
        <v>3273</v>
      </c>
      <c r="N18" s="29">
        <v>3564</v>
      </c>
      <c r="BE18" s="30">
        <f t="shared" si="0"/>
        <v>10110</v>
      </c>
      <c r="BF18" s="6">
        <f t="shared" si="1"/>
        <v>3</v>
      </c>
    </row>
    <row r="19" spans="1:58">
      <c r="A19" s="9" t="s">
        <v>392</v>
      </c>
      <c r="B19" s="9" t="s">
        <v>80</v>
      </c>
      <c r="C19" s="11" t="s">
        <v>51</v>
      </c>
      <c r="D19" s="9" t="s">
        <v>50</v>
      </c>
      <c r="E19" s="9" t="s">
        <v>2</v>
      </c>
      <c r="F19" s="9"/>
      <c r="G19" s="9" t="s">
        <v>11</v>
      </c>
      <c r="H19" s="9" t="s">
        <v>49</v>
      </c>
      <c r="K19" s="29">
        <v>281091</v>
      </c>
      <c r="L19" s="29">
        <v>123345</v>
      </c>
      <c r="M19" s="29">
        <v>64945</v>
      </c>
      <c r="N19" s="29">
        <v>157600</v>
      </c>
      <c r="BE19" s="30">
        <f t="shared" si="0"/>
        <v>626981</v>
      </c>
      <c r="BF19" s="6">
        <f t="shared" si="1"/>
        <v>4</v>
      </c>
    </row>
    <row r="20" spans="1:58">
      <c r="A20" s="9" t="s">
        <v>392</v>
      </c>
      <c r="B20" s="9" t="s">
        <v>80</v>
      </c>
      <c r="C20" s="11" t="s">
        <v>54</v>
      </c>
      <c r="D20" s="9" t="s">
        <v>53</v>
      </c>
      <c r="E20" s="9" t="s">
        <v>2</v>
      </c>
      <c r="F20" s="9"/>
      <c r="G20" s="9" t="s">
        <v>11</v>
      </c>
      <c r="H20" s="9" t="s">
        <v>52</v>
      </c>
      <c r="K20" s="29">
        <v>24873</v>
      </c>
      <c r="L20" s="29">
        <v>4800</v>
      </c>
      <c r="M20" s="29">
        <v>0</v>
      </c>
      <c r="N20" s="29">
        <v>0</v>
      </c>
      <c r="BE20" s="30">
        <f t="shared" si="0"/>
        <v>29673</v>
      </c>
      <c r="BF20" s="6">
        <f t="shared" si="1"/>
        <v>2</v>
      </c>
    </row>
    <row r="21" spans="1:58">
      <c r="A21" s="9" t="s">
        <v>392</v>
      </c>
      <c r="B21" s="9" t="s">
        <v>80</v>
      </c>
      <c r="C21" s="11" t="s">
        <v>59</v>
      </c>
      <c r="D21" s="9" t="s">
        <v>58</v>
      </c>
      <c r="E21" s="9" t="s">
        <v>57</v>
      </c>
      <c r="F21" s="9"/>
      <c r="G21" s="9" t="s">
        <v>56</v>
      </c>
      <c r="H21" s="9" t="s">
        <v>55</v>
      </c>
      <c r="L21" s="29">
        <v>0</v>
      </c>
      <c r="M21" s="29">
        <v>4655</v>
      </c>
      <c r="N21" s="29">
        <v>7636</v>
      </c>
      <c r="BE21" s="30">
        <f t="shared" si="0"/>
        <v>12291</v>
      </c>
      <c r="BF21" s="6">
        <f t="shared" si="1"/>
        <v>2</v>
      </c>
    </row>
    <row r="22" spans="1:58">
      <c r="A22" s="9" t="s">
        <v>392</v>
      </c>
      <c r="B22" s="9" t="s">
        <v>80</v>
      </c>
      <c r="C22" s="11" t="s">
        <v>64</v>
      </c>
      <c r="D22" s="9" t="s">
        <v>63</v>
      </c>
      <c r="E22" s="9" t="s">
        <v>62</v>
      </c>
      <c r="F22" s="9"/>
      <c r="G22" s="9" t="s">
        <v>61</v>
      </c>
      <c r="H22" s="9" t="s">
        <v>60</v>
      </c>
      <c r="L22" s="29">
        <v>6473</v>
      </c>
      <c r="M22" s="29">
        <v>2545</v>
      </c>
      <c r="N22" s="29">
        <v>2545</v>
      </c>
      <c r="BE22" s="30">
        <f t="shared" si="0"/>
        <v>11563</v>
      </c>
      <c r="BF22" s="6">
        <f t="shared" si="1"/>
        <v>3</v>
      </c>
    </row>
    <row r="23" spans="1:58">
      <c r="A23" s="9" t="s">
        <v>392</v>
      </c>
      <c r="B23" s="9" t="s">
        <v>80</v>
      </c>
      <c r="C23" s="11" t="s">
        <v>67</v>
      </c>
      <c r="D23" s="9" t="s">
        <v>66</v>
      </c>
      <c r="E23" s="9" t="s">
        <v>2</v>
      </c>
      <c r="F23" s="9"/>
      <c r="G23" s="9" t="s">
        <v>11</v>
      </c>
      <c r="H23" s="9" t="s">
        <v>65</v>
      </c>
      <c r="K23" s="29">
        <v>165036</v>
      </c>
      <c r="L23" s="29">
        <v>21000</v>
      </c>
      <c r="M23" s="29">
        <v>17436</v>
      </c>
      <c r="N23" s="29">
        <v>17336</v>
      </c>
      <c r="BE23" s="30">
        <f t="shared" si="0"/>
        <v>220808</v>
      </c>
      <c r="BF23" s="6">
        <f t="shared" si="1"/>
        <v>4</v>
      </c>
    </row>
    <row r="24" spans="1:58">
      <c r="A24" s="9" t="s">
        <v>392</v>
      </c>
      <c r="B24" s="9" t="s">
        <v>80</v>
      </c>
      <c r="C24" s="11" t="s">
        <v>70</v>
      </c>
      <c r="D24" s="9" t="s">
        <v>69</v>
      </c>
      <c r="E24" s="9" t="s">
        <v>2</v>
      </c>
      <c r="F24" s="9"/>
      <c r="G24" s="9" t="s">
        <v>11</v>
      </c>
      <c r="H24" s="9" t="s">
        <v>68</v>
      </c>
      <c r="K24" s="29">
        <v>15955</v>
      </c>
      <c r="L24" s="29">
        <v>0</v>
      </c>
      <c r="M24" s="29">
        <v>0</v>
      </c>
      <c r="N24" s="29">
        <v>2909</v>
      </c>
      <c r="BE24" s="30">
        <f t="shared" si="0"/>
        <v>18864</v>
      </c>
      <c r="BF24" s="6">
        <f t="shared" si="1"/>
        <v>2</v>
      </c>
    </row>
    <row r="25" spans="1:58">
      <c r="A25" s="9" t="s">
        <v>392</v>
      </c>
      <c r="B25" s="9" t="s">
        <v>80</v>
      </c>
      <c r="C25" s="11" t="s">
        <v>79</v>
      </c>
      <c r="D25" s="9" t="s">
        <v>78</v>
      </c>
      <c r="E25" s="9" t="s">
        <v>77</v>
      </c>
      <c r="F25" s="9"/>
      <c r="G25" s="9" t="s">
        <v>72</v>
      </c>
      <c r="H25" s="9" t="s">
        <v>71</v>
      </c>
      <c r="L25" s="29">
        <v>2124000</v>
      </c>
      <c r="M25" s="29">
        <v>2124000</v>
      </c>
      <c r="N25" s="29">
        <v>2119500</v>
      </c>
      <c r="BE25" s="30">
        <f t="shared" si="0"/>
        <v>6367500</v>
      </c>
      <c r="BF25" s="6">
        <f t="shared" si="1"/>
        <v>3</v>
      </c>
    </row>
    <row r="26" spans="1:58">
      <c r="A26" s="9" t="s">
        <v>392</v>
      </c>
      <c r="B26" s="9" t="s">
        <v>80</v>
      </c>
      <c r="C26" s="11" t="s">
        <v>79</v>
      </c>
      <c r="D26" s="9" t="s">
        <v>78</v>
      </c>
      <c r="E26" s="9" t="s">
        <v>2</v>
      </c>
      <c r="F26" s="9"/>
      <c r="G26" s="9" t="s">
        <v>75</v>
      </c>
      <c r="H26" s="9" t="s">
        <v>73</v>
      </c>
      <c r="L26" s="29"/>
      <c r="M26" s="29"/>
      <c r="N26" s="29"/>
      <c r="O26" s="29"/>
      <c r="P26" s="29">
        <v>2124000</v>
      </c>
      <c r="Q26" s="29">
        <v>2124000</v>
      </c>
      <c r="R26" s="29">
        <v>2124000</v>
      </c>
      <c r="S26" s="29">
        <v>2124000</v>
      </c>
      <c r="T26" s="29">
        <v>2124000</v>
      </c>
      <c r="U26" s="29">
        <v>2124000</v>
      </c>
      <c r="V26" s="29">
        <v>2124000</v>
      </c>
      <c r="W26" s="29">
        <v>2124000</v>
      </c>
      <c r="BE26" s="30">
        <f t="shared" si="0"/>
        <v>16992000</v>
      </c>
      <c r="BF26" s="6">
        <f t="shared" si="1"/>
        <v>8</v>
      </c>
    </row>
    <row r="27" spans="1:58">
      <c r="A27" s="9" t="s">
        <v>392</v>
      </c>
      <c r="B27" s="9" t="s">
        <v>80</v>
      </c>
      <c r="C27" s="11" t="s">
        <v>79</v>
      </c>
      <c r="D27" s="9" t="s">
        <v>78</v>
      </c>
      <c r="E27" s="9" t="s">
        <v>2</v>
      </c>
      <c r="F27" s="9"/>
      <c r="G27" s="9" t="s">
        <v>17</v>
      </c>
      <c r="H27" s="9" t="s">
        <v>74</v>
      </c>
      <c r="L27" s="29"/>
      <c r="M27" s="29"/>
      <c r="N27" s="29"/>
      <c r="O27" s="29">
        <v>2124000</v>
      </c>
      <c r="BE27" s="30">
        <f t="shared" si="0"/>
        <v>2124000</v>
      </c>
      <c r="BF27" s="6">
        <f t="shared" si="1"/>
        <v>1</v>
      </c>
    </row>
    <row r="28" spans="1:58">
      <c r="A28" s="9" t="s">
        <v>392</v>
      </c>
      <c r="B28" s="9" t="s">
        <v>152</v>
      </c>
      <c r="C28" s="11" t="s">
        <v>85</v>
      </c>
      <c r="D28" s="9" t="s">
        <v>84</v>
      </c>
      <c r="E28" s="9" t="s">
        <v>83</v>
      </c>
      <c r="F28" s="9"/>
      <c r="G28" s="9" t="s">
        <v>82</v>
      </c>
      <c r="H28" s="9" t="s">
        <v>81</v>
      </c>
      <c r="N28" s="29">
        <v>25829280</v>
      </c>
      <c r="BE28" s="30">
        <f t="shared" si="0"/>
        <v>25829280</v>
      </c>
      <c r="BF28" s="6">
        <f t="shared" si="1"/>
        <v>1</v>
      </c>
    </row>
    <row r="29" spans="1:58">
      <c r="A29" s="9" t="s">
        <v>392</v>
      </c>
      <c r="B29" s="9" t="s">
        <v>152</v>
      </c>
      <c r="C29" s="11" t="s">
        <v>89</v>
      </c>
      <c r="D29" s="9" t="s">
        <v>88</v>
      </c>
      <c r="E29" s="9" t="s">
        <v>2</v>
      </c>
      <c r="F29" s="9"/>
      <c r="G29" s="9" t="s">
        <v>87</v>
      </c>
      <c r="H29" s="9" t="s">
        <v>86</v>
      </c>
      <c r="N29" s="29"/>
      <c r="O29" s="29"/>
      <c r="P29" s="29">
        <v>0</v>
      </c>
      <c r="Q29" s="29">
        <v>0</v>
      </c>
      <c r="R29" s="29">
        <v>11321609</v>
      </c>
      <c r="S29" s="29">
        <v>11321609</v>
      </c>
      <c r="T29" s="29">
        <v>11321609</v>
      </c>
      <c r="U29" s="29">
        <v>11321609</v>
      </c>
      <c r="V29" s="29">
        <v>11321609</v>
      </c>
      <c r="W29" s="29">
        <v>11321609</v>
      </c>
      <c r="X29" s="29">
        <v>11321609</v>
      </c>
      <c r="Y29" s="29">
        <v>11321609</v>
      </c>
      <c r="Z29" s="29">
        <v>11321609</v>
      </c>
      <c r="AA29" s="29">
        <v>11321609</v>
      </c>
      <c r="AB29" s="29">
        <v>11321609</v>
      </c>
      <c r="AC29" s="29">
        <v>11321609</v>
      </c>
      <c r="BE29" s="30">
        <f t="shared" ref="BE29:BE65" si="2">SUM(I29:BD29)</f>
        <v>135859308</v>
      </c>
      <c r="BF29" s="6">
        <f t="shared" ref="BF29:BF65" si="3">COUNTIF(I29:BD29, "&gt;0")</f>
        <v>12</v>
      </c>
    </row>
    <row r="30" spans="1:58">
      <c r="A30" s="9" t="s">
        <v>392</v>
      </c>
      <c r="B30" s="9" t="s">
        <v>152</v>
      </c>
      <c r="C30" s="11" t="s">
        <v>685</v>
      </c>
      <c r="D30" s="9" t="s">
        <v>94</v>
      </c>
      <c r="E30" s="9" t="s">
        <v>8</v>
      </c>
      <c r="F30" s="9"/>
      <c r="G30" s="9" t="s">
        <v>11</v>
      </c>
      <c r="H30" s="9" t="s">
        <v>90</v>
      </c>
      <c r="J30" s="29">
        <v>0</v>
      </c>
      <c r="K30" s="29">
        <v>600000</v>
      </c>
      <c r="L30" s="29">
        <v>600000</v>
      </c>
      <c r="M30" s="29">
        <v>600000</v>
      </c>
      <c r="N30" s="29">
        <v>600000</v>
      </c>
      <c r="BE30" s="30">
        <f t="shared" si="2"/>
        <v>2400000</v>
      </c>
      <c r="BF30" s="6">
        <f t="shared" si="3"/>
        <v>4</v>
      </c>
    </row>
    <row r="31" spans="1:58">
      <c r="A31" s="9" t="s">
        <v>392</v>
      </c>
      <c r="B31" s="9" t="s">
        <v>152</v>
      </c>
      <c r="C31" s="11" t="s">
        <v>95</v>
      </c>
      <c r="D31" s="9" t="s">
        <v>94</v>
      </c>
      <c r="E31" s="9" t="s">
        <v>8</v>
      </c>
      <c r="F31" s="9"/>
      <c r="G31" s="9" t="s">
        <v>93</v>
      </c>
      <c r="H31" s="9" t="s">
        <v>91</v>
      </c>
      <c r="K31" s="29"/>
      <c r="L31" s="29"/>
      <c r="M31" s="29"/>
      <c r="N31" s="29"/>
      <c r="O31" s="29"/>
      <c r="P31" s="29">
        <v>600000</v>
      </c>
      <c r="Q31" s="29">
        <v>600000</v>
      </c>
      <c r="R31" s="29">
        <v>600000</v>
      </c>
      <c r="S31" s="29">
        <v>600000</v>
      </c>
      <c r="T31" s="29">
        <v>600000</v>
      </c>
      <c r="BE31" s="30">
        <f t="shared" si="2"/>
        <v>3000000</v>
      </c>
      <c r="BF31" s="6">
        <f t="shared" si="3"/>
        <v>5</v>
      </c>
    </row>
    <row r="32" spans="1:58">
      <c r="A32" s="9" t="s">
        <v>392</v>
      </c>
      <c r="B32" s="9" t="s">
        <v>152</v>
      </c>
      <c r="C32" s="11" t="s">
        <v>95</v>
      </c>
      <c r="D32" s="9" t="s">
        <v>94</v>
      </c>
      <c r="E32" s="9" t="s">
        <v>8</v>
      </c>
      <c r="F32" s="9"/>
      <c r="G32" s="9" t="s">
        <v>11</v>
      </c>
      <c r="H32" s="9" t="s">
        <v>92</v>
      </c>
      <c r="K32" s="29"/>
      <c r="L32" s="29"/>
      <c r="M32" s="29"/>
      <c r="N32" s="29"/>
      <c r="O32" s="29">
        <v>600000</v>
      </c>
      <c r="BE32" s="30">
        <f t="shared" si="2"/>
        <v>600000</v>
      </c>
      <c r="BF32" s="6">
        <f t="shared" si="3"/>
        <v>1</v>
      </c>
    </row>
    <row r="33" spans="1:58">
      <c r="A33" s="9" t="s">
        <v>392</v>
      </c>
      <c r="B33" s="9" t="s">
        <v>152</v>
      </c>
      <c r="C33" s="11" t="s">
        <v>103</v>
      </c>
      <c r="D33" s="9" t="s">
        <v>102</v>
      </c>
      <c r="E33" s="9" t="s">
        <v>101</v>
      </c>
      <c r="F33" s="9"/>
      <c r="G33" s="9" t="s">
        <v>97</v>
      </c>
      <c r="H33" s="9" t="s">
        <v>96</v>
      </c>
      <c r="L33" s="29">
        <v>49309</v>
      </c>
      <c r="M33" s="29">
        <v>59055</v>
      </c>
      <c r="N33" s="29">
        <v>37964</v>
      </c>
      <c r="BE33" s="30">
        <f t="shared" si="2"/>
        <v>146328</v>
      </c>
      <c r="BF33" s="6">
        <f t="shared" si="3"/>
        <v>3</v>
      </c>
    </row>
    <row r="34" spans="1:58">
      <c r="A34" s="9" t="s">
        <v>392</v>
      </c>
      <c r="B34" s="9" t="s">
        <v>152</v>
      </c>
      <c r="C34" s="11" t="s">
        <v>103</v>
      </c>
      <c r="D34" s="9" t="s">
        <v>102</v>
      </c>
      <c r="E34" s="9" t="s">
        <v>2</v>
      </c>
      <c r="F34" s="9"/>
      <c r="G34" s="9" t="s">
        <v>100</v>
      </c>
      <c r="H34" s="9" t="s">
        <v>98</v>
      </c>
      <c r="L34" s="29"/>
      <c r="M34" s="29"/>
      <c r="N34" s="29"/>
      <c r="O34" s="29"/>
      <c r="P34" s="29">
        <v>49309</v>
      </c>
      <c r="Q34" s="29">
        <v>49309</v>
      </c>
      <c r="R34" s="29">
        <v>49309</v>
      </c>
      <c r="S34" s="29">
        <v>49309</v>
      </c>
      <c r="T34" s="29">
        <v>49309</v>
      </c>
      <c r="U34" s="29">
        <v>49309</v>
      </c>
      <c r="V34" s="29">
        <v>49309</v>
      </c>
      <c r="W34" s="29">
        <v>49309</v>
      </c>
      <c r="BE34" s="30">
        <f t="shared" si="2"/>
        <v>394472</v>
      </c>
      <c r="BF34" s="6">
        <f t="shared" si="3"/>
        <v>8</v>
      </c>
    </row>
    <row r="35" spans="1:58">
      <c r="A35" s="9" t="s">
        <v>392</v>
      </c>
      <c r="B35" s="9" t="s">
        <v>152</v>
      </c>
      <c r="C35" s="11" t="s">
        <v>103</v>
      </c>
      <c r="D35" s="9" t="s">
        <v>102</v>
      </c>
      <c r="E35" s="9" t="s">
        <v>2</v>
      </c>
      <c r="F35" s="9"/>
      <c r="G35" s="9" t="s">
        <v>17</v>
      </c>
      <c r="H35" s="9" t="s">
        <v>99</v>
      </c>
      <c r="L35" s="29"/>
      <c r="M35" s="29"/>
      <c r="N35" s="29"/>
      <c r="O35" s="29">
        <v>49309</v>
      </c>
      <c r="BE35" s="30">
        <f t="shared" si="2"/>
        <v>49309</v>
      </c>
      <c r="BF35" s="6">
        <f t="shared" si="3"/>
        <v>1</v>
      </c>
    </row>
    <row r="36" spans="1:58">
      <c r="A36" s="9" t="s">
        <v>392</v>
      </c>
      <c r="B36" s="9" t="s">
        <v>152</v>
      </c>
      <c r="C36" s="11" t="s">
        <v>111</v>
      </c>
      <c r="D36" s="9" t="s">
        <v>110</v>
      </c>
      <c r="E36" s="9" t="s">
        <v>109</v>
      </c>
      <c r="F36" s="9"/>
      <c r="G36" s="9" t="s">
        <v>105</v>
      </c>
      <c r="H36" s="9" t="s">
        <v>104</v>
      </c>
      <c r="L36" s="29">
        <v>73236</v>
      </c>
      <c r="M36" s="29">
        <v>87782</v>
      </c>
      <c r="N36" s="29">
        <v>58473</v>
      </c>
      <c r="BE36" s="30">
        <f t="shared" si="2"/>
        <v>219491</v>
      </c>
      <c r="BF36" s="6">
        <f t="shared" si="3"/>
        <v>3</v>
      </c>
    </row>
    <row r="37" spans="1:58">
      <c r="A37" s="9" t="s">
        <v>392</v>
      </c>
      <c r="B37" s="9" t="s">
        <v>152</v>
      </c>
      <c r="C37" s="11" t="s">
        <v>111</v>
      </c>
      <c r="D37" s="9" t="s">
        <v>110</v>
      </c>
      <c r="E37" s="9" t="s">
        <v>2</v>
      </c>
      <c r="F37" s="9"/>
      <c r="G37" s="9" t="s">
        <v>108</v>
      </c>
      <c r="H37" s="9" t="s">
        <v>106</v>
      </c>
      <c r="L37" s="29"/>
      <c r="M37" s="29"/>
      <c r="N37" s="29"/>
      <c r="O37" s="29"/>
      <c r="P37" s="29">
        <v>73236</v>
      </c>
      <c r="Q37" s="29">
        <v>73236</v>
      </c>
      <c r="R37" s="29">
        <v>73236</v>
      </c>
      <c r="S37" s="29">
        <v>73236</v>
      </c>
      <c r="T37" s="29">
        <v>73236</v>
      </c>
      <c r="U37" s="29">
        <v>73236</v>
      </c>
      <c r="V37" s="29">
        <v>73236</v>
      </c>
      <c r="W37" s="29">
        <v>73236</v>
      </c>
      <c r="BE37" s="30">
        <f t="shared" si="2"/>
        <v>585888</v>
      </c>
      <c r="BF37" s="6">
        <f t="shared" si="3"/>
        <v>8</v>
      </c>
    </row>
    <row r="38" spans="1:58">
      <c r="A38" s="9" t="s">
        <v>392</v>
      </c>
      <c r="B38" s="9" t="s">
        <v>152</v>
      </c>
      <c r="C38" s="11" t="s">
        <v>111</v>
      </c>
      <c r="D38" s="9" t="s">
        <v>110</v>
      </c>
      <c r="E38" s="9" t="s">
        <v>2</v>
      </c>
      <c r="F38" s="9"/>
      <c r="G38" s="9" t="s">
        <v>17</v>
      </c>
      <c r="H38" s="9" t="s">
        <v>107</v>
      </c>
      <c r="L38" s="29"/>
      <c r="M38" s="29"/>
      <c r="N38" s="29"/>
      <c r="O38" s="29">
        <v>73236</v>
      </c>
      <c r="BE38" s="30">
        <f t="shared" si="2"/>
        <v>73236</v>
      </c>
      <c r="BF38" s="6">
        <f t="shared" si="3"/>
        <v>1</v>
      </c>
    </row>
    <row r="39" spans="1:58">
      <c r="A39" s="9" t="s">
        <v>392</v>
      </c>
      <c r="B39" s="9" t="s">
        <v>152</v>
      </c>
      <c r="C39" s="11" t="s">
        <v>119</v>
      </c>
      <c r="D39" s="9" t="s">
        <v>118</v>
      </c>
      <c r="E39" s="9" t="s">
        <v>117</v>
      </c>
      <c r="F39" s="9"/>
      <c r="G39" s="9" t="s">
        <v>113</v>
      </c>
      <c r="H39" s="9" t="s">
        <v>112</v>
      </c>
      <c r="L39" s="29">
        <v>121382</v>
      </c>
      <c r="M39" s="29">
        <v>146691</v>
      </c>
      <c r="N39" s="29">
        <v>96218</v>
      </c>
      <c r="BE39" s="30">
        <f t="shared" si="2"/>
        <v>364291</v>
      </c>
      <c r="BF39" s="6">
        <f t="shared" si="3"/>
        <v>3</v>
      </c>
    </row>
    <row r="40" spans="1:58">
      <c r="A40" s="9" t="s">
        <v>392</v>
      </c>
      <c r="B40" s="9" t="s">
        <v>152</v>
      </c>
      <c r="C40" s="11" t="s">
        <v>119</v>
      </c>
      <c r="D40" s="9" t="s">
        <v>118</v>
      </c>
      <c r="E40" s="9" t="s">
        <v>2</v>
      </c>
      <c r="F40" s="9"/>
      <c r="G40" s="9" t="s">
        <v>116</v>
      </c>
      <c r="H40" s="9" t="s">
        <v>114</v>
      </c>
      <c r="L40" s="29"/>
      <c r="M40" s="29"/>
      <c r="N40" s="29"/>
      <c r="O40" s="29"/>
      <c r="P40" s="29">
        <v>121382</v>
      </c>
      <c r="Q40" s="29">
        <v>121382</v>
      </c>
      <c r="R40" s="29">
        <v>121382</v>
      </c>
      <c r="S40" s="29">
        <v>121382</v>
      </c>
      <c r="T40" s="29">
        <v>121382</v>
      </c>
      <c r="U40" s="29">
        <v>121382</v>
      </c>
      <c r="V40" s="29">
        <v>121382</v>
      </c>
      <c r="W40" s="29">
        <v>121382</v>
      </c>
      <c r="BE40" s="30">
        <f t="shared" si="2"/>
        <v>971056</v>
      </c>
      <c r="BF40" s="6">
        <f t="shared" si="3"/>
        <v>8</v>
      </c>
    </row>
    <row r="41" spans="1:58">
      <c r="A41" s="9" t="s">
        <v>392</v>
      </c>
      <c r="B41" s="9" t="s">
        <v>152</v>
      </c>
      <c r="C41" s="11" t="s">
        <v>119</v>
      </c>
      <c r="D41" s="9" t="s">
        <v>118</v>
      </c>
      <c r="E41" s="9" t="s">
        <v>2</v>
      </c>
      <c r="F41" s="9"/>
      <c r="G41" s="9" t="s">
        <v>17</v>
      </c>
      <c r="H41" s="9" t="s">
        <v>115</v>
      </c>
      <c r="L41" s="29"/>
      <c r="M41" s="29"/>
      <c r="N41" s="29"/>
      <c r="O41" s="29">
        <v>121382</v>
      </c>
      <c r="BE41" s="30">
        <f t="shared" si="2"/>
        <v>121382</v>
      </c>
      <c r="BF41" s="6">
        <f t="shared" si="3"/>
        <v>1</v>
      </c>
    </row>
    <row r="42" spans="1:58">
      <c r="A42" s="9" t="s">
        <v>392</v>
      </c>
      <c r="B42" s="9" t="s">
        <v>152</v>
      </c>
      <c r="C42" s="11" t="s">
        <v>125</v>
      </c>
      <c r="D42" s="9" t="s">
        <v>124</v>
      </c>
      <c r="E42" s="9" t="s">
        <v>2</v>
      </c>
      <c r="F42" s="9"/>
      <c r="G42" s="9" t="s">
        <v>11</v>
      </c>
      <c r="H42" s="9" t="s">
        <v>120</v>
      </c>
      <c r="K42" s="29">
        <v>107336</v>
      </c>
      <c r="L42" s="29">
        <v>29455</v>
      </c>
      <c r="M42" s="29">
        <v>51709</v>
      </c>
      <c r="N42" s="29">
        <v>41091</v>
      </c>
      <c r="BE42" s="30">
        <f t="shared" si="2"/>
        <v>229591</v>
      </c>
      <c r="BF42" s="6">
        <f t="shared" si="3"/>
        <v>4</v>
      </c>
    </row>
    <row r="43" spans="1:58">
      <c r="A43" s="9" t="s">
        <v>392</v>
      </c>
      <c r="B43" s="9" t="s">
        <v>152</v>
      </c>
      <c r="C43" s="11" t="s">
        <v>125</v>
      </c>
      <c r="D43" s="9" t="s">
        <v>124</v>
      </c>
      <c r="E43" s="9" t="s">
        <v>2</v>
      </c>
      <c r="F43" s="9"/>
      <c r="G43" s="9" t="s">
        <v>123</v>
      </c>
      <c r="H43" s="9" t="s">
        <v>121</v>
      </c>
      <c r="K43" s="29"/>
      <c r="L43" s="29"/>
      <c r="M43" s="29"/>
      <c r="N43" s="29"/>
      <c r="O43" s="29"/>
      <c r="P43" s="29">
        <v>107336</v>
      </c>
      <c r="Q43" s="29">
        <v>107336</v>
      </c>
      <c r="R43" s="29">
        <v>107336</v>
      </c>
      <c r="S43" s="29">
        <v>107336</v>
      </c>
      <c r="T43" s="29">
        <v>107336</v>
      </c>
      <c r="U43" s="29">
        <v>107336</v>
      </c>
      <c r="V43" s="29">
        <v>107336</v>
      </c>
      <c r="BE43" s="30">
        <f t="shared" si="2"/>
        <v>751352</v>
      </c>
      <c r="BF43" s="6">
        <f t="shared" si="3"/>
        <v>7</v>
      </c>
    </row>
    <row r="44" spans="1:58">
      <c r="A44" s="9" t="s">
        <v>392</v>
      </c>
      <c r="B44" s="9" t="s">
        <v>152</v>
      </c>
      <c r="C44" s="11" t="s">
        <v>125</v>
      </c>
      <c r="D44" s="9" t="s">
        <v>124</v>
      </c>
      <c r="E44" s="9" t="s">
        <v>2</v>
      </c>
      <c r="F44" s="9"/>
      <c r="G44" s="9" t="s">
        <v>11</v>
      </c>
      <c r="H44" s="9" t="s">
        <v>122</v>
      </c>
      <c r="K44" s="29"/>
      <c r="L44" s="29"/>
      <c r="M44" s="29"/>
      <c r="N44" s="29"/>
      <c r="O44" s="29">
        <v>107336</v>
      </c>
      <c r="BE44" s="30">
        <f t="shared" si="2"/>
        <v>107336</v>
      </c>
      <c r="BF44" s="6">
        <f t="shared" si="3"/>
        <v>1</v>
      </c>
    </row>
    <row r="45" spans="1:58">
      <c r="A45" s="9" t="s">
        <v>392</v>
      </c>
      <c r="B45" s="9" t="s">
        <v>152</v>
      </c>
      <c r="C45" s="11" t="s">
        <v>134</v>
      </c>
      <c r="D45" s="9" t="s">
        <v>133</v>
      </c>
      <c r="E45" s="9" t="s">
        <v>132</v>
      </c>
      <c r="F45" s="9"/>
      <c r="G45" s="9" t="s">
        <v>127</v>
      </c>
      <c r="H45" s="9" t="s">
        <v>126</v>
      </c>
      <c r="L45" s="29">
        <v>750000</v>
      </c>
      <c r="M45" s="29">
        <v>750000</v>
      </c>
      <c r="N45" s="29">
        <v>750000</v>
      </c>
      <c r="BE45" s="30">
        <f t="shared" si="2"/>
        <v>2250000</v>
      </c>
      <c r="BF45" s="6">
        <f t="shared" si="3"/>
        <v>3</v>
      </c>
    </row>
    <row r="46" spans="1:58">
      <c r="A46" s="9" t="s">
        <v>392</v>
      </c>
      <c r="B46" s="9" t="s">
        <v>152</v>
      </c>
      <c r="C46" s="11" t="s">
        <v>134</v>
      </c>
      <c r="D46" s="9" t="s">
        <v>133</v>
      </c>
      <c r="E46" s="9" t="s">
        <v>132</v>
      </c>
      <c r="F46" s="9"/>
      <c r="G46" s="9" t="s">
        <v>130</v>
      </c>
      <c r="H46" s="9" t="s">
        <v>128</v>
      </c>
      <c r="L46" s="29"/>
      <c r="M46" s="29"/>
      <c r="N46" s="29"/>
      <c r="O46" s="29"/>
      <c r="P46" s="29">
        <v>750000</v>
      </c>
      <c r="Q46" s="29">
        <v>750000</v>
      </c>
      <c r="R46" s="29">
        <v>750000</v>
      </c>
      <c r="S46" s="29">
        <v>750000</v>
      </c>
      <c r="T46" s="29">
        <v>750000</v>
      </c>
      <c r="U46" s="29">
        <v>1500000</v>
      </c>
      <c r="V46" s="29">
        <v>1500000</v>
      </c>
      <c r="W46" s="29">
        <v>1500000</v>
      </c>
      <c r="X46" s="29">
        <v>1500000</v>
      </c>
      <c r="Y46" s="29">
        <v>1500000</v>
      </c>
      <c r="Z46" s="29">
        <v>1500000</v>
      </c>
      <c r="AA46" s="29">
        <v>1500000</v>
      </c>
      <c r="AB46" s="29">
        <v>1500000</v>
      </c>
      <c r="AC46" s="29">
        <v>1500000</v>
      </c>
      <c r="AD46" s="29">
        <v>1500000</v>
      </c>
      <c r="AE46" s="29">
        <v>1500000</v>
      </c>
      <c r="AF46" s="29">
        <v>1500000</v>
      </c>
      <c r="AG46" s="29">
        <v>1500000</v>
      </c>
      <c r="AH46" s="29">
        <v>1500000</v>
      </c>
      <c r="AI46" s="29">
        <v>1500000</v>
      </c>
      <c r="AJ46" s="29">
        <v>1500000</v>
      </c>
      <c r="AK46" s="29">
        <v>1500000</v>
      </c>
      <c r="AL46" s="29">
        <v>1500000</v>
      </c>
      <c r="AM46" s="29">
        <v>1500000</v>
      </c>
      <c r="AN46" s="29">
        <v>1500000</v>
      </c>
      <c r="AO46" s="29">
        <v>1500000</v>
      </c>
      <c r="AP46" s="29">
        <v>1500000</v>
      </c>
      <c r="AQ46" s="29">
        <v>1500000</v>
      </c>
      <c r="AR46" s="29">
        <v>1500000</v>
      </c>
      <c r="AS46" s="6">
        <v>1500000</v>
      </c>
      <c r="AT46" s="6">
        <v>1500000</v>
      </c>
      <c r="AU46" s="6">
        <v>1500000</v>
      </c>
      <c r="BE46" s="30">
        <f t="shared" si="2"/>
        <v>44250000</v>
      </c>
      <c r="BF46" s="6">
        <f t="shared" si="3"/>
        <v>32</v>
      </c>
    </row>
    <row r="47" spans="1:58">
      <c r="A47" s="9" t="s">
        <v>392</v>
      </c>
      <c r="B47" s="9" t="s">
        <v>152</v>
      </c>
      <c r="C47" s="11" t="s">
        <v>134</v>
      </c>
      <c r="D47" s="9" t="s">
        <v>133</v>
      </c>
      <c r="E47" s="9" t="s">
        <v>132</v>
      </c>
      <c r="F47" s="9"/>
      <c r="G47" s="9" t="s">
        <v>17</v>
      </c>
      <c r="H47" s="9" t="s">
        <v>129</v>
      </c>
      <c r="L47" s="29"/>
      <c r="M47" s="29"/>
      <c r="N47" s="29"/>
      <c r="O47" s="29">
        <v>750000</v>
      </c>
      <c r="BE47" s="30">
        <f t="shared" si="2"/>
        <v>750000</v>
      </c>
      <c r="BF47" s="6">
        <f t="shared" si="3"/>
        <v>1</v>
      </c>
    </row>
    <row r="48" spans="1:58">
      <c r="A48" s="9" t="s">
        <v>392</v>
      </c>
      <c r="B48" s="9" t="s">
        <v>152</v>
      </c>
      <c r="C48" s="11" t="s">
        <v>138</v>
      </c>
      <c r="D48" s="9" t="s">
        <v>137</v>
      </c>
      <c r="E48" s="9" t="s">
        <v>132</v>
      </c>
      <c r="F48" s="9"/>
      <c r="G48" s="9" t="s">
        <v>136</v>
      </c>
      <c r="H48" s="9" t="s">
        <v>135</v>
      </c>
      <c r="L48" s="29"/>
      <c r="M48" s="29"/>
      <c r="N48" s="29"/>
      <c r="O48" s="29"/>
      <c r="P48" s="29">
        <v>0</v>
      </c>
      <c r="Q48" s="29">
        <v>0</v>
      </c>
      <c r="R48" s="29">
        <v>3888000</v>
      </c>
      <c r="S48" s="29">
        <v>3888000</v>
      </c>
      <c r="T48" s="29">
        <v>3888000</v>
      </c>
      <c r="U48" s="29">
        <v>3880000</v>
      </c>
      <c r="V48" s="29">
        <v>3880000</v>
      </c>
      <c r="W48" s="29">
        <v>3880000</v>
      </c>
      <c r="X48" s="29">
        <v>3880000</v>
      </c>
      <c r="Y48" s="29">
        <v>3880000</v>
      </c>
      <c r="Z48" s="29">
        <v>3880000</v>
      </c>
      <c r="AA48" s="29">
        <v>3880000</v>
      </c>
      <c r="AB48" s="29">
        <v>3880000</v>
      </c>
      <c r="AC48" s="29">
        <v>3880000</v>
      </c>
      <c r="AD48" s="29">
        <v>3880000</v>
      </c>
      <c r="AE48" s="29">
        <v>3880000</v>
      </c>
      <c r="AF48" s="29">
        <v>3880000</v>
      </c>
      <c r="AG48" s="29">
        <v>3880000</v>
      </c>
      <c r="AH48" s="29">
        <v>3880000</v>
      </c>
      <c r="AI48" s="29">
        <v>3880000</v>
      </c>
      <c r="AJ48" s="29">
        <v>3880000</v>
      </c>
      <c r="AK48" s="29">
        <v>3880000</v>
      </c>
      <c r="AL48" s="29">
        <v>3880000</v>
      </c>
      <c r="AM48" s="29">
        <v>3880000</v>
      </c>
      <c r="AN48" s="29">
        <v>3880000</v>
      </c>
      <c r="AO48" s="29">
        <v>3880000</v>
      </c>
      <c r="AP48" s="29">
        <v>3880000</v>
      </c>
      <c r="AQ48" s="29">
        <v>3880000</v>
      </c>
      <c r="AR48" s="29">
        <v>3880000</v>
      </c>
      <c r="AS48" s="6">
        <v>3880000</v>
      </c>
      <c r="AT48" s="6">
        <v>3880000</v>
      </c>
      <c r="AU48" s="6">
        <v>3880000</v>
      </c>
      <c r="AV48" s="6">
        <v>3880000</v>
      </c>
      <c r="AW48" s="6">
        <v>3880000</v>
      </c>
      <c r="AX48" s="6">
        <v>3880000</v>
      </c>
      <c r="AY48" s="6">
        <v>3880000</v>
      </c>
      <c r="AZ48" s="6">
        <v>3880000</v>
      </c>
      <c r="BA48" s="6">
        <v>3880000</v>
      </c>
      <c r="BE48" s="30">
        <f t="shared" si="2"/>
        <v>139704000</v>
      </c>
      <c r="BF48" s="6">
        <f t="shared" si="3"/>
        <v>36</v>
      </c>
    </row>
    <row r="49" spans="1:58">
      <c r="A49" s="9" t="s">
        <v>392</v>
      </c>
      <c r="B49" s="9" t="s">
        <v>152</v>
      </c>
      <c r="C49" s="11" t="s">
        <v>146</v>
      </c>
      <c r="D49" s="9" t="s">
        <v>145</v>
      </c>
      <c r="E49" s="9" t="s">
        <v>144</v>
      </c>
      <c r="F49" s="9"/>
      <c r="G49" s="9" t="s">
        <v>140</v>
      </c>
      <c r="H49" s="9" t="s">
        <v>139</v>
      </c>
      <c r="L49" s="29">
        <v>280000</v>
      </c>
      <c r="M49" s="29">
        <v>280000</v>
      </c>
      <c r="N49" s="29">
        <v>280000</v>
      </c>
      <c r="BE49" s="30">
        <f t="shared" si="2"/>
        <v>840000</v>
      </c>
      <c r="BF49" s="6">
        <f t="shared" si="3"/>
        <v>3</v>
      </c>
    </row>
    <row r="50" spans="1:58">
      <c r="A50" s="9" t="s">
        <v>392</v>
      </c>
      <c r="B50" s="9" t="s">
        <v>152</v>
      </c>
      <c r="C50" s="11" t="s">
        <v>146</v>
      </c>
      <c r="D50" s="9" t="s">
        <v>145</v>
      </c>
      <c r="E50" s="9" t="s">
        <v>8</v>
      </c>
      <c r="F50" s="9"/>
      <c r="G50" s="9" t="s">
        <v>143</v>
      </c>
      <c r="H50" s="9" t="s">
        <v>141</v>
      </c>
      <c r="L50" s="29"/>
      <c r="M50" s="29"/>
      <c r="N50" s="29"/>
      <c r="O50" s="29"/>
      <c r="P50" s="29">
        <v>280000</v>
      </c>
      <c r="Q50" s="29">
        <v>280000</v>
      </c>
      <c r="R50" s="29">
        <v>280000</v>
      </c>
      <c r="S50" s="29">
        <v>280000</v>
      </c>
      <c r="T50" s="29">
        <v>280000</v>
      </c>
      <c r="BE50" s="30">
        <f t="shared" si="2"/>
        <v>1400000</v>
      </c>
      <c r="BF50" s="6">
        <f t="shared" si="3"/>
        <v>5</v>
      </c>
    </row>
    <row r="51" spans="1:58">
      <c r="A51" s="9" t="s">
        <v>392</v>
      </c>
      <c r="B51" s="9" t="s">
        <v>152</v>
      </c>
      <c r="C51" s="11" t="s">
        <v>146</v>
      </c>
      <c r="D51" s="9" t="s">
        <v>145</v>
      </c>
      <c r="E51" s="9" t="s">
        <v>8</v>
      </c>
      <c r="F51" s="9"/>
      <c r="G51" s="9" t="s">
        <v>17</v>
      </c>
      <c r="H51" s="9" t="s">
        <v>142</v>
      </c>
      <c r="L51" s="29"/>
      <c r="M51" s="29"/>
      <c r="N51" s="29"/>
      <c r="O51" s="29">
        <v>280000</v>
      </c>
      <c r="BE51" s="30">
        <f t="shared" si="2"/>
        <v>280000</v>
      </c>
      <c r="BF51" s="6">
        <f t="shared" si="3"/>
        <v>1</v>
      </c>
    </row>
    <row r="52" spans="1:58">
      <c r="A52" s="9" t="s">
        <v>392</v>
      </c>
      <c r="B52" s="9" t="s">
        <v>152</v>
      </c>
      <c r="C52" s="11" t="s">
        <v>151</v>
      </c>
      <c r="D52" s="9" t="s">
        <v>150</v>
      </c>
      <c r="E52" s="9" t="s">
        <v>8</v>
      </c>
      <c r="F52" s="9"/>
      <c r="G52" s="9" t="s">
        <v>149</v>
      </c>
      <c r="H52" s="9" t="s">
        <v>147</v>
      </c>
      <c r="K52" s="29"/>
      <c r="L52" s="29"/>
      <c r="M52" s="29"/>
      <c r="N52" s="29"/>
      <c r="O52" s="29"/>
      <c r="P52" s="29">
        <v>7909000</v>
      </c>
      <c r="Q52" s="29">
        <v>7909000</v>
      </c>
      <c r="R52" s="29">
        <v>7909000</v>
      </c>
      <c r="S52" s="29">
        <v>7909000</v>
      </c>
      <c r="T52" s="29">
        <v>7909000</v>
      </c>
      <c r="BE52" s="30">
        <f t="shared" si="2"/>
        <v>39545000</v>
      </c>
      <c r="BF52" s="6">
        <f t="shared" si="3"/>
        <v>5</v>
      </c>
    </row>
    <row r="53" spans="1:58">
      <c r="A53" s="9" t="s">
        <v>392</v>
      </c>
      <c r="B53" s="9" t="s">
        <v>152</v>
      </c>
      <c r="C53" s="11" t="s">
        <v>151</v>
      </c>
      <c r="D53" s="9" t="s">
        <v>150</v>
      </c>
      <c r="E53" s="9" t="s">
        <v>8</v>
      </c>
      <c r="F53" s="9"/>
      <c r="G53" s="9" t="s">
        <v>1</v>
      </c>
      <c r="H53" s="9" t="s">
        <v>148</v>
      </c>
      <c r="K53" s="29"/>
      <c r="L53" s="29"/>
      <c r="M53" s="29"/>
      <c r="N53" s="29"/>
      <c r="O53" s="29">
        <v>55363000</v>
      </c>
      <c r="BE53" s="30">
        <f t="shared" si="2"/>
        <v>55363000</v>
      </c>
      <c r="BF53" s="6">
        <f t="shared" si="3"/>
        <v>1</v>
      </c>
    </row>
    <row r="54" spans="1:58">
      <c r="A54" s="9" t="s">
        <v>392</v>
      </c>
      <c r="B54" s="9" t="s">
        <v>192</v>
      </c>
      <c r="C54" s="11" t="s">
        <v>157</v>
      </c>
      <c r="D54" s="9" t="s">
        <v>156</v>
      </c>
      <c r="E54" s="9" t="s">
        <v>155</v>
      </c>
      <c r="F54" s="9"/>
      <c r="G54" s="9" t="s">
        <v>154</v>
      </c>
      <c r="H54" s="9" t="s">
        <v>153</v>
      </c>
      <c r="N54" s="29">
        <v>9250000</v>
      </c>
      <c r="BE54" s="30">
        <f t="shared" si="2"/>
        <v>9250000</v>
      </c>
      <c r="BF54" s="6">
        <f t="shared" si="3"/>
        <v>1</v>
      </c>
    </row>
    <row r="55" spans="1:58">
      <c r="A55" s="9" t="s">
        <v>392</v>
      </c>
      <c r="B55" s="9" t="s">
        <v>192</v>
      </c>
      <c r="C55" s="11" t="s">
        <v>160</v>
      </c>
      <c r="D55" s="9" t="s">
        <v>159</v>
      </c>
      <c r="E55" s="9" t="s">
        <v>8</v>
      </c>
      <c r="F55" s="9"/>
      <c r="G55" s="9" t="s">
        <v>0</v>
      </c>
      <c r="H55" s="9" t="s">
        <v>158</v>
      </c>
      <c r="J55" s="29">
        <v>0</v>
      </c>
      <c r="K55" s="29">
        <v>1500000</v>
      </c>
      <c r="L55" s="29">
        <v>0</v>
      </c>
      <c r="M55" s="29">
        <v>0</v>
      </c>
      <c r="N55" s="29">
        <v>0</v>
      </c>
      <c r="BE55" s="30">
        <f t="shared" si="2"/>
        <v>1500000</v>
      </c>
      <c r="BF55" s="6">
        <f t="shared" si="3"/>
        <v>1</v>
      </c>
    </row>
    <row r="56" spans="1:58">
      <c r="A56" s="9" t="s">
        <v>392</v>
      </c>
      <c r="B56" s="9" t="s">
        <v>192</v>
      </c>
      <c r="C56" s="11" t="s">
        <v>167</v>
      </c>
      <c r="D56" s="9" t="s">
        <v>166</v>
      </c>
      <c r="E56" s="9" t="s">
        <v>2</v>
      </c>
      <c r="F56" s="9"/>
      <c r="G56" s="9" t="s">
        <v>1</v>
      </c>
      <c r="H56" s="9" t="s">
        <v>161</v>
      </c>
      <c r="I56" s="29">
        <v>0</v>
      </c>
      <c r="J56" s="29">
        <v>0</v>
      </c>
      <c r="K56" s="29">
        <v>7742430</v>
      </c>
      <c r="L56" s="29">
        <v>9650770</v>
      </c>
      <c r="M56" s="29">
        <v>10895370</v>
      </c>
      <c r="N56" s="29">
        <v>11267770</v>
      </c>
      <c r="BE56" s="30">
        <f t="shared" si="2"/>
        <v>39556340</v>
      </c>
      <c r="BF56" s="6">
        <f t="shared" si="3"/>
        <v>4</v>
      </c>
    </row>
    <row r="57" spans="1:58">
      <c r="A57" s="9" t="s">
        <v>392</v>
      </c>
      <c r="B57" s="9" t="s">
        <v>192</v>
      </c>
      <c r="C57" s="11" t="s">
        <v>167</v>
      </c>
      <c r="D57" s="9" t="s">
        <v>166</v>
      </c>
      <c r="E57" s="9" t="s">
        <v>2</v>
      </c>
      <c r="F57" s="9"/>
      <c r="G57" s="9" t="s">
        <v>164</v>
      </c>
      <c r="H57" s="9" t="s">
        <v>162</v>
      </c>
      <c r="J57" s="29"/>
      <c r="K57" s="29"/>
      <c r="L57" s="29"/>
      <c r="M57" s="29"/>
      <c r="N57" s="29"/>
      <c r="O57" s="29"/>
      <c r="P57" s="29">
        <v>10000000</v>
      </c>
      <c r="Q57" s="29">
        <v>10000000</v>
      </c>
      <c r="R57" s="29">
        <v>10000000</v>
      </c>
      <c r="S57" s="29">
        <v>10000000</v>
      </c>
      <c r="T57" s="29">
        <v>10000000</v>
      </c>
      <c r="U57" s="29">
        <v>10000000</v>
      </c>
      <c r="V57" s="29">
        <v>10000000</v>
      </c>
      <c r="W57" s="29">
        <v>10000000</v>
      </c>
      <c r="X57" s="29">
        <v>10000000</v>
      </c>
      <c r="Y57" s="29">
        <v>10000000</v>
      </c>
      <c r="Z57" s="29">
        <v>10000000</v>
      </c>
      <c r="AA57" s="29">
        <v>10000000</v>
      </c>
      <c r="AB57" s="29">
        <v>10000000</v>
      </c>
      <c r="AC57" s="29">
        <v>10000000</v>
      </c>
      <c r="AD57" s="29">
        <v>10000000</v>
      </c>
      <c r="AE57" s="29">
        <v>10000000</v>
      </c>
      <c r="AF57" s="29">
        <v>10000000</v>
      </c>
      <c r="AG57" s="29">
        <v>10000000</v>
      </c>
      <c r="AH57" s="29">
        <v>10000000</v>
      </c>
      <c r="AI57" s="29">
        <v>10000000</v>
      </c>
      <c r="AJ57" s="29">
        <v>10000000</v>
      </c>
      <c r="AK57" s="29">
        <v>10000000</v>
      </c>
      <c r="AL57" s="29">
        <v>10000000</v>
      </c>
      <c r="AM57" s="29">
        <v>10000000</v>
      </c>
      <c r="AN57" s="29">
        <v>10000000</v>
      </c>
      <c r="AO57" s="29">
        <v>10000000</v>
      </c>
      <c r="AP57" s="29">
        <v>10000000</v>
      </c>
      <c r="AQ57" s="29">
        <v>10000000</v>
      </c>
      <c r="AR57" s="29">
        <v>10000000</v>
      </c>
      <c r="AS57" s="6">
        <v>10000000</v>
      </c>
      <c r="AT57" s="6">
        <v>10000000</v>
      </c>
      <c r="AU57" s="6">
        <v>10000000</v>
      </c>
      <c r="AV57" s="6">
        <v>10000000</v>
      </c>
      <c r="AW57" s="6">
        <v>10000000</v>
      </c>
      <c r="AX57" s="6">
        <v>10000000</v>
      </c>
      <c r="AY57" s="6">
        <v>10000000</v>
      </c>
      <c r="AZ57" s="6">
        <v>10000000</v>
      </c>
      <c r="BA57" s="6">
        <v>10000000</v>
      </c>
      <c r="BB57" s="6">
        <v>10000000</v>
      </c>
      <c r="BC57" s="6">
        <v>10000000</v>
      </c>
      <c r="BD57" s="6">
        <v>10000000</v>
      </c>
      <c r="BE57" s="30">
        <f t="shared" si="2"/>
        <v>410000000</v>
      </c>
      <c r="BF57" s="6">
        <f t="shared" si="3"/>
        <v>41</v>
      </c>
    </row>
    <row r="58" spans="1:58">
      <c r="A58" s="9" t="s">
        <v>392</v>
      </c>
      <c r="B58" s="9" t="s">
        <v>192</v>
      </c>
      <c r="C58" s="11" t="s">
        <v>167</v>
      </c>
      <c r="D58" s="9" t="s">
        <v>166</v>
      </c>
      <c r="E58" s="9" t="s">
        <v>2</v>
      </c>
      <c r="F58" s="9"/>
      <c r="G58" s="9" t="s">
        <v>1</v>
      </c>
      <c r="H58" s="9" t="s">
        <v>163</v>
      </c>
      <c r="I58" s="29"/>
      <c r="J58" s="29"/>
      <c r="K58" s="29"/>
      <c r="L58" s="29"/>
      <c r="M58" s="29"/>
      <c r="N58" s="29"/>
      <c r="O58" s="29">
        <v>10000000</v>
      </c>
      <c r="BE58" s="30">
        <f t="shared" si="2"/>
        <v>10000000</v>
      </c>
      <c r="BF58" s="6">
        <f t="shared" si="3"/>
        <v>1</v>
      </c>
    </row>
    <row r="59" spans="1:58">
      <c r="A59" s="9" t="s">
        <v>392</v>
      </c>
      <c r="B59" s="9" t="s">
        <v>192</v>
      </c>
      <c r="C59" s="11" t="s">
        <v>172</v>
      </c>
      <c r="D59" s="9" t="s">
        <v>171</v>
      </c>
      <c r="E59" s="9" t="s">
        <v>170</v>
      </c>
      <c r="F59" s="9"/>
      <c r="G59" s="9" t="s">
        <v>169</v>
      </c>
      <c r="H59" s="9" t="s">
        <v>168</v>
      </c>
      <c r="N59" s="29">
        <v>16931000</v>
      </c>
      <c r="BE59" s="30">
        <f t="shared" si="2"/>
        <v>16931000</v>
      </c>
      <c r="BF59" s="6">
        <f t="shared" si="3"/>
        <v>1</v>
      </c>
    </row>
    <row r="60" spans="1:58">
      <c r="A60" s="9" t="s">
        <v>392</v>
      </c>
      <c r="B60" s="9" t="s">
        <v>192</v>
      </c>
      <c r="C60" s="11" t="s">
        <v>178</v>
      </c>
      <c r="D60" s="9" t="s">
        <v>177</v>
      </c>
      <c r="E60" s="9" t="s">
        <v>2</v>
      </c>
      <c r="F60" s="9"/>
      <c r="G60" s="9" t="s">
        <v>175</v>
      </c>
      <c r="H60" s="9" t="s">
        <v>173</v>
      </c>
      <c r="K60" s="29"/>
      <c r="L60" s="29"/>
      <c r="M60" s="29"/>
      <c r="N60" s="29"/>
      <c r="O60" s="29"/>
      <c r="P60" s="29">
        <v>1821600</v>
      </c>
      <c r="Q60" s="29">
        <v>1821600</v>
      </c>
      <c r="R60" s="29">
        <v>1821600</v>
      </c>
      <c r="S60" s="29">
        <v>1821600</v>
      </c>
      <c r="T60" s="29">
        <v>1821600</v>
      </c>
      <c r="U60" s="29">
        <v>1821600</v>
      </c>
      <c r="V60" s="29">
        <v>1821600</v>
      </c>
      <c r="W60" s="29">
        <v>1821600</v>
      </c>
      <c r="X60" s="29">
        <v>1821600</v>
      </c>
      <c r="Y60" s="29">
        <v>1821600</v>
      </c>
      <c r="Z60" s="29">
        <v>1821600</v>
      </c>
      <c r="AA60" s="29">
        <v>1821600</v>
      </c>
      <c r="AB60" s="29">
        <v>1821600</v>
      </c>
      <c r="AC60" s="29">
        <v>1821600</v>
      </c>
      <c r="AD60" s="29">
        <v>1821600</v>
      </c>
      <c r="AE60" s="29">
        <v>1821600</v>
      </c>
      <c r="AF60" s="29">
        <v>1821600</v>
      </c>
      <c r="AG60" s="29">
        <v>1821600</v>
      </c>
      <c r="AH60" s="29">
        <v>1821600</v>
      </c>
      <c r="AI60" s="29">
        <v>1821600</v>
      </c>
      <c r="AJ60" s="29">
        <v>1821600</v>
      </c>
      <c r="AK60" s="29">
        <v>1821600</v>
      </c>
      <c r="AL60" s="29">
        <v>1821600</v>
      </c>
      <c r="AM60" s="29">
        <v>1821600</v>
      </c>
      <c r="AN60" s="29">
        <v>1821600</v>
      </c>
      <c r="AO60" s="29">
        <v>1821600</v>
      </c>
      <c r="AP60" s="29">
        <v>1821600</v>
      </c>
      <c r="AQ60" s="29">
        <v>1821600</v>
      </c>
      <c r="AR60" s="29">
        <v>1821600</v>
      </c>
      <c r="AS60" s="6">
        <v>1821600</v>
      </c>
      <c r="AT60" s="6">
        <v>1821600</v>
      </c>
      <c r="AU60" s="6">
        <v>1821600</v>
      </c>
      <c r="BE60" s="30">
        <f t="shared" si="2"/>
        <v>58291200</v>
      </c>
      <c r="BF60" s="6">
        <f t="shared" si="3"/>
        <v>32</v>
      </c>
    </row>
    <row r="61" spans="1:58">
      <c r="A61" s="9" t="s">
        <v>392</v>
      </c>
      <c r="B61" s="9" t="s">
        <v>192</v>
      </c>
      <c r="C61" s="11" t="s">
        <v>178</v>
      </c>
      <c r="D61" s="9" t="s">
        <v>177</v>
      </c>
      <c r="E61" s="9" t="s">
        <v>2</v>
      </c>
      <c r="F61" s="9"/>
      <c r="G61" s="9" t="s">
        <v>1</v>
      </c>
      <c r="H61" s="9" t="s">
        <v>174</v>
      </c>
      <c r="K61" s="29"/>
      <c r="L61" s="29"/>
      <c r="M61" s="29"/>
      <c r="N61" s="29"/>
      <c r="O61" s="29">
        <v>1821600</v>
      </c>
      <c r="BE61" s="30">
        <f t="shared" si="2"/>
        <v>1821600</v>
      </c>
      <c r="BF61" s="6">
        <f t="shared" si="3"/>
        <v>1</v>
      </c>
    </row>
    <row r="62" spans="1:58">
      <c r="A62" s="9" t="s">
        <v>392</v>
      </c>
      <c r="B62" s="9" t="s">
        <v>192</v>
      </c>
      <c r="C62" s="11" t="s">
        <v>181</v>
      </c>
      <c r="D62" s="9" t="s">
        <v>180</v>
      </c>
      <c r="E62" s="9" t="s">
        <v>2</v>
      </c>
      <c r="F62" s="9"/>
      <c r="G62" s="9" t="s">
        <v>11</v>
      </c>
      <c r="H62" s="9" t="s">
        <v>179</v>
      </c>
      <c r="K62" s="29">
        <v>16945</v>
      </c>
      <c r="L62" s="29">
        <v>6764</v>
      </c>
      <c r="M62" s="29">
        <v>17382</v>
      </c>
      <c r="N62" s="29">
        <v>4364</v>
      </c>
      <c r="BE62" s="30">
        <f t="shared" si="2"/>
        <v>45455</v>
      </c>
      <c r="BF62" s="6">
        <f t="shared" si="3"/>
        <v>4</v>
      </c>
    </row>
    <row r="63" spans="1:58">
      <c r="A63" s="9" t="s">
        <v>392</v>
      </c>
      <c r="B63" s="9" t="s">
        <v>192</v>
      </c>
      <c r="C63" s="11" t="s">
        <v>184</v>
      </c>
      <c r="D63" s="9" t="s">
        <v>183</v>
      </c>
      <c r="E63" s="9" t="s">
        <v>2</v>
      </c>
      <c r="F63" s="9"/>
      <c r="G63" s="9" t="s">
        <v>11</v>
      </c>
      <c r="H63" s="9" t="s">
        <v>182</v>
      </c>
      <c r="K63" s="29">
        <v>26982</v>
      </c>
      <c r="L63" s="29">
        <v>18618</v>
      </c>
      <c r="M63" s="29">
        <v>14473</v>
      </c>
      <c r="N63" s="29">
        <v>9891</v>
      </c>
      <c r="BE63" s="30">
        <f t="shared" si="2"/>
        <v>69964</v>
      </c>
      <c r="BF63" s="6">
        <f t="shared" si="3"/>
        <v>4</v>
      </c>
    </row>
    <row r="64" spans="1:58">
      <c r="A64" s="9" t="s">
        <v>392</v>
      </c>
      <c r="B64" s="9" t="s">
        <v>192</v>
      </c>
      <c r="C64" s="11" t="s">
        <v>187</v>
      </c>
      <c r="D64" s="9" t="s">
        <v>186</v>
      </c>
      <c r="E64" s="9" t="s">
        <v>2</v>
      </c>
      <c r="F64" s="9"/>
      <c r="G64" s="9" t="s">
        <v>11</v>
      </c>
      <c r="H64" s="9" t="s">
        <v>185</v>
      </c>
      <c r="K64" s="29">
        <v>17727</v>
      </c>
      <c r="L64" s="29">
        <v>20073</v>
      </c>
      <c r="M64" s="29">
        <v>10036</v>
      </c>
      <c r="N64" s="29">
        <v>9236</v>
      </c>
      <c r="BE64" s="30">
        <f t="shared" si="2"/>
        <v>57072</v>
      </c>
      <c r="BF64" s="6">
        <f t="shared" si="3"/>
        <v>4</v>
      </c>
    </row>
    <row r="65" spans="1:58">
      <c r="A65" s="9" t="s">
        <v>392</v>
      </c>
      <c r="B65" s="9" t="s">
        <v>192</v>
      </c>
      <c r="C65" s="11" t="s">
        <v>191</v>
      </c>
      <c r="D65" s="9" t="s">
        <v>190</v>
      </c>
      <c r="E65" s="9" t="s">
        <v>8</v>
      </c>
      <c r="F65" s="9"/>
      <c r="G65" s="9" t="s">
        <v>11</v>
      </c>
      <c r="H65" s="9" t="s">
        <v>188</v>
      </c>
      <c r="J65" s="29">
        <v>50000000</v>
      </c>
      <c r="K65" s="29">
        <v>0</v>
      </c>
      <c r="L65" s="29">
        <v>0</v>
      </c>
      <c r="M65" s="29">
        <v>0</v>
      </c>
      <c r="N65" s="29">
        <v>0</v>
      </c>
      <c r="BE65" s="30">
        <f t="shared" si="2"/>
        <v>50000000</v>
      </c>
      <c r="BF65" s="6">
        <f t="shared" si="3"/>
        <v>1</v>
      </c>
    </row>
    <row r="66" spans="1:58">
      <c r="A66" s="9" t="s">
        <v>392</v>
      </c>
      <c r="B66" s="9" t="s">
        <v>192</v>
      </c>
      <c r="C66" s="11" t="s">
        <v>191</v>
      </c>
      <c r="D66" s="9" t="s">
        <v>190</v>
      </c>
      <c r="E66" s="9" t="s">
        <v>8</v>
      </c>
      <c r="F66" s="9"/>
      <c r="G66" s="9" t="s">
        <v>11</v>
      </c>
      <c r="H66" s="9" t="s">
        <v>189</v>
      </c>
      <c r="K66" s="29"/>
      <c r="L66" s="29"/>
      <c r="M66" s="29"/>
      <c r="N66" s="29"/>
      <c r="O66" s="29">
        <v>34885000</v>
      </c>
      <c r="BE66" s="30">
        <f t="shared" ref="BE66:BE103" si="4">SUM(I66:BD66)</f>
        <v>34885000</v>
      </c>
      <c r="BF66" s="6">
        <f t="shared" ref="BF66:BF103" si="5">COUNTIF(I66:BD66, "&gt;0")</f>
        <v>1</v>
      </c>
    </row>
    <row r="67" spans="1:58">
      <c r="A67" s="9" t="s">
        <v>392</v>
      </c>
      <c r="B67" s="9" t="s">
        <v>198</v>
      </c>
      <c r="C67" s="11" t="s">
        <v>197</v>
      </c>
      <c r="D67" s="9" t="s">
        <v>196</v>
      </c>
      <c r="E67" s="9" t="s">
        <v>195</v>
      </c>
      <c r="F67" s="9" t="s">
        <v>194</v>
      </c>
      <c r="G67" s="9" t="s">
        <v>1</v>
      </c>
      <c r="H67" s="9" t="s">
        <v>193</v>
      </c>
      <c r="O67" s="29">
        <v>398223000</v>
      </c>
      <c r="BE67" s="30">
        <f t="shared" si="4"/>
        <v>398223000</v>
      </c>
      <c r="BF67" s="6">
        <f t="shared" si="5"/>
        <v>1</v>
      </c>
    </row>
    <row r="68" spans="1:58">
      <c r="A68" s="9" t="s">
        <v>392</v>
      </c>
      <c r="B68" s="9" t="s">
        <v>261</v>
      </c>
      <c r="C68" s="11" t="s">
        <v>203</v>
      </c>
      <c r="D68" s="9" t="s">
        <v>202</v>
      </c>
      <c r="E68" s="9" t="s">
        <v>8</v>
      </c>
      <c r="F68" s="9"/>
      <c r="G68" s="9" t="s">
        <v>11</v>
      </c>
      <c r="H68" s="9" t="s">
        <v>201</v>
      </c>
      <c r="K68" s="29">
        <v>0</v>
      </c>
      <c r="L68" s="29">
        <v>8637000</v>
      </c>
      <c r="M68" s="29">
        <v>38500000</v>
      </c>
      <c r="N68" s="29">
        <v>1260000</v>
      </c>
      <c r="BE68" s="30">
        <f t="shared" si="4"/>
        <v>48397000</v>
      </c>
      <c r="BF68" s="6">
        <f t="shared" si="5"/>
        <v>3</v>
      </c>
    </row>
    <row r="69" spans="1:58">
      <c r="A69" s="9" t="s">
        <v>392</v>
      </c>
      <c r="B69" s="9" t="s">
        <v>261</v>
      </c>
      <c r="C69" s="11" t="s">
        <v>210</v>
      </c>
      <c r="D69" s="9" t="s">
        <v>209</v>
      </c>
      <c r="E69" s="9" t="s">
        <v>2</v>
      </c>
      <c r="F69" s="9"/>
      <c r="G69" s="9" t="s">
        <v>1</v>
      </c>
      <c r="H69" s="9" t="s">
        <v>204</v>
      </c>
      <c r="J69" s="29">
        <v>0</v>
      </c>
      <c r="K69" s="29">
        <v>54552</v>
      </c>
      <c r="L69" s="29">
        <v>54552</v>
      </c>
      <c r="M69" s="29">
        <v>54552</v>
      </c>
      <c r="N69" s="29">
        <v>54552</v>
      </c>
      <c r="BE69" s="30">
        <f t="shared" si="4"/>
        <v>218208</v>
      </c>
      <c r="BF69" s="6">
        <f t="shared" si="5"/>
        <v>4</v>
      </c>
    </row>
    <row r="70" spans="1:58">
      <c r="A70" s="9" t="s">
        <v>392</v>
      </c>
      <c r="B70" s="9" t="s">
        <v>261</v>
      </c>
      <c r="C70" s="11" t="s">
        <v>210</v>
      </c>
      <c r="D70" s="9" t="s">
        <v>209</v>
      </c>
      <c r="E70" s="9" t="s">
        <v>2</v>
      </c>
      <c r="F70" s="9"/>
      <c r="G70" s="9" t="s">
        <v>207</v>
      </c>
      <c r="H70" s="9" t="s">
        <v>205</v>
      </c>
      <c r="K70" s="29"/>
      <c r="L70" s="29"/>
      <c r="M70" s="29"/>
      <c r="N70" s="29"/>
      <c r="O70" s="29"/>
      <c r="P70" s="29">
        <v>54552</v>
      </c>
      <c r="Q70" s="29">
        <v>54552</v>
      </c>
      <c r="R70" s="29">
        <v>54552</v>
      </c>
      <c r="S70" s="29">
        <v>54552</v>
      </c>
      <c r="T70" s="29">
        <v>54552</v>
      </c>
      <c r="U70" s="29">
        <v>54552</v>
      </c>
      <c r="V70" s="29">
        <v>54552</v>
      </c>
      <c r="BE70" s="30">
        <f t="shared" si="4"/>
        <v>381864</v>
      </c>
      <c r="BF70" s="6">
        <f t="shared" si="5"/>
        <v>7</v>
      </c>
    </row>
    <row r="71" spans="1:58">
      <c r="A71" s="9" t="s">
        <v>392</v>
      </c>
      <c r="B71" s="9" t="s">
        <v>261</v>
      </c>
      <c r="C71" s="11" t="s">
        <v>210</v>
      </c>
      <c r="D71" s="9" t="s">
        <v>209</v>
      </c>
      <c r="E71" s="9" t="s">
        <v>2</v>
      </c>
      <c r="F71" s="9"/>
      <c r="G71" s="9" t="s">
        <v>1</v>
      </c>
      <c r="H71" s="9" t="s">
        <v>206</v>
      </c>
      <c r="K71" s="29"/>
      <c r="L71" s="29"/>
      <c r="M71" s="29"/>
      <c r="N71" s="29"/>
      <c r="O71" s="29">
        <v>54552</v>
      </c>
      <c r="BE71" s="30">
        <f t="shared" si="4"/>
        <v>54552</v>
      </c>
      <c r="BF71" s="6">
        <f t="shared" si="5"/>
        <v>1</v>
      </c>
    </row>
    <row r="72" spans="1:58">
      <c r="A72" s="9" t="s">
        <v>392</v>
      </c>
      <c r="B72" s="9" t="s">
        <v>261</v>
      </c>
      <c r="C72" s="11" t="s">
        <v>687</v>
      </c>
      <c r="D72" s="9" t="s">
        <v>214</v>
      </c>
      <c r="E72" s="9" t="s">
        <v>8</v>
      </c>
      <c r="F72" s="9"/>
      <c r="G72" s="9" t="s">
        <v>11</v>
      </c>
      <c r="H72" s="9" t="s">
        <v>211</v>
      </c>
      <c r="J72" s="29">
        <v>0</v>
      </c>
      <c r="K72" s="29">
        <v>780000</v>
      </c>
      <c r="L72" s="29">
        <v>0</v>
      </c>
      <c r="M72" s="29">
        <v>0</v>
      </c>
      <c r="N72" s="29">
        <v>0</v>
      </c>
      <c r="BE72" s="30">
        <f t="shared" si="4"/>
        <v>780000</v>
      </c>
      <c r="BF72" s="6">
        <f t="shared" si="5"/>
        <v>1</v>
      </c>
    </row>
    <row r="73" spans="1:58">
      <c r="A73" s="9" t="s">
        <v>392</v>
      </c>
      <c r="B73" s="9" t="s">
        <v>261</v>
      </c>
      <c r="C73" s="11" t="s">
        <v>687</v>
      </c>
      <c r="D73" s="9" t="s">
        <v>214</v>
      </c>
      <c r="E73" s="9" t="s">
        <v>8</v>
      </c>
      <c r="F73" s="9"/>
      <c r="G73" s="9" t="s">
        <v>213</v>
      </c>
      <c r="H73" s="9" t="s">
        <v>212</v>
      </c>
      <c r="K73" s="29"/>
      <c r="L73" s="29"/>
      <c r="M73" s="29"/>
      <c r="N73" s="29"/>
      <c r="O73" s="29"/>
      <c r="P73" s="29">
        <v>0</v>
      </c>
      <c r="Q73" s="29">
        <v>0</v>
      </c>
      <c r="R73" s="29">
        <v>0</v>
      </c>
      <c r="S73" s="29">
        <v>0</v>
      </c>
      <c r="T73" s="29">
        <v>2000000</v>
      </c>
      <c r="BE73" s="30">
        <f t="shared" si="4"/>
        <v>2000000</v>
      </c>
      <c r="BF73" s="6">
        <f t="shared" si="5"/>
        <v>1</v>
      </c>
    </row>
    <row r="74" spans="1:58">
      <c r="A74" s="9" t="s">
        <v>392</v>
      </c>
      <c r="B74" s="9" t="s">
        <v>261</v>
      </c>
      <c r="C74" s="11" t="s">
        <v>683</v>
      </c>
      <c r="D74" s="9" t="s">
        <v>221</v>
      </c>
      <c r="E74" s="9" t="s">
        <v>220</v>
      </c>
      <c r="F74" s="9"/>
      <c r="G74" s="9" t="s">
        <v>216</v>
      </c>
      <c r="H74" s="9" t="s">
        <v>215</v>
      </c>
      <c r="M74" s="29">
        <v>0</v>
      </c>
      <c r="N74" s="29">
        <v>1217000</v>
      </c>
      <c r="BE74" s="30">
        <f t="shared" si="4"/>
        <v>1217000</v>
      </c>
      <c r="BF74" s="6">
        <f t="shared" si="5"/>
        <v>1</v>
      </c>
    </row>
    <row r="75" spans="1:58">
      <c r="A75" s="9" t="s">
        <v>392</v>
      </c>
      <c r="B75" s="9" t="s">
        <v>261</v>
      </c>
      <c r="C75" s="11" t="s">
        <v>222</v>
      </c>
      <c r="D75" s="9" t="s">
        <v>221</v>
      </c>
      <c r="E75" s="9" t="s">
        <v>132</v>
      </c>
      <c r="F75" s="9"/>
      <c r="G75" s="9" t="s">
        <v>219</v>
      </c>
      <c r="H75" s="9" t="s">
        <v>217</v>
      </c>
      <c r="N75" s="29"/>
      <c r="O75" s="29"/>
      <c r="P75" s="29">
        <v>2434000</v>
      </c>
      <c r="Q75" s="29">
        <v>2434000</v>
      </c>
      <c r="R75" s="29">
        <v>2434000</v>
      </c>
      <c r="S75" s="29">
        <v>2434000</v>
      </c>
      <c r="T75" s="29">
        <v>2434000</v>
      </c>
      <c r="BE75" s="30">
        <f t="shared" si="4"/>
        <v>12170000</v>
      </c>
      <c r="BF75" s="6">
        <f t="shared" si="5"/>
        <v>5</v>
      </c>
    </row>
    <row r="76" spans="1:58">
      <c r="A76" s="9" t="s">
        <v>392</v>
      </c>
      <c r="B76" s="9" t="s">
        <v>261</v>
      </c>
      <c r="C76" s="11" t="s">
        <v>222</v>
      </c>
      <c r="D76" s="9" t="s">
        <v>221</v>
      </c>
      <c r="E76" s="9" t="s">
        <v>132</v>
      </c>
      <c r="F76" s="9"/>
      <c r="G76" s="9" t="s">
        <v>17</v>
      </c>
      <c r="H76" s="9" t="s">
        <v>218</v>
      </c>
      <c r="N76" s="29"/>
      <c r="O76" s="29">
        <v>2434000</v>
      </c>
      <c r="BE76" s="30">
        <f t="shared" si="4"/>
        <v>2434000</v>
      </c>
      <c r="BF76" s="6">
        <f t="shared" si="5"/>
        <v>1</v>
      </c>
    </row>
    <row r="77" spans="1:58">
      <c r="A77" s="9" t="s">
        <v>392</v>
      </c>
      <c r="B77" s="9" t="s">
        <v>261</v>
      </c>
      <c r="C77" s="11" t="s">
        <v>227</v>
      </c>
      <c r="D77" s="9" t="s">
        <v>226</v>
      </c>
      <c r="E77" s="9" t="s">
        <v>132</v>
      </c>
      <c r="F77" s="9"/>
      <c r="G77" s="9" t="s">
        <v>225</v>
      </c>
      <c r="H77" s="9" t="s">
        <v>223</v>
      </c>
      <c r="M77" s="29"/>
      <c r="N77" s="29"/>
      <c r="O77" s="29"/>
      <c r="P77" s="29">
        <v>900000</v>
      </c>
      <c r="Q77" s="29">
        <v>900000</v>
      </c>
      <c r="R77" s="29">
        <v>2673000</v>
      </c>
      <c r="S77" s="29">
        <v>900000</v>
      </c>
      <c r="T77" s="29">
        <v>900000</v>
      </c>
      <c r="U77" s="29">
        <v>900000</v>
      </c>
      <c r="V77" s="29">
        <v>900000</v>
      </c>
      <c r="W77" s="29">
        <v>2673338</v>
      </c>
      <c r="X77" s="29">
        <v>900000</v>
      </c>
      <c r="Y77" s="29">
        <v>900000</v>
      </c>
      <c r="Z77" s="29">
        <v>2673338</v>
      </c>
      <c r="BE77" s="30">
        <f t="shared" si="4"/>
        <v>15219676</v>
      </c>
      <c r="BF77" s="6">
        <f t="shared" si="5"/>
        <v>11</v>
      </c>
    </row>
    <row r="78" spans="1:58">
      <c r="A78" s="9" t="s">
        <v>392</v>
      </c>
      <c r="B78" s="9" t="s">
        <v>261</v>
      </c>
      <c r="C78" s="11" t="s">
        <v>227</v>
      </c>
      <c r="D78" s="9" t="s">
        <v>226</v>
      </c>
      <c r="E78" s="9" t="s">
        <v>132</v>
      </c>
      <c r="F78" s="9"/>
      <c r="G78" s="9" t="s">
        <v>17</v>
      </c>
      <c r="H78" s="9" t="s">
        <v>224</v>
      </c>
      <c r="M78" s="29"/>
      <c r="N78" s="29"/>
      <c r="O78" s="29">
        <v>4667000</v>
      </c>
      <c r="BE78" s="30">
        <f t="shared" si="4"/>
        <v>4667000</v>
      </c>
      <c r="BF78" s="6">
        <f t="shared" si="5"/>
        <v>1</v>
      </c>
    </row>
    <row r="79" spans="1:58">
      <c r="A79" s="9" t="s">
        <v>392</v>
      </c>
      <c r="B79" s="9" t="s">
        <v>261</v>
      </c>
      <c r="C79" s="11" t="s">
        <v>690</v>
      </c>
      <c r="D79" s="9" t="s">
        <v>229</v>
      </c>
      <c r="E79" s="9" t="s">
        <v>195</v>
      </c>
      <c r="F79" s="9" t="s">
        <v>194</v>
      </c>
      <c r="G79" s="9" t="s">
        <v>11</v>
      </c>
      <c r="H79" s="9" t="s">
        <v>228</v>
      </c>
      <c r="N79" s="29"/>
      <c r="O79" s="29">
        <v>25300000</v>
      </c>
      <c r="BE79" s="30">
        <f t="shared" si="4"/>
        <v>25300000</v>
      </c>
      <c r="BF79" s="6">
        <f t="shared" si="5"/>
        <v>1</v>
      </c>
    </row>
    <row r="80" spans="1:58">
      <c r="A80" s="9" t="s">
        <v>392</v>
      </c>
      <c r="B80" s="9" t="s">
        <v>261</v>
      </c>
      <c r="C80" s="11" t="s">
        <v>235</v>
      </c>
      <c r="D80" s="9" t="s">
        <v>234</v>
      </c>
      <c r="E80" s="9" t="s">
        <v>2</v>
      </c>
      <c r="F80" s="9"/>
      <c r="G80" s="9" t="s">
        <v>11</v>
      </c>
      <c r="H80" s="9" t="s">
        <v>230</v>
      </c>
      <c r="K80" s="29">
        <v>439059</v>
      </c>
      <c r="L80" s="29">
        <v>67155</v>
      </c>
      <c r="M80" s="29">
        <v>55245</v>
      </c>
      <c r="N80" s="29">
        <v>45064</v>
      </c>
      <c r="BE80" s="30">
        <f t="shared" si="4"/>
        <v>606523</v>
      </c>
      <c r="BF80" s="6">
        <f t="shared" si="5"/>
        <v>4</v>
      </c>
    </row>
    <row r="81" spans="1:58">
      <c r="A81" s="9" t="s">
        <v>392</v>
      </c>
      <c r="B81" s="9" t="s">
        <v>261</v>
      </c>
      <c r="C81" s="11" t="s">
        <v>235</v>
      </c>
      <c r="D81" s="9" t="s">
        <v>234</v>
      </c>
      <c r="E81" s="9" t="s">
        <v>2</v>
      </c>
      <c r="F81" s="9"/>
      <c r="G81" s="9" t="s">
        <v>233</v>
      </c>
      <c r="H81" s="9" t="s">
        <v>231</v>
      </c>
      <c r="K81" s="29"/>
      <c r="L81" s="29"/>
      <c r="M81" s="29"/>
      <c r="N81" s="29"/>
      <c r="O81" s="29"/>
      <c r="P81" s="29">
        <v>60000</v>
      </c>
      <c r="Q81" s="29">
        <v>60000</v>
      </c>
      <c r="R81" s="29">
        <v>60000</v>
      </c>
      <c r="S81" s="29">
        <v>60000</v>
      </c>
      <c r="T81" s="29">
        <v>60000</v>
      </c>
      <c r="U81" s="29">
        <v>60000</v>
      </c>
      <c r="V81" s="29">
        <v>60000</v>
      </c>
      <c r="BE81" s="30">
        <f t="shared" si="4"/>
        <v>420000</v>
      </c>
      <c r="BF81" s="6">
        <f t="shared" si="5"/>
        <v>7</v>
      </c>
    </row>
    <row r="82" spans="1:58">
      <c r="A82" s="9" t="s">
        <v>392</v>
      </c>
      <c r="B82" s="9" t="s">
        <v>261</v>
      </c>
      <c r="C82" s="11" t="s">
        <v>235</v>
      </c>
      <c r="D82" s="9" t="s">
        <v>234</v>
      </c>
      <c r="E82" s="9" t="s">
        <v>2</v>
      </c>
      <c r="F82" s="9"/>
      <c r="G82" s="9" t="s">
        <v>11</v>
      </c>
      <c r="H82" s="9" t="s">
        <v>232</v>
      </c>
      <c r="K82" s="29"/>
      <c r="L82" s="29"/>
      <c r="M82" s="29"/>
      <c r="N82" s="29"/>
      <c r="O82" s="29">
        <v>60000</v>
      </c>
      <c r="BE82" s="30">
        <f t="shared" si="4"/>
        <v>60000</v>
      </c>
      <c r="BF82" s="6">
        <f t="shared" si="5"/>
        <v>1</v>
      </c>
    </row>
    <row r="83" spans="1:58">
      <c r="A83" s="9" t="s">
        <v>392</v>
      </c>
      <c r="B83" s="9" t="s">
        <v>261</v>
      </c>
      <c r="C83" s="11" t="s">
        <v>241</v>
      </c>
      <c r="D83" s="9" t="s">
        <v>240</v>
      </c>
      <c r="E83" s="9" t="s">
        <v>2</v>
      </c>
      <c r="F83" s="9"/>
      <c r="G83" s="9" t="s">
        <v>11</v>
      </c>
      <c r="H83" s="9" t="s">
        <v>236</v>
      </c>
      <c r="K83" s="29">
        <v>83927</v>
      </c>
      <c r="L83" s="29">
        <v>14336</v>
      </c>
      <c r="M83" s="29">
        <v>4682</v>
      </c>
      <c r="N83" s="29">
        <v>5091</v>
      </c>
      <c r="BE83" s="30">
        <f t="shared" si="4"/>
        <v>108036</v>
      </c>
      <c r="BF83" s="6">
        <f t="shared" si="5"/>
        <v>4</v>
      </c>
    </row>
    <row r="84" spans="1:58">
      <c r="A84" s="9" t="s">
        <v>392</v>
      </c>
      <c r="B84" s="9" t="s">
        <v>261</v>
      </c>
      <c r="C84" s="11" t="s">
        <v>241</v>
      </c>
      <c r="D84" s="9" t="s">
        <v>240</v>
      </c>
      <c r="E84" s="9" t="s">
        <v>2</v>
      </c>
      <c r="F84" s="9"/>
      <c r="G84" s="9" t="s">
        <v>239</v>
      </c>
      <c r="H84" s="9" t="s">
        <v>237</v>
      </c>
      <c r="K84" s="29"/>
      <c r="L84" s="29"/>
      <c r="M84" s="29"/>
      <c r="N84" s="29"/>
      <c r="O84" s="29"/>
      <c r="P84" s="29">
        <v>14000</v>
      </c>
      <c r="Q84" s="29">
        <v>14000</v>
      </c>
      <c r="R84" s="29">
        <v>14000</v>
      </c>
      <c r="S84" s="29">
        <v>14000</v>
      </c>
      <c r="T84" s="29">
        <v>14000</v>
      </c>
      <c r="U84" s="29">
        <v>14000</v>
      </c>
      <c r="V84" s="29">
        <v>14000</v>
      </c>
      <c r="BE84" s="30">
        <f t="shared" si="4"/>
        <v>98000</v>
      </c>
      <c r="BF84" s="6">
        <f t="shared" si="5"/>
        <v>7</v>
      </c>
    </row>
    <row r="85" spans="1:58">
      <c r="A85" s="9" t="s">
        <v>392</v>
      </c>
      <c r="B85" s="9" t="s">
        <v>261</v>
      </c>
      <c r="C85" s="11" t="s">
        <v>241</v>
      </c>
      <c r="D85" s="9" t="s">
        <v>240</v>
      </c>
      <c r="E85" s="9" t="s">
        <v>2</v>
      </c>
      <c r="F85" s="9"/>
      <c r="G85" s="9" t="s">
        <v>11</v>
      </c>
      <c r="H85" s="9" t="s">
        <v>238</v>
      </c>
      <c r="K85" s="29"/>
      <c r="L85" s="29"/>
      <c r="M85" s="29"/>
      <c r="N85" s="29"/>
      <c r="O85" s="29">
        <v>14000</v>
      </c>
      <c r="BE85" s="30">
        <f t="shared" si="4"/>
        <v>14000</v>
      </c>
      <c r="BF85" s="6">
        <f t="shared" si="5"/>
        <v>1</v>
      </c>
    </row>
    <row r="86" spans="1:58">
      <c r="A86" s="9" t="s">
        <v>392</v>
      </c>
      <c r="B86" s="9" t="s">
        <v>261</v>
      </c>
      <c r="C86" s="11" t="s">
        <v>247</v>
      </c>
      <c r="D86" s="9" t="s">
        <v>246</v>
      </c>
      <c r="E86" s="9" t="s">
        <v>2</v>
      </c>
      <c r="F86" s="9"/>
      <c r="G86" s="9" t="s">
        <v>11</v>
      </c>
      <c r="H86" s="9" t="s">
        <v>242</v>
      </c>
      <c r="K86" s="29">
        <v>29073</v>
      </c>
      <c r="L86" s="29">
        <v>22118</v>
      </c>
      <c r="M86" s="29">
        <v>9318</v>
      </c>
      <c r="N86" s="29">
        <v>23500</v>
      </c>
      <c r="BE86" s="30">
        <f t="shared" si="4"/>
        <v>84009</v>
      </c>
      <c r="BF86" s="6">
        <f t="shared" si="5"/>
        <v>4</v>
      </c>
    </row>
    <row r="87" spans="1:58">
      <c r="A87" s="9" t="s">
        <v>392</v>
      </c>
      <c r="B87" s="9" t="s">
        <v>261</v>
      </c>
      <c r="C87" s="11" t="s">
        <v>247</v>
      </c>
      <c r="D87" s="9" t="s">
        <v>246</v>
      </c>
      <c r="E87" s="9" t="s">
        <v>2</v>
      </c>
      <c r="F87" s="9"/>
      <c r="G87" s="9" t="s">
        <v>245</v>
      </c>
      <c r="H87" s="9" t="s">
        <v>243</v>
      </c>
      <c r="K87" s="29"/>
      <c r="L87" s="29"/>
      <c r="M87" s="29"/>
      <c r="N87" s="29"/>
      <c r="O87" s="29"/>
      <c r="P87" s="29">
        <v>20000</v>
      </c>
      <c r="Q87" s="29">
        <v>20000</v>
      </c>
      <c r="R87" s="29">
        <v>20000</v>
      </c>
      <c r="S87" s="29">
        <v>20000</v>
      </c>
      <c r="T87" s="29">
        <v>20000</v>
      </c>
      <c r="U87" s="29">
        <v>20000</v>
      </c>
      <c r="V87" s="29">
        <v>20000</v>
      </c>
      <c r="BE87" s="30">
        <f t="shared" si="4"/>
        <v>140000</v>
      </c>
      <c r="BF87" s="6">
        <f t="shared" si="5"/>
        <v>7</v>
      </c>
    </row>
    <row r="88" spans="1:58">
      <c r="A88" s="9" t="s">
        <v>392</v>
      </c>
      <c r="B88" s="9" t="s">
        <v>261</v>
      </c>
      <c r="C88" s="11" t="s">
        <v>247</v>
      </c>
      <c r="D88" s="9" t="s">
        <v>246</v>
      </c>
      <c r="E88" s="9" t="s">
        <v>2</v>
      </c>
      <c r="F88" s="9"/>
      <c r="G88" s="9" t="s">
        <v>11</v>
      </c>
      <c r="H88" s="9" t="s">
        <v>244</v>
      </c>
      <c r="K88" s="29"/>
      <c r="L88" s="29"/>
      <c r="M88" s="29"/>
      <c r="N88" s="29"/>
      <c r="O88" s="29">
        <v>20000</v>
      </c>
      <c r="BE88" s="30">
        <f t="shared" si="4"/>
        <v>20000</v>
      </c>
      <c r="BF88" s="6">
        <f t="shared" si="5"/>
        <v>1</v>
      </c>
    </row>
    <row r="89" spans="1:58">
      <c r="A89" s="9" t="s">
        <v>392</v>
      </c>
      <c r="B89" s="9" t="s">
        <v>261</v>
      </c>
      <c r="C89" s="11" t="s">
        <v>253</v>
      </c>
      <c r="D89" s="9" t="s">
        <v>252</v>
      </c>
      <c r="E89" s="9" t="s">
        <v>132</v>
      </c>
      <c r="F89" s="9"/>
      <c r="G89" s="9" t="s">
        <v>0</v>
      </c>
      <c r="H89" s="9" t="s">
        <v>248</v>
      </c>
      <c r="J89" s="29">
        <v>600000</v>
      </c>
      <c r="K89" s="29">
        <v>600000</v>
      </c>
      <c r="L89" s="29">
        <v>600000</v>
      </c>
      <c r="M89" s="29">
        <v>600000</v>
      </c>
      <c r="N89" s="29">
        <v>1500000</v>
      </c>
      <c r="BE89" s="30">
        <f t="shared" si="4"/>
        <v>3900000</v>
      </c>
      <c r="BF89" s="6">
        <f t="shared" si="5"/>
        <v>5</v>
      </c>
    </row>
    <row r="90" spans="1:58">
      <c r="A90" s="9" t="s">
        <v>392</v>
      </c>
      <c r="B90" s="9" t="s">
        <v>261</v>
      </c>
      <c r="C90" s="11" t="s">
        <v>253</v>
      </c>
      <c r="D90" s="9" t="s">
        <v>252</v>
      </c>
      <c r="E90" s="9" t="s">
        <v>132</v>
      </c>
      <c r="F90" s="9"/>
      <c r="G90" s="9" t="s">
        <v>251</v>
      </c>
      <c r="H90" s="9" t="s">
        <v>249</v>
      </c>
      <c r="J90" s="29"/>
      <c r="K90" s="29"/>
      <c r="L90" s="29"/>
      <c r="M90" s="29"/>
      <c r="N90" s="29"/>
      <c r="O90" s="29"/>
      <c r="P90" s="29">
        <v>600000</v>
      </c>
      <c r="Q90" s="29">
        <v>600000</v>
      </c>
      <c r="R90" s="29">
        <v>600000</v>
      </c>
      <c r="S90" s="29">
        <v>600000</v>
      </c>
      <c r="T90" s="29">
        <v>600000</v>
      </c>
      <c r="U90" s="29">
        <v>600000</v>
      </c>
      <c r="V90" s="29">
        <v>600000</v>
      </c>
      <c r="W90" s="29">
        <v>600000</v>
      </c>
      <c r="X90" s="29">
        <v>600000</v>
      </c>
      <c r="Y90" s="29">
        <v>600000</v>
      </c>
      <c r="Z90" s="29">
        <v>600000</v>
      </c>
      <c r="AA90" s="29">
        <v>600000</v>
      </c>
      <c r="AB90" s="29">
        <v>600000</v>
      </c>
      <c r="AC90" s="29">
        <v>600000</v>
      </c>
      <c r="AD90" s="29">
        <v>600000</v>
      </c>
      <c r="AE90" s="29">
        <v>600000</v>
      </c>
      <c r="AF90" s="29">
        <v>600000</v>
      </c>
      <c r="AG90" s="29">
        <v>600000</v>
      </c>
      <c r="AH90" s="29">
        <v>600000</v>
      </c>
      <c r="AI90" s="29">
        <v>600000</v>
      </c>
      <c r="AJ90" s="29">
        <v>600000</v>
      </c>
      <c r="AK90" s="29">
        <v>600000</v>
      </c>
      <c r="AL90" s="29">
        <v>600000</v>
      </c>
      <c r="AM90" s="29">
        <v>600000</v>
      </c>
      <c r="AN90" s="29">
        <v>600000</v>
      </c>
      <c r="AO90" s="29">
        <v>600000</v>
      </c>
      <c r="AP90" s="29">
        <v>600000</v>
      </c>
      <c r="AQ90" s="29">
        <v>600000</v>
      </c>
      <c r="AR90" s="29">
        <v>600000</v>
      </c>
      <c r="AS90" s="6">
        <v>600000</v>
      </c>
      <c r="BE90" s="30">
        <f t="shared" si="4"/>
        <v>18000000</v>
      </c>
      <c r="BF90" s="6">
        <f t="shared" si="5"/>
        <v>30</v>
      </c>
    </row>
    <row r="91" spans="1:58">
      <c r="A91" s="9" t="s">
        <v>392</v>
      </c>
      <c r="B91" s="9" t="s">
        <v>261</v>
      </c>
      <c r="C91" s="11" t="s">
        <v>253</v>
      </c>
      <c r="D91" s="9" t="s">
        <v>252</v>
      </c>
      <c r="E91" s="9" t="s">
        <v>132</v>
      </c>
      <c r="F91" s="9"/>
      <c r="G91" s="9" t="s">
        <v>0</v>
      </c>
      <c r="H91" s="9" t="s">
        <v>250</v>
      </c>
      <c r="J91" s="29"/>
      <c r="K91" s="29"/>
      <c r="L91" s="29"/>
      <c r="M91" s="29"/>
      <c r="N91" s="29"/>
      <c r="O91" s="29">
        <v>600000</v>
      </c>
      <c r="BE91" s="30">
        <f t="shared" si="4"/>
        <v>600000</v>
      </c>
      <c r="BF91" s="6">
        <f t="shared" si="5"/>
        <v>1</v>
      </c>
    </row>
    <row r="92" spans="1:58">
      <c r="A92" s="9" t="s">
        <v>392</v>
      </c>
      <c r="B92" s="9" t="s">
        <v>261</v>
      </c>
      <c r="C92" s="11" t="s">
        <v>260</v>
      </c>
      <c r="D92" s="9" t="s">
        <v>259</v>
      </c>
      <c r="E92" s="9" t="s">
        <v>258</v>
      </c>
      <c r="F92" s="9" t="s">
        <v>256</v>
      </c>
      <c r="G92" s="9" t="s">
        <v>255</v>
      </c>
      <c r="H92" s="9" t="s">
        <v>254</v>
      </c>
      <c r="M92" s="29">
        <v>1330000</v>
      </c>
      <c r="N92" s="29">
        <v>2139000</v>
      </c>
      <c r="BE92" s="30">
        <f t="shared" si="4"/>
        <v>3469000</v>
      </c>
      <c r="BF92" s="6">
        <f t="shared" si="5"/>
        <v>2</v>
      </c>
    </row>
    <row r="93" spans="1:58">
      <c r="A93" s="9" t="s">
        <v>392</v>
      </c>
      <c r="B93" s="9" t="s">
        <v>286</v>
      </c>
      <c r="C93" s="11" t="s">
        <v>266</v>
      </c>
      <c r="D93" s="9" t="s">
        <v>265</v>
      </c>
      <c r="E93" s="9" t="s">
        <v>132</v>
      </c>
      <c r="F93" s="9"/>
      <c r="G93" s="9" t="s">
        <v>264</v>
      </c>
      <c r="H93" s="9" t="s">
        <v>262</v>
      </c>
      <c r="L93" s="29"/>
      <c r="M93" s="29"/>
      <c r="N93" s="29"/>
      <c r="O93" s="29"/>
      <c r="P93" s="29">
        <v>0</v>
      </c>
      <c r="Q93" s="29">
        <v>168566364</v>
      </c>
      <c r="R93" s="29">
        <v>0</v>
      </c>
      <c r="S93" s="29">
        <v>0</v>
      </c>
      <c r="T93" s="29">
        <v>0</v>
      </c>
      <c r="BE93" s="30">
        <f t="shared" si="4"/>
        <v>168566364</v>
      </c>
      <c r="BF93" s="6">
        <f t="shared" si="5"/>
        <v>1</v>
      </c>
    </row>
    <row r="94" spans="1:58">
      <c r="A94" s="9" t="s">
        <v>392</v>
      </c>
      <c r="B94" s="9" t="s">
        <v>286</v>
      </c>
      <c r="C94" s="11" t="s">
        <v>266</v>
      </c>
      <c r="D94" s="9" t="s">
        <v>265</v>
      </c>
      <c r="E94" s="9" t="s">
        <v>132</v>
      </c>
      <c r="F94" s="9"/>
      <c r="G94" s="9" t="s">
        <v>17</v>
      </c>
      <c r="H94" s="9" t="s">
        <v>263</v>
      </c>
      <c r="L94" s="29"/>
      <c r="M94" s="29"/>
      <c r="N94" s="29"/>
      <c r="O94" s="29">
        <v>569000000</v>
      </c>
      <c r="BE94" s="30">
        <f t="shared" si="4"/>
        <v>569000000</v>
      </c>
      <c r="BF94" s="6">
        <f t="shared" si="5"/>
        <v>1</v>
      </c>
    </row>
    <row r="95" spans="1:58">
      <c r="A95" s="9" t="s">
        <v>392</v>
      </c>
      <c r="B95" s="9" t="s">
        <v>286</v>
      </c>
      <c r="C95" s="11" t="s">
        <v>274</v>
      </c>
      <c r="D95" s="9" t="s">
        <v>273</v>
      </c>
      <c r="E95" s="9" t="s">
        <v>272</v>
      </c>
      <c r="F95" s="9"/>
      <c r="G95" s="9" t="s">
        <v>268</v>
      </c>
      <c r="H95" s="9" t="s">
        <v>267</v>
      </c>
      <c r="L95" s="29">
        <v>0</v>
      </c>
      <c r="M95" s="29">
        <v>0</v>
      </c>
      <c r="N95" s="29">
        <v>10246749</v>
      </c>
      <c r="BE95" s="30">
        <f t="shared" si="4"/>
        <v>10246749</v>
      </c>
      <c r="BF95" s="6">
        <f t="shared" si="5"/>
        <v>1</v>
      </c>
    </row>
    <row r="96" spans="1:58">
      <c r="A96" s="9" t="s">
        <v>392</v>
      </c>
      <c r="B96" s="9" t="s">
        <v>286</v>
      </c>
      <c r="C96" s="11" t="s">
        <v>274</v>
      </c>
      <c r="D96" s="9" t="s">
        <v>273</v>
      </c>
      <c r="E96" s="9" t="s">
        <v>2</v>
      </c>
      <c r="F96" s="9"/>
      <c r="G96" s="9" t="s">
        <v>271</v>
      </c>
      <c r="H96" s="9" t="s">
        <v>269</v>
      </c>
      <c r="L96" s="29"/>
      <c r="M96" s="29"/>
      <c r="N96" s="29"/>
      <c r="O96" s="29"/>
      <c r="P96" s="29">
        <v>6215000</v>
      </c>
      <c r="Q96" s="29">
        <v>6215000</v>
      </c>
      <c r="R96" s="29">
        <v>6215000</v>
      </c>
      <c r="S96" s="29">
        <v>6215000</v>
      </c>
      <c r="T96" s="29">
        <v>6215000</v>
      </c>
      <c r="U96" s="29">
        <v>6215000</v>
      </c>
      <c r="V96" s="29">
        <v>6215000</v>
      </c>
      <c r="W96" s="29">
        <v>6215000</v>
      </c>
      <c r="X96" s="29">
        <v>6215000</v>
      </c>
      <c r="BE96" s="30">
        <f t="shared" si="4"/>
        <v>55935000</v>
      </c>
      <c r="BF96" s="6">
        <f t="shared" si="5"/>
        <v>9</v>
      </c>
    </row>
    <row r="97" spans="1:58">
      <c r="A97" s="9" t="s">
        <v>392</v>
      </c>
      <c r="B97" s="9" t="s">
        <v>286</v>
      </c>
      <c r="C97" s="11" t="s">
        <v>274</v>
      </c>
      <c r="D97" s="9" t="s">
        <v>273</v>
      </c>
      <c r="E97" s="9" t="s">
        <v>2</v>
      </c>
      <c r="F97" s="9"/>
      <c r="G97" s="9" t="s">
        <v>17</v>
      </c>
      <c r="H97" s="9" t="s">
        <v>270</v>
      </c>
      <c r="L97" s="29"/>
      <c r="M97" s="29"/>
      <c r="N97" s="29"/>
      <c r="O97" s="29">
        <v>6215000</v>
      </c>
      <c r="BE97" s="30">
        <f t="shared" si="4"/>
        <v>6215000</v>
      </c>
      <c r="BF97" s="6">
        <f t="shared" si="5"/>
        <v>1</v>
      </c>
    </row>
    <row r="98" spans="1:58">
      <c r="A98" s="9" t="s">
        <v>392</v>
      </c>
      <c r="B98" s="9" t="s">
        <v>286</v>
      </c>
      <c r="C98" s="11" t="s">
        <v>282</v>
      </c>
      <c r="D98" s="9" t="s">
        <v>281</v>
      </c>
      <c r="E98" s="9" t="s">
        <v>2</v>
      </c>
      <c r="F98" s="9"/>
      <c r="G98" s="9" t="s">
        <v>1</v>
      </c>
      <c r="H98" s="9" t="s">
        <v>277</v>
      </c>
      <c r="J98" s="29">
        <v>0</v>
      </c>
      <c r="K98" s="29">
        <v>8930250</v>
      </c>
      <c r="L98" s="29">
        <v>8729750</v>
      </c>
      <c r="M98" s="29">
        <v>9080500</v>
      </c>
      <c r="N98" s="29">
        <v>9070250</v>
      </c>
      <c r="BE98" s="30">
        <f t="shared" si="4"/>
        <v>35810750</v>
      </c>
      <c r="BF98" s="6">
        <f t="shared" si="5"/>
        <v>4</v>
      </c>
    </row>
    <row r="99" spans="1:58">
      <c r="A99" s="9" t="s">
        <v>392</v>
      </c>
      <c r="B99" s="9" t="s">
        <v>286</v>
      </c>
      <c r="C99" s="11" t="s">
        <v>282</v>
      </c>
      <c r="D99" s="9" t="s">
        <v>281</v>
      </c>
      <c r="E99" s="9" t="s">
        <v>2</v>
      </c>
      <c r="F99" s="9"/>
      <c r="G99" s="9" t="s">
        <v>280</v>
      </c>
      <c r="H99" s="9" t="s">
        <v>278</v>
      </c>
      <c r="K99" s="29"/>
      <c r="L99" s="29"/>
      <c r="M99" s="29"/>
      <c r="N99" s="29"/>
      <c r="O99" s="29"/>
      <c r="P99" s="29">
        <v>8930250</v>
      </c>
      <c r="Q99" s="29">
        <v>8930250</v>
      </c>
      <c r="R99" s="29">
        <v>8930250</v>
      </c>
      <c r="S99" s="29">
        <v>8930250</v>
      </c>
      <c r="T99" s="29">
        <v>8930250</v>
      </c>
      <c r="U99" s="29">
        <v>8930250</v>
      </c>
      <c r="V99" s="29">
        <v>8930250</v>
      </c>
      <c r="BE99" s="30">
        <f t="shared" si="4"/>
        <v>62511750</v>
      </c>
      <c r="BF99" s="6">
        <f t="shared" si="5"/>
        <v>7</v>
      </c>
    </row>
    <row r="100" spans="1:58">
      <c r="A100" s="9" t="s">
        <v>392</v>
      </c>
      <c r="B100" s="9" t="s">
        <v>286</v>
      </c>
      <c r="C100" s="11" t="s">
        <v>282</v>
      </c>
      <c r="D100" s="9" t="s">
        <v>281</v>
      </c>
      <c r="E100" s="9" t="s">
        <v>2</v>
      </c>
      <c r="F100" s="9"/>
      <c r="G100" s="9" t="s">
        <v>1</v>
      </c>
      <c r="H100" s="9" t="s">
        <v>279</v>
      </c>
      <c r="K100" s="29"/>
      <c r="L100" s="29"/>
      <c r="M100" s="29"/>
      <c r="N100" s="29"/>
      <c r="O100" s="29">
        <v>8930250</v>
      </c>
      <c r="BE100" s="30">
        <f t="shared" si="4"/>
        <v>8930250</v>
      </c>
      <c r="BF100" s="6">
        <f t="shared" si="5"/>
        <v>1</v>
      </c>
    </row>
    <row r="101" spans="1:58">
      <c r="A101" s="9" t="s">
        <v>392</v>
      </c>
      <c r="B101" s="9" t="s">
        <v>286</v>
      </c>
      <c r="C101" s="11" t="s">
        <v>285</v>
      </c>
      <c r="D101" s="9" t="s">
        <v>284</v>
      </c>
      <c r="E101" s="9" t="s">
        <v>2</v>
      </c>
      <c r="F101" s="9"/>
      <c r="G101" s="9" t="s">
        <v>1</v>
      </c>
      <c r="H101" s="9" t="s">
        <v>283</v>
      </c>
      <c r="K101" s="29">
        <v>26955</v>
      </c>
      <c r="L101" s="29">
        <v>2545</v>
      </c>
      <c r="M101" s="29">
        <v>4364</v>
      </c>
      <c r="N101" s="29">
        <v>0</v>
      </c>
      <c r="BE101" s="30">
        <f t="shared" si="4"/>
        <v>33864</v>
      </c>
      <c r="BF101" s="6">
        <f t="shared" si="5"/>
        <v>3</v>
      </c>
    </row>
    <row r="102" spans="1:58">
      <c r="A102" s="9" t="s">
        <v>392</v>
      </c>
      <c r="B102" s="9" t="s">
        <v>322</v>
      </c>
      <c r="C102" s="11" t="s">
        <v>684</v>
      </c>
      <c r="D102" s="9" t="s">
        <v>291</v>
      </c>
      <c r="E102" s="9" t="s">
        <v>132</v>
      </c>
      <c r="F102" s="9"/>
      <c r="G102" s="9" t="s">
        <v>11</v>
      </c>
      <c r="H102" s="9" t="s">
        <v>287</v>
      </c>
      <c r="I102" s="29">
        <v>230000</v>
      </c>
      <c r="J102" s="29">
        <v>230000</v>
      </c>
      <c r="K102" s="29">
        <v>230000</v>
      </c>
      <c r="L102" s="29">
        <v>230000</v>
      </c>
      <c r="M102" s="29">
        <v>230000</v>
      </c>
      <c r="N102" s="29">
        <v>230000</v>
      </c>
      <c r="BE102" s="30">
        <f t="shared" si="4"/>
        <v>1380000</v>
      </c>
      <c r="BF102" s="6">
        <f t="shared" si="5"/>
        <v>6</v>
      </c>
    </row>
    <row r="103" spans="1:58">
      <c r="A103" s="9" t="s">
        <v>392</v>
      </c>
      <c r="B103" s="9" t="s">
        <v>322</v>
      </c>
      <c r="C103" s="11" t="s">
        <v>684</v>
      </c>
      <c r="D103" s="9" t="s">
        <v>291</v>
      </c>
      <c r="E103" s="9" t="s">
        <v>132</v>
      </c>
      <c r="F103" s="9"/>
      <c r="G103" s="9" t="s">
        <v>290</v>
      </c>
      <c r="H103" s="9" t="s">
        <v>288</v>
      </c>
      <c r="I103" s="29"/>
      <c r="J103" s="29"/>
      <c r="K103" s="29"/>
      <c r="L103" s="29"/>
      <c r="M103" s="29"/>
      <c r="N103" s="29"/>
      <c r="O103" s="29"/>
      <c r="P103" s="29">
        <v>230000</v>
      </c>
      <c r="Q103" s="29">
        <v>230000</v>
      </c>
      <c r="R103" s="29">
        <v>230000</v>
      </c>
      <c r="S103" s="29">
        <v>0</v>
      </c>
      <c r="T103" s="29">
        <v>0</v>
      </c>
      <c r="BE103" s="30">
        <f t="shared" si="4"/>
        <v>690000</v>
      </c>
      <c r="BF103" s="6">
        <f t="shared" si="5"/>
        <v>3</v>
      </c>
    </row>
    <row r="104" spans="1:58">
      <c r="A104" s="9" t="s">
        <v>392</v>
      </c>
      <c r="B104" s="9" t="s">
        <v>322</v>
      </c>
      <c r="C104" s="11" t="s">
        <v>684</v>
      </c>
      <c r="D104" s="9" t="s">
        <v>291</v>
      </c>
      <c r="E104" s="9" t="s">
        <v>132</v>
      </c>
      <c r="F104" s="9"/>
      <c r="G104" s="9" t="s">
        <v>11</v>
      </c>
      <c r="H104" s="9" t="s">
        <v>289</v>
      </c>
      <c r="I104" s="29"/>
      <c r="J104" s="29"/>
      <c r="K104" s="29"/>
      <c r="L104" s="29"/>
      <c r="M104" s="29"/>
      <c r="N104" s="29"/>
      <c r="O104" s="29">
        <v>230000</v>
      </c>
      <c r="BE104" s="30">
        <f t="shared" ref="BE104:BE139" si="6">SUM(I104:BD104)</f>
        <v>230000</v>
      </c>
      <c r="BF104" s="6">
        <f t="shared" ref="BF104:BF139" si="7">COUNTIF(I104:BD104, "&gt;0")</f>
        <v>1</v>
      </c>
    </row>
    <row r="105" spans="1:58">
      <c r="A105" s="9" t="s">
        <v>392</v>
      </c>
      <c r="B105" s="9" t="s">
        <v>322</v>
      </c>
      <c r="C105" s="11" t="s">
        <v>298</v>
      </c>
      <c r="D105" s="9" t="s">
        <v>297</v>
      </c>
      <c r="E105" s="9" t="s">
        <v>296</v>
      </c>
      <c r="F105" s="9" t="s">
        <v>295</v>
      </c>
      <c r="G105" s="9" t="s">
        <v>294</v>
      </c>
      <c r="H105" s="9" t="s">
        <v>293</v>
      </c>
      <c r="M105" s="29">
        <v>0</v>
      </c>
      <c r="N105" s="29">
        <v>16880500</v>
      </c>
      <c r="BE105" s="30">
        <f t="shared" si="6"/>
        <v>16880500</v>
      </c>
      <c r="BF105" s="6">
        <f t="shared" si="7"/>
        <v>1</v>
      </c>
    </row>
    <row r="106" spans="1:58">
      <c r="A106" s="9" t="s">
        <v>392</v>
      </c>
      <c r="B106" s="9" t="s">
        <v>322</v>
      </c>
      <c r="C106" s="11" t="s">
        <v>304</v>
      </c>
      <c r="D106" s="9" t="s">
        <v>303</v>
      </c>
      <c r="E106" s="9" t="s">
        <v>2</v>
      </c>
      <c r="F106" s="9"/>
      <c r="G106" s="9" t="s">
        <v>11</v>
      </c>
      <c r="H106" s="9" t="s">
        <v>299</v>
      </c>
      <c r="I106" s="29">
        <v>0</v>
      </c>
      <c r="J106" s="29">
        <v>4199564</v>
      </c>
      <c r="K106" s="29">
        <v>4484727</v>
      </c>
      <c r="L106" s="29">
        <v>1325827</v>
      </c>
      <c r="M106" s="29">
        <v>5047263</v>
      </c>
      <c r="N106" s="29">
        <v>1375000</v>
      </c>
      <c r="BE106" s="30">
        <f t="shared" si="6"/>
        <v>16432381</v>
      </c>
      <c r="BF106" s="6">
        <f t="shared" si="7"/>
        <v>5</v>
      </c>
    </row>
    <row r="107" spans="1:58">
      <c r="A107" s="9" t="s">
        <v>392</v>
      </c>
      <c r="B107" s="9" t="s">
        <v>322</v>
      </c>
      <c r="C107" s="11" t="s">
        <v>304</v>
      </c>
      <c r="D107" s="9" t="s">
        <v>303</v>
      </c>
      <c r="E107" s="9" t="s">
        <v>2</v>
      </c>
      <c r="F107" s="9"/>
      <c r="G107" s="9" t="s">
        <v>302</v>
      </c>
      <c r="H107" s="9" t="s">
        <v>300</v>
      </c>
      <c r="J107" s="29"/>
      <c r="K107" s="29"/>
      <c r="L107" s="29"/>
      <c r="M107" s="29"/>
      <c r="N107" s="29"/>
      <c r="O107" s="29"/>
      <c r="P107" s="29">
        <v>2000000</v>
      </c>
      <c r="Q107" s="29">
        <v>2000000</v>
      </c>
      <c r="R107" s="29">
        <v>2000000</v>
      </c>
      <c r="S107" s="29">
        <v>2000000</v>
      </c>
      <c r="T107" s="29">
        <v>2000000</v>
      </c>
      <c r="U107" s="29">
        <v>4000000</v>
      </c>
      <c r="V107" s="29">
        <v>4000000</v>
      </c>
      <c r="W107" s="29">
        <v>4000000</v>
      </c>
      <c r="X107" s="29">
        <v>4000000</v>
      </c>
      <c r="Y107" s="29">
        <v>4000000</v>
      </c>
      <c r="Z107" s="29">
        <v>4000000</v>
      </c>
      <c r="AA107" s="29">
        <v>4000000</v>
      </c>
      <c r="AB107" s="29">
        <v>4000000</v>
      </c>
      <c r="AC107" s="29">
        <v>4000000</v>
      </c>
      <c r="AD107" s="29">
        <v>4000000</v>
      </c>
      <c r="AE107" s="29">
        <v>4000000</v>
      </c>
      <c r="AF107" s="29">
        <v>4000000</v>
      </c>
      <c r="AG107" s="29">
        <v>4000000</v>
      </c>
      <c r="AH107" s="29">
        <v>4000000</v>
      </c>
      <c r="AI107" s="29">
        <v>4000000</v>
      </c>
      <c r="AJ107" s="29">
        <v>4000000</v>
      </c>
      <c r="AK107" s="29">
        <v>4000000</v>
      </c>
      <c r="AL107" s="29">
        <v>4000000</v>
      </c>
      <c r="AM107" s="29">
        <v>4000000</v>
      </c>
      <c r="AN107" s="29">
        <v>4000000</v>
      </c>
      <c r="AO107" s="29">
        <v>4000000</v>
      </c>
      <c r="AP107" s="29">
        <v>4000000</v>
      </c>
      <c r="AQ107" s="29">
        <v>4000000</v>
      </c>
      <c r="AR107" s="29">
        <v>4000000</v>
      </c>
      <c r="AS107" s="6">
        <v>4000000</v>
      </c>
      <c r="AT107" s="6">
        <v>4000000</v>
      </c>
      <c r="AU107" s="6">
        <v>4000000</v>
      </c>
      <c r="AV107" s="6">
        <v>4000000</v>
      </c>
      <c r="AW107" s="6">
        <v>4000000</v>
      </c>
      <c r="AX107" s="6">
        <v>4000000</v>
      </c>
      <c r="AY107" s="6">
        <v>4000000</v>
      </c>
      <c r="AZ107" s="6">
        <v>4000000</v>
      </c>
      <c r="BA107" s="6">
        <v>4000000</v>
      </c>
      <c r="BB107" s="6">
        <v>4000000</v>
      </c>
      <c r="BC107" s="6">
        <v>4000000</v>
      </c>
      <c r="BD107" s="6">
        <v>4000000</v>
      </c>
      <c r="BE107" s="30">
        <f t="shared" si="6"/>
        <v>154000000</v>
      </c>
      <c r="BF107" s="6">
        <f t="shared" si="7"/>
        <v>41</v>
      </c>
    </row>
    <row r="108" spans="1:58">
      <c r="A108" s="9" t="s">
        <v>392</v>
      </c>
      <c r="B108" s="9" t="s">
        <v>322</v>
      </c>
      <c r="C108" s="11" t="s">
        <v>304</v>
      </c>
      <c r="D108" s="9" t="s">
        <v>303</v>
      </c>
      <c r="E108" s="9" t="s">
        <v>2</v>
      </c>
      <c r="F108" s="9"/>
      <c r="G108" s="9" t="s">
        <v>11</v>
      </c>
      <c r="H108" s="9" t="s">
        <v>301</v>
      </c>
      <c r="I108" s="29"/>
      <c r="J108" s="29"/>
      <c r="K108" s="29"/>
      <c r="L108" s="29"/>
      <c r="M108" s="29"/>
      <c r="N108" s="29"/>
      <c r="O108" s="29">
        <v>2000000</v>
      </c>
      <c r="BE108" s="30">
        <f t="shared" si="6"/>
        <v>2000000</v>
      </c>
      <c r="BF108" s="6">
        <f t="shared" si="7"/>
        <v>1</v>
      </c>
    </row>
    <row r="109" spans="1:58">
      <c r="A109" s="9" t="s">
        <v>392</v>
      </c>
      <c r="B109" s="9" t="s">
        <v>322</v>
      </c>
      <c r="C109" s="11" t="s">
        <v>313</v>
      </c>
      <c r="D109" s="9" t="s">
        <v>312</v>
      </c>
      <c r="E109" s="9" t="s">
        <v>311</v>
      </c>
      <c r="F109" s="9" t="s">
        <v>307</v>
      </c>
      <c r="G109" s="9" t="s">
        <v>306</v>
      </c>
      <c r="H109" s="9" t="s">
        <v>305</v>
      </c>
      <c r="L109" s="29">
        <v>450000</v>
      </c>
      <c r="M109" s="29">
        <v>450000</v>
      </c>
      <c r="N109" s="29">
        <v>449950</v>
      </c>
      <c r="BE109" s="30">
        <f t="shared" si="6"/>
        <v>1349950</v>
      </c>
      <c r="BF109" s="6">
        <f t="shared" si="7"/>
        <v>3</v>
      </c>
    </row>
    <row r="110" spans="1:58">
      <c r="A110" s="9" t="s">
        <v>392</v>
      </c>
      <c r="B110" s="9" t="s">
        <v>322</v>
      </c>
      <c r="C110" s="11" t="s">
        <v>313</v>
      </c>
      <c r="D110" s="9" t="s">
        <v>312</v>
      </c>
      <c r="E110" s="9" t="s">
        <v>8</v>
      </c>
      <c r="F110" s="9"/>
      <c r="G110" s="9" t="s">
        <v>310</v>
      </c>
      <c r="H110" s="9" t="s">
        <v>308</v>
      </c>
      <c r="M110" s="29"/>
      <c r="N110" s="29"/>
      <c r="O110" s="29"/>
      <c r="P110" s="29">
        <v>450000</v>
      </c>
      <c r="Q110" s="29">
        <v>450000</v>
      </c>
      <c r="R110" s="29">
        <v>450000</v>
      </c>
      <c r="S110" s="29">
        <v>450000</v>
      </c>
      <c r="T110" s="29">
        <v>450000</v>
      </c>
      <c r="BE110" s="30">
        <f t="shared" si="6"/>
        <v>2250000</v>
      </c>
      <c r="BF110" s="6">
        <f t="shared" si="7"/>
        <v>5</v>
      </c>
    </row>
    <row r="111" spans="1:58">
      <c r="A111" s="9" t="s">
        <v>392</v>
      </c>
      <c r="B111" s="9" t="s">
        <v>322</v>
      </c>
      <c r="C111" s="11" t="s">
        <v>313</v>
      </c>
      <c r="D111" s="9" t="s">
        <v>312</v>
      </c>
      <c r="E111" s="9" t="s">
        <v>8</v>
      </c>
      <c r="F111" s="9"/>
      <c r="G111" s="9" t="s">
        <v>0</v>
      </c>
      <c r="H111" s="9" t="s">
        <v>309</v>
      </c>
      <c r="M111" s="29"/>
      <c r="N111" s="29"/>
      <c r="O111" s="29">
        <v>450000</v>
      </c>
      <c r="BE111" s="30">
        <f t="shared" si="6"/>
        <v>450000</v>
      </c>
      <c r="BF111" s="6">
        <f t="shared" si="7"/>
        <v>1</v>
      </c>
    </row>
    <row r="112" spans="1:58">
      <c r="A112" s="9" t="s">
        <v>392</v>
      </c>
      <c r="B112" s="9" t="s">
        <v>322</v>
      </c>
      <c r="C112" s="11" t="s">
        <v>321</v>
      </c>
      <c r="D112" s="9" t="s">
        <v>320</v>
      </c>
      <c r="E112" s="9" t="s">
        <v>319</v>
      </c>
      <c r="F112" s="9"/>
      <c r="G112" s="9" t="s">
        <v>315</v>
      </c>
      <c r="H112" s="9" t="s">
        <v>314</v>
      </c>
      <c r="L112" s="29">
        <v>500000</v>
      </c>
      <c r="M112" s="29">
        <v>500000</v>
      </c>
      <c r="N112" s="29">
        <v>499950</v>
      </c>
      <c r="BE112" s="30">
        <f t="shared" si="6"/>
        <v>1499950</v>
      </c>
      <c r="BF112" s="6">
        <f t="shared" si="7"/>
        <v>3</v>
      </c>
    </row>
    <row r="113" spans="1:58">
      <c r="A113" s="9" t="s">
        <v>392</v>
      </c>
      <c r="B113" s="9" t="s">
        <v>322</v>
      </c>
      <c r="C113" s="11" t="s">
        <v>321</v>
      </c>
      <c r="D113" s="9" t="s">
        <v>320</v>
      </c>
      <c r="E113" s="9" t="s">
        <v>8</v>
      </c>
      <c r="F113" s="9"/>
      <c r="G113" s="9" t="s">
        <v>318</v>
      </c>
      <c r="H113" s="9" t="s">
        <v>316</v>
      </c>
      <c r="L113" s="29"/>
      <c r="M113" s="29"/>
      <c r="N113" s="29"/>
      <c r="O113" s="29"/>
      <c r="P113" s="29">
        <v>500000</v>
      </c>
      <c r="Q113" s="29">
        <v>500000</v>
      </c>
      <c r="R113" s="29">
        <v>500000</v>
      </c>
      <c r="S113" s="29">
        <v>500000</v>
      </c>
      <c r="T113" s="29">
        <v>500000</v>
      </c>
      <c r="BE113" s="30">
        <f t="shared" si="6"/>
        <v>2500000</v>
      </c>
      <c r="BF113" s="6">
        <f t="shared" si="7"/>
        <v>5</v>
      </c>
    </row>
    <row r="114" spans="1:58">
      <c r="A114" s="9" t="s">
        <v>392</v>
      </c>
      <c r="B114" s="9" t="s">
        <v>322</v>
      </c>
      <c r="C114" s="11" t="s">
        <v>321</v>
      </c>
      <c r="D114" s="9" t="s">
        <v>320</v>
      </c>
      <c r="E114" s="9" t="s">
        <v>8</v>
      </c>
      <c r="F114" s="9"/>
      <c r="G114" s="9" t="s">
        <v>0</v>
      </c>
      <c r="H114" s="9" t="s">
        <v>317</v>
      </c>
      <c r="L114" s="29"/>
      <c r="M114" s="29"/>
      <c r="N114" s="29"/>
      <c r="O114" s="29">
        <v>500000</v>
      </c>
      <c r="BE114" s="30">
        <f t="shared" si="6"/>
        <v>500000</v>
      </c>
      <c r="BF114" s="6">
        <f t="shared" si="7"/>
        <v>1</v>
      </c>
    </row>
    <row r="115" spans="1:58">
      <c r="A115" s="9" t="s">
        <v>392</v>
      </c>
      <c r="B115" s="9" t="s">
        <v>353</v>
      </c>
      <c r="C115" s="11" t="s">
        <v>330</v>
      </c>
      <c r="D115" s="9" t="s">
        <v>329</v>
      </c>
      <c r="E115" s="9" t="s">
        <v>328</v>
      </c>
      <c r="F115" s="9"/>
      <c r="G115" s="9" t="s">
        <v>324</v>
      </c>
      <c r="H115" s="9" t="s">
        <v>323</v>
      </c>
      <c r="L115" s="29">
        <v>0</v>
      </c>
      <c r="M115" s="29">
        <v>0</v>
      </c>
      <c r="N115" s="29">
        <v>3079584</v>
      </c>
      <c r="BE115" s="30">
        <f t="shared" si="6"/>
        <v>3079584</v>
      </c>
      <c r="BF115" s="6">
        <f t="shared" si="7"/>
        <v>1</v>
      </c>
    </row>
    <row r="116" spans="1:58">
      <c r="A116" s="9" t="s">
        <v>392</v>
      </c>
      <c r="B116" s="9" t="s">
        <v>353</v>
      </c>
      <c r="C116" s="11" t="s">
        <v>330</v>
      </c>
      <c r="D116" s="9" t="s">
        <v>329</v>
      </c>
      <c r="E116" s="9" t="s">
        <v>2</v>
      </c>
      <c r="F116" s="9"/>
      <c r="G116" s="9" t="s">
        <v>327</v>
      </c>
      <c r="H116" s="9" t="s">
        <v>325</v>
      </c>
      <c r="L116" s="29"/>
      <c r="M116" s="29"/>
      <c r="N116" s="29"/>
      <c r="O116" s="29"/>
      <c r="P116" s="29">
        <v>83232</v>
      </c>
      <c r="Q116" s="29">
        <v>83232</v>
      </c>
      <c r="R116" s="29">
        <v>83232</v>
      </c>
      <c r="S116" s="29">
        <v>83232</v>
      </c>
      <c r="T116" s="29">
        <v>83232</v>
      </c>
      <c r="U116" s="29">
        <v>83232</v>
      </c>
      <c r="V116" s="29">
        <v>83232</v>
      </c>
      <c r="W116" s="29">
        <v>83232</v>
      </c>
      <c r="X116" s="29">
        <v>83232</v>
      </c>
      <c r="Y116" s="29">
        <v>83232</v>
      </c>
      <c r="Z116" s="29">
        <v>83232</v>
      </c>
      <c r="AA116" s="29">
        <v>83232</v>
      </c>
      <c r="AB116" s="29">
        <v>83232</v>
      </c>
      <c r="AC116" s="29">
        <v>83232</v>
      </c>
      <c r="AD116" s="29">
        <v>83232</v>
      </c>
      <c r="AE116" s="29">
        <v>83232</v>
      </c>
      <c r="AF116" s="29">
        <v>83232</v>
      </c>
      <c r="AG116" s="29">
        <v>83232</v>
      </c>
      <c r="AH116" s="29">
        <v>83232</v>
      </c>
      <c r="AI116" s="29">
        <v>83232</v>
      </c>
      <c r="AJ116" s="29">
        <v>83232</v>
      </c>
      <c r="AK116" s="29">
        <v>83232</v>
      </c>
      <c r="AL116" s="29">
        <v>83232</v>
      </c>
      <c r="AM116" s="29">
        <v>83232</v>
      </c>
      <c r="AN116" s="29">
        <v>83232</v>
      </c>
      <c r="AO116" s="29">
        <v>83232</v>
      </c>
      <c r="AP116" s="29">
        <v>83232</v>
      </c>
      <c r="AQ116" s="29">
        <v>83232</v>
      </c>
      <c r="AR116" s="29">
        <v>83232</v>
      </c>
      <c r="AS116" s="6">
        <v>83232</v>
      </c>
      <c r="AT116" s="6">
        <v>83232</v>
      </c>
      <c r="AU116" s="6">
        <v>83232</v>
      </c>
      <c r="AV116" s="6">
        <v>83232</v>
      </c>
      <c r="AW116" s="6">
        <v>83232</v>
      </c>
      <c r="BE116" s="30">
        <f t="shared" si="6"/>
        <v>2829888</v>
      </c>
      <c r="BF116" s="6">
        <f t="shared" si="7"/>
        <v>34</v>
      </c>
    </row>
    <row r="117" spans="1:58">
      <c r="A117" s="9" t="s">
        <v>392</v>
      </c>
      <c r="B117" s="9" t="s">
        <v>353</v>
      </c>
      <c r="C117" s="11" t="s">
        <v>330</v>
      </c>
      <c r="D117" s="9" t="s">
        <v>329</v>
      </c>
      <c r="E117" s="9" t="s">
        <v>2</v>
      </c>
      <c r="F117" s="9"/>
      <c r="G117" s="9" t="s">
        <v>0</v>
      </c>
      <c r="H117" s="9" t="s">
        <v>326</v>
      </c>
      <c r="L117" s="29"/>
      <c r="M117" s="29"/>
      <c r="N117" s="29"/>
      <c r="O117" s="29">
        <v>83232</v>
      </c>
      <c r="BE117" s="30">
        <f t="shared" si="6"/>
        <v>83232</v>
      </c>
      <c r="BF117" s="6">
        <f t="shared" si="7"/>
        <v>1</v>
      </c>
    </row>
    <row r="118" spans="1:58">
      <c r="A118" s="9" t="s">
        <v>392</v>
      </c>
      <c r="B118" s="9" t="s">
        <v>353</v>
      </c>
      <c r="C118" s="11" t="s">
        <v>333</v>
      </c>
      <c r="D118" s="9" t="s">
        <v>332</v>
      </c>
      <c r="E118" s="9" t="s">
        <v>2</v>
      </c>
      <c r="F118" s="9"/>
      <c r="G118" s="9" t="s">
        <v>1</v>
      </c>
      <c r="H118" s="9" t="s">
        <v>331</v>
      </c>
      <c r="K118" s="29">
        <v>51827</v>
      </c>
      <c r="L118" s="29">
        <v>11273</v>
      </c>
      <c r="M118" s="29">
        <v>0</v>
      </c>
      <c r="N118" s="29">
        <v>3927</v>
      </c>
      <c r="BE118" s="30">
        <f t="shared" si="6"/>
        <v>67027</v>
      </c>
      <c r="BF118" s="6">
        <f t="shared" si="7"/>
        <v>3</v>
      </c>
    </row>
    <row r="119" spans="1:58">
      <c r="A119" s="9" t="s">
        <v>392</v>
      </c>
      <c r="B119" s="9" t="s">
        <v>353</v>
      </c>
      <c r="C119" s="11" t="s">
        <v>339</v>
      </c>
      <c r="D119" s="9" t="s">
        <v>338</v>
      </c>
      <c r="E119" s="9" t="s">
        <v>2</v>
      </c>
      <c r="F119" s="9"/>
      <c r="G119" s="9" t="s">
        <v>38</v>
      </c>
      <c r="H119" s="9" t="s">
        <v>334</v>
      </c>
      <c r="J119" s="29">
        <v>0</v>
      </c>
      <c r="K119" s="29">
        <v>174000</v>
      </c>
      <c r="L119" s="29">
        <v>454000</v>
      </c>
      <c r="M119" s="29">
        <v>454000</v>
      </c>
      <c r="N119" s="29">
        <v>454000</v>
      </c>
      <c r="BE119" s="30">
        <f t="shared" si="6"/>
        <v>1536000</v>
      </c>
      <c r="BF119" s="6">
        <f t="shared" si="7"/>
        <v>4</v>
      </c>
    </row>
    <row r="120" spans="1:58">
      <c r="A120" s="9" t="s">
        <v>392</v>
      </c>
      <c r="B120" s="9" t="s">
        <v>353</v>
      </c>
      <c r="C120" s="11" t="s">
        <v>339</v>
      </c>
      <c r="D120" s="9" t="s">
        <v>338</v>
      </c>
      <c r="E120" s="9" t="s">
        <v>2</v>
      </c>
      <c r="F120" s="9"/>
      <c r="G120" s="9" t="s">
        <v>337</v>
      </c>
      <c r="H120" s="9" t="s">
        <v>335</v>
      </c>
      <c r="K120" s="29"/>
      <c r="L120" s="29"/>
      <c r="M120" s="29"/>
      <c r="N120" s="29"/>
      <c r="O120" s="29"/>
      <c r="P120" s="29">
        <v>454000</v>
      </c>
      <c r="Q120" s="29">
        <v>454000</v>
      </c>
      <c r="R120" s="29">
        <v>454000</v>
      </c>
      <c r="S120" s="29">
        <v>454000</v>
      </c>
      <c r="T120" s="29">
        <v>454000</v>
      </c>
      <c r="U120" s="29">
        <v>454000</v>
      </c>
      <c r="V120" s="29">
        <v>454000</v>
      </c>
      <c r="W120" s="29">
        <v>454000</v>
      </c>
      <c r="X120" s="29">
        <v>454000</v>
      </c>
      <c r="Y120" s="29">
        <v>454000</v>
      </c>
      <c r="Z120" s="29">
        <v>454000</v>
      </c>
      <c r="AA120" s="29">
        <v>454000</v>
      </c>
      <c r="AB120" s="29">
        <v>454000</v>
      </c>
      <c r="AC120" s="29">
        <v>454000</v>
      </c>
      <c r="AD120" s="29">
        <v>454000</v>
      </c>
      <c r="AE120" s="29">
        <v>454000</v>
      </c>
      <c r="AF120" s="29">
        <v>454000</v>
      </c>
      <c r="AG120" s="29">
        <v>454000</v>
      </c>
      <c r="AH120" s="29">
        <v>454000</v>
      </c>
      <c r="AI120" s="29">
        <v>454000</v>
      </c>
      <c r="AJ120" s="29">
        <v>454000</v>
      </c>
      <c r="AK120" s="29">
        <v>454000</v>
      </c>
      <c r="AL120" s="29">
        <v>454000</v>
      </c>
      <c r="AM120" s="29">
        <v>454000</v>
      </c>
      <c r="AN120" s="29">
        <v>454000</v>
      </c>
      <c r="AO120" s="29">
        <v>454000</v>
      </c>
      <c r="AP120" s="29">
        <v>454000</v>
      </c>
      <c r="AQ120" s="29">
        <v>454000</v>
      </c>
      <c r="AR120" s="29">
        <v>454000</v>
      </c>
      <c r="AS120" s="6">
        <v>454000</v>
      </c>
      <c r="AT120" s="6">
        <v>454000</v>
      </c>
      <c r="AU120" s="6">
        <v>454000</v>
      </c>
      <c r="AV120" s="6">
        <v>454000</v>
      </c>
      <c r="AW120" s="6">
        <v>454000</v>
      </c>
      <c r="AX120" s="6">
        <v>454000</v>
      </c>
      <c r="AY120" s="6">
        <v>454000</v>
      </c>
      <c r="AZ120" s="6">
        <v>454000</v>
      </c>
      <c r="BA120" s="6">
        <v>454000</v>
      </c>
      <c r="BB120" s="6">
        <v>454000</v>
      </c>
      <c r="BC120" s="6">
        <v>454000</v>
      </c>
      <c r="BD120" s="6">
        <v>454000</v>
      </c>
      <c r="BE120" s="30">
        <f t="shared" si="6"/>
        <v>18614000</v>
      </c>
      <c r="BF120" s="6">
        <f t="shared" si="7"/>
        <v>41</v>
      </c>
    </row>
    <row r="121" spans="1:58">
      <c r="A121" s="9" t="s">
        <v>392</v>
      </c>
      <c r="B121" s="9" t="s">
        <v>353</v>
      </c>
      <c r="C121" s="11" t="s">
        <v>339</v>
      </c>
      <c r="D121" s="9" t="s">
        <v>338</v>
      </c>
      <c r="E121" s="9" t="s">
        <v>2</v>
      </c>
      <c r="F121" s="9"/>
      <c r="G121" s="9" t="s">
        <v>38</v>
      </c>
      <c r="H121" s="9" t="s">
        <v>336</v>
      </c>
      <c r="K121" s="29"/>
      <c r="L121" s="29"/>
      <c r="M121" s="29"/>
      <c r="N121" s="29"/>
      <c r="O121" s="29">
        <v>454000</v>
      </c>
      <c r="BE121" s="30">
        <f t="shared" si="6"/>
        <v>454000</v>
      </c>
      <c r="BF121" s="6">
        <f t="shared" si="7"/>
        <v>1</v>
      </c>
    </row>
    <row r="122" spans="1:58">
      <c r="A122" s="9" t="s">
        <v>392</v>
      </c>
      <c r="B122" s="9" t="s">
        <v>353</v>
      </c>
      <c r="C122" s="11" t="s">
        <v>345</v>
      </c>
      <c r="D122" s="9" t="s">
        <v>344</v>
      </c>
      <c r="E122" s="9" t="s">
        <v>8</v>
      </c>
      <c r="F122" s="9"/>
      <c r="G122" s="9" t="s">
        <v>11</v>
      </c>
      <c r="H122" s="9" t="s">
        <v>340</v>
      </c>
      <c r="K122" s="29">
        <v>416160</v>
      </c>
      <c r="L122" s="29">
        <v>416160</v>
      </c>
      <c r="M122" s="29">
        <v>416160</v>
      </c>
      <c r="N122" s="29">
        <v>416160</v>
      </c>
      <c r="BE122" s="30">
        <f t="shared" si="6"/>
        <v>1664640</v>
      </c>
      <c r="BF122" s="6">
        <f t="shared" si="7"/>
        <v>4</v>
      </c>
    </row>
    <row r="123" spans="1:58">
      <c r="A123" s="9" t="s">
        <v>392</v>
      </c>
      <c r="B123" s="9" t="s">
        <v>353</v>
      </c>
      <c r="C123" s="11" t="s">
        <v>345</v>
      </c>
      <c r="D123" s="9" t="s">
        <v>344</v>
      </c>
      <c r="E123" s="9" t="s">
        <v>8</v>
      </c>
      <c r="F123" s="9"/>
      <c r="G123" s="9" t="s">
        <v>343</v>
      </c>
      <c r="H123" s="9" t="s">
        <v>341</v>
      </c>
      <c r="K123" s="29"/>
      <c r="L123" s="29"/>
      <c r="M123" s="29"/>
      <c r="N123" s="29"/>
      <c r="O123" s="29"/>
      <c r="P123" s="29">
        <v>416160</v>
      </c>
      <c r="Q123" s="29">
        <v>416160</v>
      </c>
      <c r="R123" s="29">
        <v>416160</v>
      </c>
      <c r="S123" s="29">
        <v>416160</v>
      </c>
      <c r="T123" s="29">
        <v>416160</v>
      </c>
      <c r="BE123" s="30">
        <f t="shared" si="6"/>
        <v>2080800</v>
      </c>
      <c r="BF123" s="6">
        <f t="shared" si="7"/>
        <v>5</v>
      </c>
    </row>
    <row r="124" spans="1:58">
      <c r="A124" s="9" t="s">
        <v>392</v>
      </c>
      <c r="B124" s="9" t="s">
        <v>353</v>
      </c>
      <c r="C124" s="11" t="s">
        <v>345</v>
      </c>
      <c r="D124" s="9" t="s">
        <v>344</v>
      </c>
      <c r="E124" s="9" t="s">
        <v>8</v>
      </c>
      <c r="F124" s="9"/>
      <c r="G124" s="9" t="s">
        <v>11</v>
      </c>
      <c r="H124" s="9" t="s">
        <v>342</v>
      </c>
      <c r="K124" s="29"/>
      <c r="L124" s="29"/>
      <c r="M124" s="29"/>
      <c r="N124" s="29"/>
      <c r="O124" s="29">
        <v>416160</v>
      </c>
      <c r="BE124" s="30">
        <f t="shared" si="6"/>
        <v>416160</v>
      </c>
      <c r="BF124" s="6">
        <f t="shared" si="7"/>
        <v>1</v>
      </c>
    </row>
    <row r="125" spans="1:58">
      <c r="A125" s="9" t="s">
        <v>392</v>
      </c>
      <c r="B125" s="9" t="s">
        <v>353</v>
      </c>
      <c r="C125" s="11" t="s">
        <v>352</v>
      </c>
      <c r="D125" s="9" t="s">
        <v>351</v>
      </c>
      <c r="E125" s="9" t="s">
        <v>350</v>
      </c>
      <c r="F125" s="9"/>
      <c r="G125" s="9" t="s">
        <v>347</v>
      </c>
      <c r="H125" s="9" t="s">
        <v>346</v>
      </c>
      <c r="N125" s="29">
        <v>95000000</v>
      </c>
      <c r="BE125" s="30">
        <f t="shared" si="6"/>
        <v>95000000</v>
      </c>
      <c r="BF125" s="6">
        <f t="shared" si="7"/>
        <v>1</v>
      </c>
    </row>
    <row r="126" spans="1:58">
      <c r="A126" s="9" t="s">
        <v>392</v>
      </c>
      <c r="B126" s="9" t="s">
        <v>353</v>
      </c>
      <c r="C126" s="11" t="s">
        <v>352</v>
      </c>
      <c r="D126" s="9" t="s">
        <v>351</v>
      </c>
      <c r="E126" s="9" t="s">
        <v>8</v>
      </c>
      <c r="F126" s="9"/>
      <c r="G126" s="9" t="s">
        <v>349</v>
      </c>
      <c r="H126" s="9" t="s">
        <v>348</v>
      </c>
      <c r="N126" s="29"/>
      <c r="O126" s="29"/>
      <c r="P126" s="29">
        <v>95000000</v>
      </c>
      <c r="Q126" s="29">
        <v>0</v>
      </c>
      <c r="R126" s="29">
        <v>0</v>
      </c>
      <c r="S126" s="29">
        <v>0</v>
      </c>
      <c r="T126" s="29">
        <v>0</v>
      </c>
      <c r="BE126" s="30">
        <f t="shared" si="6"/>
        <v>95000000</v>
      </c>
      <c r="BF126" s="6">
        <f t="shared" si="7"/>
        <v>1</v>
      </c>
    </row>
    <row r="127" spans="1:58">
      <c r="A127" s="9" t="s">
        <v>392</v>
      </c>
      <c r="B127" s="9" t="s">
        <v>391</v>
      </c>
      <c r="C127" s="11" t="s">
        <v>358</v>
      </c>
      <c r="D127" s="9" t="s">
        <v>357</v>
      </c>
      <c r="E127" s="9" t="s">
        <v>356</v>
      </c>
      <c r="F127" s="9"/>
      <c r="G127" s="9" t="s">
        <v>355</v>
      </c>
      <c r="H127" s="9" t="s">
        <v>354</v>
      </c>
      <c r="L127" s="29">
        <v>0</v>
      </c>
      <c r="M127" s="29">
        <v>0</v>
      </c>
      <c r="N127" s="29">
        <v>48415000</v>
      </c>
      <c r="BE127" s="30">
        <f t="shared" si="6"/>
        <v>48415000</v>
      </c>
      <c r="BF127" s="6">
        <f t="shared" si="7"/>
        <v>1</v>
      </c>
    </row>
    <row r="128" spans="1:58">
      <c r="A128" s="9" t="s">
        <v>392</v>
      </c>
      <c r="B128" s="9" t="s">
        <v>391</v>
      </c>
      <c r="C128" s="11" t="s">
        <v>363</v>
      </c>
      <c r="D128" s="9" t="s">
        <v>362</v>
      </c>
      <c r="E128" s="9" t="s">
        <v>361</v>
      </c>
      <c r="F128" s="9"/>
      <c r="G128" s="9" t="s">
        <v>360</v>
      </c>
      <c r="H128" s="9" t="s">
        <v>359</v>
      </c>
      <c r="L128" s="29">
        <v>0</v>
      </c>
      <c r="M128" s="29">
        <v>6800000</v>
      </c>
      <c r="N128" s="29">
        <v>0</v>
      </c>
      <c r="BE128" s="30">
        <f t="shared" si="6"/>
        <v>6800000</v>
      </c>
      <c r="BF128" s="6">
        <f t="shared" si="7"/>
        <v>1</v>
      </c>
    </row>
    <row r="129" spans="1:58">
      <c r="A129" s="9" t="s">
        <v>392</v>
      </c>
      <c r="B129" s="9" t="s">
        <v>391</v>
      </c>
      <c r="C129" s="11" t="s">
        <v>368</v>
      </c>
      <c r="D129" s="9" t="s">
        <v>367</v>
      </c>
      <c r="E129" s="9" t="s">
        <v>366</v>
      </c>
      <c r="F129" s="9"/>
      <c r="G129" s="9" t="s">
        <v>365</v>
      </c>
      <c r="H129" s="9" t="s">
        <v>364</v>
      </c>
      <c r="M129" s="29">
        <v>0</v>
      </c>
      <c r="N129" s="29">
        <v>1295600</v>
      </c>
      <c r="BE129" s="30">
        <f t="shared" si="6"/>
        <v>1295600</v>
      </c>
      <c r="BF129" s="6">
        <f t="shared" si="7"/>
        <v>1</v>
      </c>
    </row>
    <row r="130" spans="1:58">
      <c r="A130" s="9" t="s">
        <v>392</v>
      </c>
      <c r="B130" s="9" t="s">
        <v>391</v>
      </c>
      <c r="C130" s="11" t="s">
        <v>374</v>
      </c>
      <c r="D130" s="9" t="s">
        <v>373</v>
      </c>
      <c r="E130" s="9" t="s">
        <v>8</v>
      </c>
      <c r="F130" s="9"/>
      <c r="G130" s="9" t="s">
        <v>11</v>
      </c>
      <c r="H130" s="9" t="s">
        <v>369</v>
      </c>
      <c r="K130" s="29">
        <v>0</v>
      </c>
      <c r="L130" s="29">
        <v>450000</v>
      </c>
      <c r="M130" s="29">
        <v>450000</v>
      </c>
      <c r="N130" s="29">
        <v>450000</v>
      </c>
      <c r="BE130" s="30">
        <f t="shared" si="6"/>
        <v>1350000</v>
      </c>
      <c r="BF130" s="6">
        <f t="shared" si="7"/>
        <v>3</v>
      </c>
    </row>
    <row r="131" spans="1:58">
      <c r="A131" s="9" t="s">
        <v>392</v>
      </c>
      <c r="B131" s="9" t="s">
        <v>391</v>
      </c>
      <c r="C131" s="11" t="s">
        <v>374</v>
      </c>
      <c r="D131" s="9" t="s">
        <v>373</v>
      </c>
      <c r="E131" s="9" t="s">
        <v>8</v>
      </c>
      <c r="F131" s="9"/>
      <c r="G131" s="9" t="s">
        <v>372</v>
      </c>
      <c r="H131" s="9" t="s">
        <v>370</v>
      </c>
      <c r="K131" s="29"/>
      <c r="L131" s="29"/>
      <c r="M131" s="29"/>
      <c r="N131" s="29"/>
      <c r="O131" s="29"/>
      <c r="P131" s="29">
        <v>450000</v>
      </c>
      <c r="Q131" s="29">
        <v>450000</v>
      </c>
      <c r="R131" s="29">
        <v>450000</v>
      </c>
      <c r="S131" s="29">
        <v>450000</v>
      </c>
      <c r="T131" s="29">
        <v>450000</v>
      </c>
      <c r="BE131" s="30">
        <f t="shared" si="6"/>
        <v>2250000</v>
      </c>
      <c r="BF131" s="6">
        <f t="shared" si="7"/>
        <v>5</v>
      </c>
    </row>
    <row r="132" spans="1:58">
      <c r="A132" s="9" t="s">
        <v>392</v>
      </c>
      <c r="B132" s="9" t="s">
        <v>391</v>
      </c>
      <c r="C132" s="11" t="s">
        <v>374</v>
      </c>
      <c r="D132" s="9" t="s">
        <v>373</v>
      </c>
      <c r="E132" s="9" t="s">
        <v>8</v>
      </c>
      <c r="F132" s="9"/>
      <c r="G132" s="9" t="s">
        <v>11</v>
      </c>
      <c r="H132" s="9" t="s">
        <v>371</v>
      </c>
      <c r="K132" s="29"/>
      <c r="L132" s="29"/>
      <c r="M132" s="29"/>
      <c r="N132" s="29"/>
      <c r="O132" s="29">
        <v>450000</v>
      </c>
      <c r="BE132" s="30">
        <f t="shared" si="6"/>
        <v>450000</v>
      </c>
      <c r="BF132" s="6">
        <f t="shared" si="7"/>
        <v>1</v>
      </c>
    </row>
    <row r="133" spans="1:58">
      <c r="A133" s="9" t="s">
        <v>392</v>
      </c>
      <c r="B133" s="9" t="s">
        <v>391</v>
      </c>
      <c r="C133" s="11" t="s">
        <v>380</v>
      </c>
      <c r="D133" s="9" t="s">
        <v>379</v>
      </c>
      <c r="E133" s="9" t="s">
        <v>132</v>
      </c>
      <c r="F133" s="9"/>
      <c r="G133" s="9" t="s">
        <v>0</v>
      </c>
      <c r="H133" s="9" t="s">
        <v>375</v>
      </c>
      <c r="K133" s="29">
        <v>0</v>
      </c>
      <c r="L133" s="29">
        <v>321000</v>
      </c>
      <c r="M133" s="29">
        <v>321000</v>
      </c>
      <c r="N133" s="29">
        <v>321000</v>
      </c>
      <c r="BE133" s="30">
        <f t="shared" si="6"/>
        <v>963000</v>
      </c>
      <c r="BF133" s="6">
        <f t="shared" si="7"/>
        <v>3</v>
      </c>
    </row>
    <row r="134" spans="1:58">
      <c r="A134" s="9" t="s">
        <v>392</v>
      </c>
      <c r="B134" s="9" t="s">
        <v>391</v>
      </c>
      <c r="C134" s="11" t="s">
        <v>380</v>
      </c>
      <c r="D134" s="9" t="s">
        <v>379</v>
      </c>
      <c r="E134" s="9" t="s">
        <v>132</v>
      </c>
      <c r="F134" s="9"/>
      <c r="G134" s="9" t="s">
        <v>378</v>
      </c>
      <c r="H134" s="9" t="s">
        <v>376</v>
      </c>
      <c r="L134" s="29"/>
      <c r="M134" s="29"/>
      <c r="N134" s="29"/>
      <c r="O134" s="29"/>
      <c r="P134" s="29">
        <v>321000</v>
      </c>
      <c r="Q134" s="29">
        <v>321000</v>
      </c>
      <c r="R134" s="29">
        <v>321000</v>
      </c>
      <c r="S134" s="29">
        <v>321000</v>
      </c>
      <c r="T134" s="29">
        <v>321000</v>
      </c>
      <c r="BE134" s="30">
        <f t="shared" si="6"/>
        <v>1605000</v>
      </c>
      <c r="BF134" s="6">
        <f t="shared" si="7"/>
        <v>5</v>
      </c>
    </row>
    <row r="135" spans="1:58">
      <c r="A135" s="9" t="s">
        <v>392</v>
      </c>
      <c r="B135" s="9" t="s">
        <v>391</v>
      </c>
      <c r="C135" s="11" t="s">
        <v>380</v>
      </c>
      <c r="D135" s="9" t="s">
        <v>379</v>
      </c>
      <c r="E135" s="9" t="s">
        <v>132</v>
      </c>
      <c r="F135" s="9"/>
      <c r="G135" s="9" t="s">
        <v>0</v>
      </c>
      <c r="H135" s="9" t="s">
        <v>377</v>
      </c>
      <c r="L135" s="29"/>
      <c r="M135" s="29"/>
      <c r="N135" s="29"/>
      <c r="O135" s="29">
        <v>321000</v>
      </c>
      <c r="BE135" s="30">
        <f t="shared" si="6"/>
        <v>321000</v>
      </c>
      <c r="BF135" s="6">
        <f t="shared" si="7"/>
        <v>1</v>
      </c>
    </row>
    <row r="136" spans="1:58">
      <c r="A136" s="9" t="s">
        <v>392</v>
      </c>
      <c r="B136" s="9" t="s">
        <v>391</v>
      </c>
      <c r="C136" s="11" t="s">
        <v>386</v>
      </c>
      <c r="D136" s="9" t="s">
        <v>385</v>
      </c>
      <c r="E136" s="9" t="s">
        <v>132</v>
      </c>
      <c r="F136" s="9"/>
      <c r="G136" s="9" t="s">
        <v>11</v>
      </c>
      <c r="H136" s="9" t="s">
        <v>381</v>
      </c>
      <c r="K136" s="29">
        <v>0</v>
      </c>
      <c r="L136" s="29">
        <v>750000</v>
      </c>
      <c r="M136" s="29">
        <v>750000</v>
      </c>
      <c r="N136" s="29">
        <v>750000</v>
      </c>
      <c r="BE136" s="30">
        <f t="shared" si="6"/>
        <v>2250000</v>
      </c>
      <c r="BF136" s="6">
        <f t="shared" si="7"/>
        <v>3</v>
      </c>
    </row>
    <row r="137" spans="1:58">
      <c r="A137" s="9" t="s">
        <v>392</v>
      </c>
      <c r="B137" s="9" t="s">
        <v>391</v>
      </c>
      <c r="C137" s="11" t="s">
        <v>386</v>
      </c>
      <c r="D137" s="9" t="s">
        <v>385</v>
      </c>
      <c r="E137" s="9" t="s">
        <v>132</v>
      </c>
      <c r="F137" s="9"/>
      <c r="G137" s="9" t="s">
        <v>384</v>
      </c>
      <c r="H137" s="9" t="s">
        <v>382</v>
      </c>
      <c r="K137" s="29"/>
      <c r="L137" s="29"/>
      <c r="M137" s="29"/>
      <c r="N137" s="29"/>
      <c r="O137" s="29"/>
      <c r="P137" s="29">
        <v>750000</v>
      </c>
      <c r="Q137" s="29">
        <v>750000</v>
      </c>
      <c r="R137" s="29">
        <v>750000</v>
      </c>
      <c r="S137" s="29">
        <v>750000</v>
      </c>
      <c r="T137" s="29">
        <v>750000</v>
      </c>
      <c r="U137" s="29">
        <v>750000</v>
      </c>
      <c r="V137" s="29">
        <v>750000</v>
      </c>
      <c r="W137" s="29">
        <v>750000</v>
      </c>
      <c r="X137" s="29">
        <v>750000</v>
      </c>
      <c r="Y137" s="29">
        <v>750000</v>
      </c>
      <c r="Z137" s="29">
        <v>750000</v>
      </c>
      <c r="AA137" s="29">
        <v>750000</v>
      </c>
      <c r="AB137" s="29">
        <v>750000</v>
      </c>
      <c r="AC137" s="29">
        <v>750000</v>
      </c>
      <c r="AD137" s="29">
        <v>750000</v>
      </c>
      <c r="AE137" s="29">
        <v>750000</v>
      </c>
      <c r="AF137" s="29">
        <v>750000</v>
      </c>
      <c r="AG137" s="29">
        <v>750000</v>
      </c>
      <c r="AH137" s="29">
        <v>750000</v>
      </c>
      <c r="AI137" s="29">
        <v>750000</v>
      </c>
      <c r="AJ137" s="29">
        <v>750000</v>
      </c>
      <c r="AK137" s="29">
        <v>750000</v>
      </c>
      <c r="AL137" s="29">
        <v>750000</v>
      </c>
      <c r="AM137" s="29">
        <v>750000</v>
      </c>
      <c r="AN137" s="29">
        <v>750000</v>
      </c>
      <c r="AO137" s="29">
        <v>750000</v>
      </c>
      <c r="AP137" s="29">
        <v>750000</v>
      </c>
      <c r="AQ137" s="29">
        <v>750000</v>
      </c>
      <c r="AR137" s="29">
        <v>750000</v>
      </c>
      <c r="AS137" s="6">
        <v>750000</v>
      </c>
      <c r="AT137" s="6">
        <v>750000</v>
      </c>
      <c r="AU137" s="6">
        <v>750000</v>
      </c>
      <c r="BE137" s="30">
        <f t="shared" si="6"/>
        <v>24000000</v>
      </c>
      <c r="BF137" s="6">
        <f t="shared" si="7"/>
        <v>32</v>
      </c>
    </row>
    <row r="138" spans="1:58">
      <c r="A138" s="9" t="s">
        <v>392</v>
      </c>
      <c r="B138" s="9" t="s">
        <v>391</v>
      </c>
      <c r="C138" s="11" t="s">
        <v>386</v>
      </c>
      <c r="D138" s="9" t="s">
        <v>385</v>
      </c>
      <c r="E138" s="9" t="s">
        <v>132</v>
      </c>
      <c r="F138" s="9"/>
      <c r="G138" s="9" t="s">
        <v>11</v>
      </c>
      <c r="H138" s="9" t="s">
        <v>383</v>
      </c>
      <c r="K138" s="29"/>
      <c r="L138" s="29"/>
      <c r="M138" s="29"/>
      <c r="N138" s="29"/>
      <c r="O138" s="29">
        <v>750000</v>
      </c>
      <c r="BE138" s="30">
        <f t="shared" si="6"/>
        <v>750000</v>
      </c>
      <c r="BF138" s="6">
        <f t="shared" si="7"/>
        <v>1</v>
      </c>
    </row>
    <row r="139" spans="1:58">
      <c r="A139" s="9" t="s">
        <v>392</v>
      </c>
      <c r="B139" s="9" t="s">
        <v>391</v>
      </c>
      <c r="C139" s="11" t="s">
        <v>390</v>
      </c>
      <c r="D139" s="9" t="s">
        <v>389</v>
      </c>
      <c r="E139" s="9" t="s">
        <v>132</v>
      </c>
      <c r="F139" s="9"/>
      <c r="G139" s="9" t="s">
        <v>388</v>
      </c>
      <c r="H139" s="9" t="s">
        <v>387</v>
      </c>
      <c r="N139" s="29"/>
      <c r="O139" s="29"/>
      <c r="P139" s="29">
        <v>0</v>
      </c>
      <c r="Q139" s="29">
        <v>0</v>
      </c>
      <c r="R139" s="29">
        <v>0</v>
      </c>
      <c r="S139" s="29">
        <v>0</v>
      </c>
      <c r="T139" s="29">
        <v>3600000</v>
      </c>
      <c r="U139" s="29">
        <v>600000</v>
      </c>
      <c r="V139" s="29">
        <v>600000</v>
      </c>
      <c r="W139" s="29">
        <v>600000</v>
      </c>
      <c r="X139" s="29">
        <v>600000</v>
      </c>
      <c r="Y139" s="29">
        <v>600000</v>
      </c>
      <c r="Z139" s="29">
        <v>600000</v>
      </c>
      <c r="AB139" s="29">
        <v>600000</v>
      </c>
      <c r="AC139" s="29">
        <v>600000</v>
      </c>
      <c r="AD139" s="29">
        <v>600000</v>
      </c>
      <c r="AE139" s="29">
        <v>600000</v>
      </c>
      <c r="BE139" s="30">
        <f t="shared" si="6"/>
        <v>9600000</v>
      </c>
      <c r="BF139" s="6">
        <f t="shared" si="7"/>
        <v>11</v>
      </c>
    </row>
    <row r="140" spans="1:58">
      <c r="A140" s="9" t="s">
        <v>416</v>
      </c>
      <c r="B140" s="9" t="s">
        <v>261</v>
      </c>
      <c r="C140" s="11" t="s">
        <v>397</v>
      </c>
      <c r="D140" s="9" t="s">
        <v>396</v>
      </c>
      <c r="E140" s="9" t="s">
        <v>395</v>
      </c>
      <c r="F140" s="9"/>
      <c r="G140" s="9" t="s">
        <v>394</v>
      </c>
      <c r="H140" s="9" t="s">
        <v>393</v>
      </c>
      <c r="L140" s="29">
        <v>23855</v>
      </c>
      <c r="M140" s="29">
        <v>35855</v>
      </c>
      <c r="N140" s="29">
        <v>20000</v>
      </c>
      <c r="BE140" s="30">
        <f t="shared" ref="BE140:BE145" si="8">SUM(I140:BD140)</f>
        <v>79710</v>
      </c>
      <c r="BF140" s="6">
        <f t="shared" ref="BF140:BF145" si="9">COUNTIF(I140:BD140, "&gt;0")</f>
        <v>3</v>
      </c>
    </row>
    <row r="141" spans="1:58">
      <c r="A141" s="9" t="s">
        <v>416</v>
      </c>
      <c r="B141" s="9" t="s">
        <v>261</v>
      </c>
      <c r="C141" s="11" t="s">
        <v>402</v>
      </c>
      <c r="D141" s="9" t="s">
        <v>401</v>
      </c>
      <c r="E141" s="9" t="s">
        <v>400</v>
      </c>
      <c r="F141" s="9"/>
      <c r="G141" s="9" t="s">
        <v>399</v>
      </c>
      <c r="H141" s="9" t="s">
        <v>398</v>
      </c>
      <c r="M141" s="29">
        <v>0</v>
      </c>
      <c r="N141" s="29">
        <v>350000</v>
      </c>
      <c r="BE141" s="30">
        <f t="shared" si="8"/>
        <v>350000</v>
      </c>
      <c r="BF141" s="6">
        <f t="shared" si="9"/>
        <v>1</v>
      </c>
    </row>
    <row r="142" spans="1:58">
      <c r="A142" s="9" t="s">
        <v>416</v>
      </c>
      <c r="B142" s="9" t="s">
        <v>391</v>
      </c>
      <c r="C142" s="11" t="s">
        <v>407</v>
      </c>
      <c r="D142" s="9" t="s">
        <v>406</v>
      </c>
      <c r="E142" s="9" t="s">
        <v>405</v>
      </c>
      <c r="F142" s="9"/>
      <c r="G142" s="9" t="s">
        <v>404</v>
      </c>
      <c r="H142" s="9" t="s">
        <v>403</v>
      </c>
      <c r="M142" s="29">
        <v>9236</v>
      </c>
      <c r="N142" s="29">
        <v>32800</v>
      </c>
      <c r="BE142" s="30">
        <f t="shared" si="8"/>
        <v>42036</v>
      </c>
      <c r="BF142" s="6">
        <f t="shared" si="9"/>
        <v>2</v>
      </c>
    </row>
    <row r="143" spans="1:58">
      <c r="A143" s="9" t="s">
        <v>416</v>
      </c>
      <c r="B143" s="9" t="s">
        <v>391</v>
      </c>
      <c r="C143" s="11" t="s">
        <v>415</v>
      </c>
      <c r="D143" s="9" t="s">
        <v>414</v>
      </c>
      <c r="E143" s="9" t="s">
        <v>413</v>
      </c>
      <c r="F143" s="9"/>
      <c r="G143" s="9" t="s">
        <v>409</v>
      </c>
      <c r="H143" s="9" t="s">
        <v>408</v>
      </c>
      <c r="L143" s="29">
        <v>0</v>
      </c>
      <c r="M143" s="29">
        <v>1560000</v>
      </c>
      <c r="N143" s="29">
        <v>1200000</v>
      </c>
      <c r="BE143" s="30">
        <f t="shared" si="8"/>
        <v>2760000</v>
      </c>
      <c r="BF143" s="6">
        <f t="shared" si="9"/>
        <v>2</v>
      </c>
    </row>
    <row r="144" spans="1:58">
      <c r="A144" s="9" t="s">
        <v>416</v>
      </c>
      <c r="B144" s="9" t="s">
        <v>391</v>
      </c>
      <c r="C144" s="11" t="s">
        <v>415</v>
      </c>
      <c r="D144" s="9" t="s">
        <v>414</v>
      </c>
      <c r="E144" s="9" t="s">
        <v>413</v>
      </c>
      <c r="F144" s="9"/>
      <c r="G144" s="9" t="s">
        <v>412</v>
      </c>
      <c r="H144" s="9" t="s">
        <v>410</v>
      </c>
      <c r="L144" s="29"/>
      <c r="M144" s="29"/>
      <c r="N144" s="29"/>
      <c r="O144" s="29"/>
      <c r="P144" s="29">
        <v>1200000</v>
      </c>
      <c r="Q144" s="29">
        <v>1200000</v>
      </c>
      <c r="R144" s="29">
        <v>1200000</v>
      </c>
      <c r="S144" s="29">
        <v>1200000</v>
      </c>
      <c r="T144" s="29">
        <v>1200000</v>
      </c>
      <c r="BE144" s="30">
        <f t="shared" si="8"/>
        <v>6000000</v>
      </c>
      <c r="BF144" s="6">
        <f t="shared" si="9"/>
        <v>5</v>
      </c>
    </row>
    <row r="145" spans="1:58">
      <c r="A145" s="9" t="s">
        <v>416</v>
      </c>
      <c r="B145" s="9" t="s">
        <v>391</v>
      </c>
      <c r="C145" s="11" t="s">
        <v>415</v>
      </c>
      <c r="D145" s="9" t="s">
        <v>414</v>
      </c>
      <c r="E145" s="9" t="s">
        <v>413</v>
      </c>
      <c r="F145" s="9"/>
      <c r="G145" s="9" t="s">
        <v>17</v>
      </c>
      <c r="H145" s="9" t="s">
        <v>411</v>
      </c>
      <c r="L145" s="29"/>
      <c r="M145" s="29"/>
      <c r="N145" s="29"/>
      <c r="O145" s="29">
        <v>1200000</v>
      </c>
      <c r="BE145" s="30">
        <f t="shared" si="8"/>
        <v>1200000</v>
      </c>
      <c r="BF145" s="6">
        <f t="shared" si="9"/>
        <v>1</v>
      </c>
    </row>
    <row r="146" spans="1:58">
      <c r="A146" s="9" t="s">
        <v>674</v>
      </c>
      <c r="B146" s="9" t="s">
        <v>30</v>
      </c>
      <c r="C146" s="11" t="s">
        <v>421</v>
      </c>
      <c r="D146" s="9" t="s">
        <v>420</v>
      </c>
      <c r="E146" s="9" t="s">
        <v>2</v>
      </c>
      <c r="F146" s="9"/>
      <c r="G146" s="9" t="s">
        <v>17</v>
      </c>
      <c r="H146" s="9" t="s">
        <v>419</v>
      </c>
      <c r="I146" s="29">
        <v>0</v>
      </c>
      <c r="J146" s="29">
        <v>0</v>
      </c>
      <c r="K146" s="29">
        <v>24582</v>
      </c>
      <c r="L146" s="29">
        <v>0</v>
      </c>
      <c r="M146" s="29">
        <v>0</v>
      </c>
      <c r="N146" s="29">
        <v>0</v>
      </c>
      <c r="BE146" s="30">
        <f t="shared" ref="BE146" si="10">SUM(I146:BD146)</f>
        <v>24582</v>
      </c>
      <c r="BF146" s="6">
        <f t="shared" ref="BF146" si="11">COUNTIF(I146:BD146, "&gt;0")</f>
        <v>1</v>
      </c>
    </row>
    <row r="147" spans="1:58">
      <c r="A147" s="9" t="s">
        <v>674</v>
      </c>
      <c r="B147" s="9" t="s">
        <v>80</v>
      </c>
      <c r="C147" s="11" t="s">
        <v>691</v>
      </c>
      <c r="D147" s="9" t="s">
        <v>428</v>
      </c>
      <c r="E147" s="9" t="s">
        <v>195</v>
      </c>
      <c r="F147" s="9" t="s">
        <v>0</v>
      </c>
      <c r="G147" s="9" t="s">
        <v>1</v>
      </c>
      <c r="H147" s="9" t="s">
        <v>423</v>
      </c>
      <c r="I147" s="29">
        <v>340000</v>
      </c>
      <c r="J147" s="29">
        <v>340000</v>
      </c>
      <c r="K147" s="29">
        <v>340000</v>
      </c>
      <c r="L147" s="29">
        <v>340000</v>
      </c>
      <c r="M147" s="29">
        <v>340000</v>
      </c>
      <c r="N147" s="29">
        <v>340000</v>
      </c>
      <c r="BE147" s="30">
        <f t="shared" ref="BE147:BE149" si="12">SUM(I147:BD147)</f>
        <v>2040000</v>
      </c>
      <c r="BF147" s="6">
        <f t="shared" ref="BF147:BF149" si="13">COUNTIF(I147:BD147, "&gt;0")</f>
        <v>6</v>
      </c>
    </row>
    <row r="148" spans="1:58">
      <c r="A148" s="9" t="s">
        <v>674</v>
      </c>
      <c r="B148" s="9" t="s">
        <v>80</v>
      </c>
      <c r="C148" s="11" t="s">
        <v>691</v>
      </c>
      <c r="D148" s="9" t="s">
        <v>428</v>
      </c>
      <c r="E148" s="9" t="s">
        <v>195</v>
      </c>
      <c r="F148" s="9" t="s">
        <v>427</v>
      </c>
      <c r="G148" s="9" t="s">
        <v>426</v>
      </c>
      <c r="H148" s="9" t="s">
        <v>424</v>
      </c>
      <c r="I148" s="29"/>
      <c r="J148" s="29"/>
      <c r="K148" s="29"/>
      <c r="L148" s="29"/>
      <c r="M148" s="29"/>
      <c r="N148" s="29"/>
      <c r="O148" s="29"/>
      <c r="P148" s="29">
        <v>340000</v>
      </c>
      <c r="Q148" s="29">
        <v>340000</v>
      </c>
      <c r="R148" s="29">
        <v>340000</v>
      </c>
      <c r="S148" s="29">
        <v>340000</v>
      </c>
      <c r="T148" s="29">
        <v>340000</v>
      </c>
      <c r="U148" s="29">
        <v>340000</v>
      </c>
      <c r="V148" s="29">
        <v>340000</v>
      </c>
      <c r="W148" s="29">
        <v>340000</v>
      </c>
      <c r="X148" s="29">
        <v>340000</v>
      </c>
      <c r="Y148" s="29">
        <v>340000</v>
      </c>
      <c r="Z148" s="29">
        <v>340000</v>
      </c>
      <c r="AA148" s="29">
        <v>340000</v>
      </c>
      <c r="AB148" s="29">
        <v>340000</v>
      </c>
      <c r="AC148" s="29">
        <v>340000</v>
      </c>
      <c r="AD148" s="29">
        <v>340000</v>
      </c>
      <c r="AE148" s="29">
        <v>340000</v>
      </c>
      <c r="AF148" s="29">
        <v>340000</v>
      </c>
      <c r="AG148" s="29">
        <v>340000</v>
      </c>
      <c r="AH148" s="29">
        <v>340000</v>
      </c>
      <c r="AI148" s="29">
        <v>340000</v>
      </c>
      <c r="AJ148" s="29">
        <v>340000</v>
      </c>
      <c r="AK148" s="29">
        <v>340000</v>
      </c>
      <c r="AL148" s="29">
        <v>340000</v>
      </c>
      <c r="BE148" s="30">
        <f t="shared" si="12"/>
        <v>7820000</v>
      </c>
      <c r="BF148" s="6">
        <f t="shared" si="13"/>
        <v>23</v>
      </c>
    </row>
    <row r="149" spans="1:58">
      <c r="A149" s="9" t="s">
        <v>674</v>
      </c>
      <c r="B149" s="9" t="s">
        <v>80</v>
      </c>
      <c r="C149" s="11" t="s">
        <v>691</v>
      </c>
      <c r="D149" s="9" t="s">
        <v>428</v>
      </c>
      <c r="E149" s="9" t="s">
        <v>195</v>
      </c>
      <c r="F149" s="9" t="s">
        <v>194</v>
      </c>
      <c r="G149" s="9" t="s">
        <v>1</v>
      </c>
      <c r="H149" s="9" t="s">
        <v>425</v>
      </c>
      <c r="I149" s="29"/>
      <c r="J149" s="29"/>
      <c r="K149" s="29"/>
      <c r="L149" s="29"/>
      <c r="M149" s="29"/>
      <c r="N149" s="29"/>
      <c r="O149" s="29">
        <v>340000</v>
      </c>
      <c r="BE149" s="30">
        <f t="shared" si="12"/>
        <v>340000</v>
      </c>
      <c r="BF149" s="6">
        <f t="shared" si="13"/>
        <v>1</v>
      </c>
    </row>
    <row r="150" spans="1:58">
      <c r="A150" s="9" t="s">
        <v>674</v>
      </c>
      <c r="B150" s="9" t="s">
        <v>80</v>
      </c>
      <c r="C150" s="11" t="s">
        <v>432</v>
      </c>
      <c r="D150" s="9" t="s">
        <v>431</v>
      </c>
      <c r="E150" s="9" t="s">
        <v>2</v>
      </c>
      <c r="F150" s="9"/>
      <c r="G150" s="9" t="s">
        <v>17</v>
      </c>
      <c r="H150" s="9" t="s">
        <v>430</v>
      </c>
      <c r="I150" s="29">
        <v>0</v>
      </c>
      <c r="J150" s="29">
        <v>0</v>
      </c>
      <c r="K150" s="29">
        <v>40909</v>
      </c>
      <c r="L150" s="29">
        <v>0</v>
      </c>
      <c r="M150" s="29">
        <v>0</v>
      </c>
      <c r="N150" s="29">
        <v>0</v>
      </c>
      <c r="BE150" s="30">
        <f t="shared" ref="BE150" si="14">SUM(I150:BD150)</f>
        <v>40909</v>
      </c>
      <c r="BF150" s="6">
        <f t="shared" ref="BF150" si="15">COUNTIF(I150:BD150, "&gt;0")</f>
        <v>1</v>
      </c>
    </row>
    <row r="151" spans="1:58">
      <c r="A151" s="9" t="s">
        <v>674</v>
      </c>
      <c r="B151" s="9" t="s">
        <v>152</v>
      </c>
      <c r="C151" s="11" t="s">
        <v>696</v>
      </c>
      <c r="D151" s="9" t="s">
        <v>438</v>
      </c>
      <c r="E151" s="9" t="s">
        <v>195</v>
      </c>
      <c r="F151" s="9" t="s">
        <v>0</v>
      </c>
      <c r="G151" s="9" t="s">
        <v>1</v>
      </c>
      <c r="H151" s="9" t="s">
        <v>433</v>
      </c>
      <c r="I151" s="29">
        <v>0</v>
      </c>
      <c r="J151" s="29">
        <v>114479545</v>
      </c>
      <c r="K151" s="29">
        <v>19590001</v>
      </c>
      <c r="L151" s="29">
        <v>36781816</v>
      </c>
      <c r="M151" s="29">
        <v>34359544</v>
      </c>
      <c r="N151" s="29">
        <v>51570000</v>
      </c>
      <c r="BE151" s="30">
        <f t="shared" ref="BE151:BE156" si="16">SUM(I151:BD151)</f>
        <v>256780906</v>
      </c>
      <c r="BF151" s="6">
        <f t="shared" ref="BF151:BF156" si="17">COUNTIF(I151:BD151, "&gt;0")</f>
        <v>5</v>
      </c>
    </row>
    <row r="152" spans="1:58">
      <c r="A152" s="9" t="s">
        <v>674</v>
      </c>
      <c r="B152" s="9" t="s">
        <v>152</v>
      </c>
      <c r="C152" s="11" t="s">
        <v>696</v>
      </c>
      <c r="D152" s="9" t="s">
        <v>438</v>
      </c>
      <c r="E152" s="9" t="s">
        <v>195</v>
      </c>
      <c r="F152" s="9" t="s">
        <v>437</v>
      </c>
      <c r="G152" s="9" t="s">
        <v>436</v>
      </c>
      <c r="H152" s="9" t="s">
        <v>434</v>
      </c>
      <c r="I152" s="29"/>
      <c r="J152" s="29"/>
      <c r="K152" s="29"/>
      <c r="L152" s="29"/>
      <c r="M152" s="29"/>
      <c r="N152" s="29"/>
      <c r="O152" s="29"/>
      <c r="P152" s="29">
        <v>20000000</v>
      </c>
      <c r="Q152" s="29">
        <v>20000000</v>
      </c>
      <c r="R152" s="29">
        <v>20000000</v>
      </c>
      <c r="S152" s="29">
        <v>20000000</v>
      </c>
      <c r="T152" s="29">
        <v>20000000</v>
      </c>
      <c r="U152" s="29">
        <v>20000000</v>
      </c>
      <c r="V152" s="29">
        <v>20000000</v>
      </c>
      <c r="W152" s="29">
        <v>20000000</v>
      </c>
      <c r="X152" s="29">
        <v>20000000</v>
      </c>
      <c r="Y152" s="29">
        <v>20000000</v>
      </c>
      <c r="Z152" s="29">
        <v>20000000</v>
      </c>
      <c r="AA152" s="29">
        <v>20000000</v>
      </c>
      <c r="AB152" s="29">
        <v>20000000</v>
      </c>
      <c r="AC152" s="29">
        <v>20000000</v>
      </c>
      <c r="AD152" s="29">
        <v>20000000</v>
      </c>
      <c r="AE152" s="29">
        <v>20000000</v>
      </c>
      <c r="AF152" s="29">
        <v>20000000</v>
      </c>
      <c r="AG152" s="29">
        <v>20000000</v>
      </c>
      <c r="AH152" s="29">
        <v>20000000</v>
      </c>
      <c r="AI152" s="29">
        <v>20000000</v>
      </c>
      <c r="AJ152" s="29">
        <v>20000000</v>
      </c>
      <c r="AK152" s="29">
        <v>20000000</v>
      </c>
      <c r="AL152" s="29">
        <v>20000000</v>
      </c>
      <c r="AM152" s="29">
        <v>20000000</v>
      </c>
      <c r="AN152" s="29">
        <v>20000000</v>
      </c>
      <c r="AO152" s="29">
        <v>20000000</v>
      </c>
      <c r="AP152" s="29">
        <v>20000000</v>
      </c>
      <c r="AQ152" s="29">
        <v>20000000</v>
      </c>
      <c r="AR152" s="29">
        <v>20000000</v>
      </c>
      <c r="AS152" s="6">
        <v>20000000</v>
      </c>
      <c r="AT152" s="6">
        <v>20000000</v>
      </c>
      <c r="AU152" s="6">
        <v>20000000</v>
      </c>
      <c r="AV152" s="6">
        <v>20000000</v>
      </c>
      <c r="AW152" s="6">
        <v>20000000</v>
      </c>
      <c r="AX152" s="6">
        <v>20000000</v>
      </c>
      <c r="AY152" s="6">
        <v>20000000</v>
      </c>
      <c r="AZ152" s="6">
        <v>20000000</v>
      </c>
      <c r="BA152" s="6">
        <v>20000000</v>
      </c>
      <c r="BB152" s="6">
        <v>20000000</v>
      </c>
      <c r="BC152" s="6">
        <v>20000000</v>
      </c>
      <c r="BD152" s="6">
        <v>20000000</v>
      </c>
      <c r="BE152" s="30">
        <f t="shared" si="16"/>
        <v>820000000</v>
      </c>
      <c r="BF152" s="6">
        <f t="shared" si="17"/>
        <v>41</v>
      </c>
    </row>
    <row r="153" spans="1:58">
      <c r="A153" s="9" t="s">
        <v>674</v>
      </c>
      <c r="B153" s="9" t="s">
        <v>152</v>
      </c>
      <c r="C153" s="11" t="s">
        <v>696</v>
      </c>
      <c r="D153" s="9" t="s">
        <v>438</v>
      </c>
      <c r="E153" s="9" t="s">
        <v>195</v>
      </c>
      <c r="F153" s="9" t="s">
        <v>422</v>
      </c>
      <c r="G153" s="9" t="s">
        <v>1</v>
      </c>
      <c r="H153" s="9" t="s">
        <v>435</v>
      </c>
      <c r="I153" s="29"/>
      <c r="J153" s="29"/>
      <c r="K153" s="29"/>
      <c r="L153" s="29"/>
      <c r="M153" s="29"/>
      <c r="N153" s="29"/>
      <c r="O153" s="29">
        <v>20000000</v>
      </c>
      <c r="BE153" s="30">
        <f t="shared" si="16"/>
        <v>20000000</v>
      </c>
      <c r="BF153" s="6">
        <f t="shared" si="17"/>
        <v>1</v>
      </c>
    </row>
    <row r="154" spans="1:58">
      <c r="A154" s="9" t="s">
        <v>674</v>
      </c>
      <c r="B154" s="9" t="s">
        <v>152</v>
      </c>
      <c r="C154" s="11" t="s">
        <v>445</v>
      </c>
      <c r="D154" s="9" t="s">
        <v>444</v>
      </c>
      <c r="E154" s="9" t="s">
        <v>413</v>
      </c>
      <c r="F154" s="9"/>
      <c r="G154" s="9" t="s">
        <v>17</v>
      </c>
      <c r="H154" s="9" t="s">
        <v>440</v>
      </c>
      <c r="I154" s="29">
        <v>0</v>
      </c>
      <c r="J154" s="29">
        <v>6425000</v>
      </c>
      <c r="K154" s="29">
        <v>6425000</v>
      </c>
      <c r="L154" s="29">
        <v>9875000</v>
      </c>
      <c r="M154" s="29">
        <v>9919000</v>
      </c>
      <c r="N154" s="29">
        <v>15903000</v>
      </c>
      <c r="BE154" s="30">
        <f t="shared" si="16"/>
        <v>48547000</v>
      </c>
      <c r="BF154" s="6">
        <f t="shared" si="17"/>
        <v>5</v>
      </c>
    </row>
    <row r="155" spans="1:58">
      <c r="A155" s="9" t="s">
        <v>674</v>
      </c>
      <c r="B155" s="9" t="s">
        <v>152</v>
      </c>
      <c r="C155" s="11" t="s">
        <v>445</v>
      </c>
      <c r="D155" s="9" t="s">
        <v>444</v>
      </c>
      <c r="E155" s="9" t="s">
        <v>413</v>
      </c>
      <c r="F155" s="9"/>
      <c r="G155" s="9" t="s">
        <v>443</v>
      </c>
      <c r="H155" s="9" t="s">
        <v>441</v>
      </c>
      <c r="I155" s="29"/>
      <c r="J155" s="29"/>
      <c r="K155" s="29"/>
      <c r="L155" s="29"/>
      <c r="M155" s="29"/>
      <c r="N155" s="29"/>
      <c r="O155" s="29"/>
      <c r="P155" s="29">
        <v>6425000</v>
      </c>
      <c r="Q155" s="29">
        <v>6425000</v>
      </c>
      <c r="R155" s="29">
        <v>6425000</v>
      </c>
      <c r="S155" s="29">
        <v>6425000</v>
      </c>
      <c r="T155" s="29">
        <v>6425000</v>
      </c>
      <c r="BE155" s="30">
        <f t="shared" si="16"/>
        <v>32125000</v>
      </c>
      <c r="BF155" s="6">
        <f t="shared" si="17"/>
        <v>5</v>
      </c>
    </row>
    <row r="156" spans="1:58">
      <c r="A156" s="9" t="s">
        <v>674</v>
      </c>
      <c r="B156" s="9" t="s">
        <v>152</v>
      </c>
      <c r="C156" s="11" t="s">
        <v>445</v>
      </c>
      <c r="D156" s="9" t="s">
        <v>444</v>
      </c>
      <c r="E156" s="9" t="s">
        <v>413</v>
      </c>
      <c r="F156" s="9"/>
      <c r="G156" s="9" t="s">
        <v>17</v>
      </c>
      <c r="H156" s="9" t="s">
        <v>442</v>
      </c>
      <c r="I156" s="29"/>
      <c r="J156" s="29"/>
      <c r="K156" s="29"/>
      <c r="L156" s="29"/>
      <c r="M156" s="29"/>
      <c r="N156" s="29"/>
      <c r="O156" s="29">
        <v>6425000</v>
      </c>
      <c r="BE156" s="30">
        <f t="shared" si="16"/>
        <v>6425000</v>
      </c>
      <c r="BF156" s="6">
        <f t="shared" si="17"/>
        <v>1</v>
      </c>
    </row>
    <row r="157" spans="1:58">
      <c r="A157" s="9" t="s">
        <v>674</v>
      </c>
      <c r="B157" s="9" t="s">
        <v>152</v>
      </c>
      <c r="C157" s="11" t="s">
        <v>451</v>
      </c>
      <c r="D157" s="9" t="s">
        <v>450</v>
      </c>
      <c r="E157" s="9" t="s">
        <v>2</v>
      </c>
      <c r="F157" s="9"/>
      <c r="G157" s="9" t="s">
        <v>17</v>
      </c>
      <c r="H157" s="9" t="s">
        <v>446</v>
      </c>
      <c r="I157" s="29">
        <v>0</v>
      </c>
      <c r="J157" s="29">
        <v>0</v>
      </c>
      <c r="K157" s="29">
        <v>80945</v>
      </c>
      <c r="L157" s="29">
        <v>16291</v>
      </c>
      <c r="M157" s="29">
        <v>22255</v>
      </c>
      <c r="N157" s="29">
        <v>22255</v>
      </c>
      <c r="BE157" s="30">
        <f t="shared" ref="BE157:BE165" si="18">SUM(I157:BD157)</f>
        <v>141746</v>
      </c>
      <c r="BF157" s="6">
        <f t="shared" ref="BF157:BF165" si="19">COUNTIF(I157:BD157, "&gt;0")</f>
        <v>4</v>
      </c>
    </row>
    <row r="158" spans="1:58">
      <c r="A158" s="9" t="s">
        <v>674</v>
      </c>
      <c r="B158" s="9" t="s">
        <v>152</v>
      </c>
      <c r="C158" s="11" t="s">
        <v>451</v>
      </c>
      <c r="D158" s="9" t="s">
        <v>450</v>
      </c>
      <c r="E158" s="9" t="s">
        <v>2</v>
      </c>
      <c r="F158" s="9"/>
      <c r="G158" s="9" t="s">
        <v>449</v>
      </c>
      <c r="H158" s="9" t="s">
        <v>447</v>
      </c>
      <c r="I158" s="29"/>
      <c r="J158" s="29"/>
      <c r="K158" s="29"/>
      <c r="L158" s="29"/>
      <c r="M158" s="29"/>
      <c r="N158" s="29"/>
      <c r="O158" s="29"/>
      <c r="P158" s="29">
        <v>17000</v>
      </c>
      <c r="Q158" s="29">
        <v>17000</v>
      </c>
      <c r="R158" s="29">
        <v>17000</v>
      </c>
      <c r="S158" s="29">
        <v>17000</v>
      </c>
      <c r="T158" s="29">
        <v>17000</v>
      </c>
      <c r="BE158" s="30">
        <f t="shared" si="18"/>
        <v>85000</v>
      </c>
      <c r="BF158" s="6">
        <f t="shared" si="19"/>
        <v>5</v>
      </c>
    </row>
    <row r="159" spans="1:58">
      <c r="A159" s="9" t="s">
        <v>674</v>
      </c>
      <c r="B159" s="9" t="s">
        <v>152</v>
      </c>
      <c r="C159" s="11" t="s">
        <v>451</v>
      </c>
      <c r="D159" s="9" t="s">
        <v>450</v>
      </c>
      <c r="E159" s="9" t="s">
        <v>2</v>
      </c>
      <c r="F159" s="9"/>
      <c r="G159" s="9" t="s">
        <v>17</v>
      </c>
      <c r="H159" s="9" t="s">
        <v>448</v>
      </c>
      <c r="I159" s="29"/>
      <c r="J159" s="29"/>
      <c r="K159" s="29"/>
      <c r="L159" s="29"/>
      <c r="M159" s="29"/>
      <c r="N159" s="29"/>
      <c r="O159" s="29">
        <v>17000</v>
      </c>
      <c r="BE159" s="30">
        <f t="shared" si="18"/>
        <v>17000</v>
      </c>
      <c r="BF159" s="6">
        <f t="shared" si="19"/>
        <v>1</v>
      </c>
    </row>
    <row r="160" spans="1:58">
      <c r="A160" s="9" t="s">
        <v>674</v>
      </c>
      <c r="B160" s="9" t="s">
        <v>192</v>
      </c>
      <c r="C160" s="11" t="s">
        <v>697</v>
      </c>
      <c r="D160" s="9" t="s">
        <v>459</v>
      </c>
      <c r="E160" s="9" t="s">
        <v>195</v>
      </c>
      <c r="F160" s="9" t="s">
        <v>0</v>
      </c>
      <c r="G160" s="9" t="s">
        <v>11</v>
      </c>
      <c r="H160" s="9" t="s">
        <v>454</v>
      </c>
      <c r="I160" s="29">
        <v>11202964</v>
      </c>
      <c r="J160" s="29">
        <v>9129982</v>
      </c>
      <c r="K160" s="29">
        <v>18768346</v>
      </c>
      <c r="L160" s="29">
        <v>13423491</v>
      </c>
      <c r="M160" s="29">
        <v>13225164</v>
      </c>
      <c r="N160" s="29">
        <v>12320291</v>
      </c>
      <c r="BE160" s="30">
        <f t="shared" si="18"/>
        <v>78070238</v>
      </c>
      <c r="BF160" s="6">
        <f t="shared" si="19"/>
        <v>6</v>
      </c>
    </row>
    <row r="161" spans="1:58">
      <c r="A161" s="9" t="s">
        <v>674</v>
      </c>
      <c r="B161" s="9" t="s">
        <v>192</v>
      </c>
      <c r="C161" s="11" t="s">
        <v>697</v>
      </c>
      <c r="D161" s="9" t="s">
        <v>459</v>
      </c>
      <c r="E161" s="9" t="s">
        <v>195</v>
      </c>
      <c r="F161" s="9" t="s">
        <v>458</v>
      </c>
      <c r="G161" s="9" t="s">
        <v>457</v>
      </c>
      <c r="H161" s="9" t="s">
        <v>455</v>
      </c>
      <c r="I161" s="29"/>
      <c r="J161" s="29"/>
      <c r="K161" s="29"/>
      <c r="L161" s="29"/>
      <c r="M161" s="29"/>
      <c r="N161" s="29"/>
      <c r="O161" s="29"/>
      <c r="P161" s="29">
        <v>12000000</v>
      </c>
      <c r="Q161" s="29">
        <v>12000000</v>
      </c>
      <c r="R161" s="29">
        <v>12000000</v>
      </c>
      <c r="S161" s="29">
        <v>12000000</v>
      </c>
      <c r="T161" s="29">
        <v>12000000</v>
      </c>
      <c r="U161" s="29">
        <v>13000000</v>
      </c>
      <c r="V161" s="29">
        <v>13000000</v>
      </c>
      <c r="W161" s="29">
        <v>13000000</v>
      </c>
      <c r="X161" s="29">
        <v>13000000</v>
      </c>
      <c r="Y161" s="29">
        <v>13000000</v>
      </c>
      <c r="Z161" s="29">
        <v>13000000</v>
      </c>
      <c r="AA161" s="29">
        <v>13000000</v>
      </c>
      <c r="AB161" s="29">
        <v>13000000</v>
      </c>
      <c r="AC161" s="29">
        <v>13000000</v>
      </c>
      <c r="AD161" s="29">
        <v>13000000</v>
      </c>
      <c r="AE161" s="29">
        <v>13000000</v>
      </c>
      <c r="AF161" s="29">
        <v>13000000</v>
      </c>
      <c r="AG161" s="29">
        <v>13000000</v>
      </c>
      <c r="AH161" s="29">
        <v>13000000</v>
      </c>
      <c r="AI161" s="29">
        <v>13000000</v>
      </c>
      <c r="AJ161" s="29">
        <v>13000000</v>
      </c>
      <c r="AK161" s="29">
        <v>13000000</v>
      </c>
      <c r="AL161" s="29">
        <v>13000000</v>
      </c>
      <c r="AM161" s="29">
        <v>13000000</v>
      </c>
      <c r="AN161" s="29">
        <v>13000000</v>
      </c>
      <c r="AO161" s="29">
        <v>13000000</v>
      </c>
      <c r="AP161" s="29">
        <v>13000000</v>
      </c>
      <c r="AQ161" s="29">
        <v>13000000</v>
      </c>
      <c r="AR161" s="29">
        <v>13000000</v>
      </c>
      <c r="AS161" s="6">
        <v>13000000</v>
      </c>
      <c r="AT161" s="6">
        <v>13000000</v>
      </c>
      <c r="AU161" s="6">
        <v>13000000</v>
      </c>
      <c r="AV161" s="6">
        <v>13000000</v>
      </c>
      <c r="AW161" s="6">
        <v>13000000</v>
      </c>
      <c r="AX161" s="6">
        <v>13000000</v>
      </c>
      <c r="AY161" s="6">
        <v>13000000</v>
      </c>
      <c r="AZ161" s="6">
        <v>13000000</v>
      </c>
      <c r="BA161" s="6">
        <v>13000000</v>
      </c>
      <c r="BB161" s="6">
        <v>13000000</v>
      </c>
      <c r="BE161" s="30">
        <f t="shared" si="18"/>
        <v>502000000</v>
      </c>
      <c r="BF161" s="6">
        <f t="shared" si="19"/>
        <v>39</v>
      </c>
    </row>
    <row r="162" spans="1:58">
      <c r="A162" s="9" t="s">
        <v>674</v>
      </c>
      <c r="B162" s="9" t="s">
        <v>192</v>
      </c>
      <c r="C162" s="11" t="s">
        <v>697</v>
      </c>
      <c r="D162" s="9" t="s">
        <v>459</v>
      </c>
      <c r="E162" s="9" t="s">
        <v>195</v>
      </c>
      <c r="F162" s="9" t="s">
        <v>422</v>
      </c>
      <c r="G162" s="9" t="s">
        <v>11</v>
      </c>
      <c r="H162" s="9" t="s">
        <v>456</v>
      </c>
      <c r="I162" s="29"/>
      <c r="J162" s="29"/>
      <c r="K162" s="29"/>
      <c r="L162" s="29"/>
      <c r="M162" s="29"/>
      <c r="N162" s="29"/>
      <c r="O162" s="29">
        <v>12000000</v>
      </c>
      <c r="BE162" s="30">
        <f t="shared" si="18"/>
        <v>12000000</v>
      </c>
      <c r="BF162" s="6">
        <f t="shared" si="19"/>
        <v>1</v>
      </c>
    </row>
    <row r="163" spans="1:58">
      <c r="A163" s="9" t="s">
        <v>674</v>
      </c>
      <c r="B163" s="9" t="s">
        <v>192</v>
      </c>
      <c r="C163" s="11" t="s">
        <v>692</v>
      </c>
      <c r="D163" s="9" t="s">
        <v>466</v>
      </c>
      <c r="E163" s="9" t="s">
        <v>195</v>
      </c>
      <c r="F163" s="9" t="s">
        <v>0</v>
      </c>
      <c r="G163" s="9" t="s">
        <v>1</v>
      </c>
      <c r="H163" s="9" t="s">
        <v>461</v>
      </c>
      <c r="I163" s="29">
        <v>580000</v>
      </c>
      <c r="J163" s="29">
        <v>580000</v>
      </c>
      <c r="K163" s="29">
        <v>580000</v>
      </c>
      <c r="L163" s="29">
        <v>0</v>
      </c>
      <c r="M163" s="29">
        <v>580000</v>
      </c>
      <c r="N163" s="29">
        <v>9140000</v>
      </c>
      <c r="BE163" s="30">
        <f t="shared" si="18"/>
        <v>11460000</v>
      </c>
      <c r="BF163" s="6">
        <f t="shared" si="19"/>
        <v>5</v>
      </c>
    </row>
    <row r="164" spans="1:58">
      <c r="A164" s="9" t="s">
        <v>674</v>
      </c>
      <c r="B164" s="9" t="s">
        <v>192</v>
      </c>
      <c r="C164" s="11" t="s">
        <v>692</v>
      </c>
      <c r="D164" s="9" t="s">
        <v>466</v>
      </c>
      <c r="E164" s="9" t="s">
        <v>195</v>
      </c>
      <c r="F164" s="9" t="s">
        <v>465</v>
      </c>
      <c r="G164" s="9" t="s">
        <v>464</v>
      </c>
      <c r="H164" s="9" t="s">
        <v>462</v>
      </c>
      <c r="I164" s="29"/>
      <c r="J164" s="29"/>
      <c r="K164" s="29"/>
      <c r="L164" s="29"/>
      <c r="M164" s="29"/>
      <c r="N164" s="29"/>
      <c r="O164" s="29"/>
      <c r="P164" s="29">
        <v>580000</v>
      </c>
      <c r="Q164" s="29">
        <v>580000</v>
      </c>
      <c r="R164" s="29">
        <v>580000</v>
      </c>
      <c r="S164" s="29">
        <v>580000</v>
      </c>
      <c r="T164" s="29">
        <v>580000</v>
      </c>
      <c r="U164" s="29">
        <v>580000</v>
      </c>
      <c r="V164" s="29">
        <v>580000</v>
      </c>
      <c r="W164" s="29">
        <v>580000</v>
      </c>
      <c r="X164" s="29">
        <v>580000</v>
      </c>
      <c r="Y164" s="29">
        <v>580000</v>
      </c>
      <c r="Z164" s="29">
        <v>580000</v>
      </c>
      <c r="AA164" s="29">
        <v>580000</v>
      </c>
      <c r="AB164" s="29">
        <v>580000</v>
      </c>
      <c r="AC164" s="29">
        <v>580000</v>
      </c>
      <c r="AD164" s="29">
        <v>580000</v>
      </c>
      <c r="AE164" s="29">
        <v>580000</v>
      </c>
      <c r="AF164" s="29">
        <v>580000</v>
      </c>
      <c r="AG164" s="29">
        <v>580000</v>
      </c>
      <c r="AH164" s="29">
        <v>580000</v>
      </c>
      <c r="AI164" s="29">
        <v>580000</v>
      </c>
      <c r="AJ164" s="29">
        <v>580000</v>
      </c>
      <c r="AK164" s="29">
        <v>580000</v>
      </c>
      <c r="AL164" s="29">
        <v>580000</v>
      </c>
      <c r="AM164" s="29">
        <v>580000</v>
      </c>
      <c r="AN164" s="29">
        <v>580000</v>
      </c>
      <c r="AO164" s="29">
        <v>580000</v>
      </c>
      <c r="AP164" s="29">
        <v>580000</v>
      </c>
      <c r="AQ164" s="29">
        <v>580000</v>
      </c>
      <c r="BE164" s="30">
        <f t="shared" si="18"/>
        <v>16240000</v>
      </c>
      <c r="BF164" s="6">
        <f t="shared" si="19"/>
        <v>28</v>
      </c>
    </row>
    <row r="165" spans="1:58">
      <c r="A165" s="9" t="s">
        <v>674</v>
      </c>
      <c r="B165" s="9" t="s">
        <v>192</v>
      </c>
      <c r="C165" s="11" t="s">
        <v>692</v>
      </c>
      <c r="D165" s="9" t="s">
        <v>466</v>
      </c>
      <c r="E165" s="9" t="s">
        <v>195</v>
      </c>
      <c r="F165" s="9" t="s">
        <v>194</v>
      </c>
      <c r="G165" s="9" t="s">
        <v>1</v>
      </c>
      <c r="H165" s="9" t="s">
        <v>463</v>
      </c>
      <c r="I165" s="29"/>
      <c r="J165" s="29"/>
      <c r="K165" s="29"/>
      <c r="L165" s="29"/>
      <c r="M165" s="29"/>
      <c r="N165" s="29"/>
      <c r="O165" s="29">
        <v>580000</v>
      </c>
      <c r="BE165" s="30">
        <f t="shared" si="18"/>
        <v>580000</v>
      </c>
      <c r="BF165" s="6">
        <f t="shared" si="19"/>
        <v>1</v>
      </c>
    </row>
    <row r="166" spans="1:58">
      <c r="A166" s="9" t="s">
        <v>674</v>
      </c>
      <c r="B166" s="9" t="s">
        <v>192</v>
      </c>
      <c r="C166" s="11" t="s">
        <v>693</v>
      </c>
      <c r="D166" s="9" t="s">
        <v>475</v>
      </c>
      <c r="E166" s="9" t="s">
        <v>195</v>
      </c>
      <c r="F166" s="9" t="s">
        <v>0</v>
      </c>
      <c r="G166" s="9" t="s">
        <v>1</v>
      </c>
      <c r="H166" s="9" t="s">
        <v>470</v>
      </c>
      <c r="I166" s="29">
        <v>250000</v>
      </c>
      <c r="J166" s="29">
        <v>250000</v>
      </c>
      <c r="K166" s="29">
        <v>250000</v>
      </c>
      <c r="L166" s="29">
        <v>250000</v>
      </c>
      <c r="M166" s="29">
        <v>250000</v>
      </c>
      <c r="N166" s="29">
        <v>250000</v>
      </c>
      <c r="BE166" s="30">
        <f t="shared" ref="BE166:BE170" si="20">SUM(I166:BD166)</f>
        <v>1500000</v>
      </c>
      <c r="BF166" s="6">
        <f t="shared" ref="BF166:BF170" si="21">COUNTIF(I166:BD166, "&gt;0")</f>
        <v>6</v>
      </c>
    </row>
    <row r="167" spans="1:58">
      <c r="A167" s="9" t="s">
        <v>674</v>
      </c>
      <c r="B167" s="9" t="s">
        <v>192</v>
      </c>
      <c r="C167" s="11" t="s">
        <v>693</v>
      </c>
      <c r="D167" s="9" t="s">
        <v>475</v>
      </c>
      <c r="E167" s="9" t="s">
        <v>195</v>
      </c>
      <c r="F167" s="9" t="s">
        <v>474</v>
      </c>
      <c r="G167" s="9" t="s">
        <v>473</v>
      </c>
      <c r="H167" s="9" t="s">
        <v>471</v>
      </c>
      <c r="I167" s="29"/>
      <c r="J167" s="29"/>
      <c r="K167" s="29"/>
      <c r="L167" s="29"/>
      <c r="M167" s="29"/>
      <c r="N167" s="29"/>
      <c r="O167" s="29"/>
      <c r="P167" s="29">
        <v>250000</v>
      </c>
      <c r="Q167" s="29">
        <v>250000</v>
      </c>
      <c r="R167" s="29">
        <v>250000</v>
      </c>
      <c r="S167" s="29">
        <v>250000</v>
      </c>
      <c r="T167" s="29">
        <v>250000</v>
      </c>
      <c r="U167" s="29">
        <v>250000</v>
      </c>
      <c r="V167" s="29">
        <v>250000</v>
      </c>
      <c r="W167" s="29">
        <v>250000</v>
      </c>
      <c r="X167" s="29">
        <v>250000</v>
      </c>
      <c r="Y167" s="29">
        <v>250000</v>
      </c>
      <c r="Z167" s="29">
        <v>250000</v>
      </c>
      <c r="AA167" s="29">
        <v>250000</v>
      </c>
      <c r="AB167" s="29">
        <v>250000</v>
      </c>
      <c r="AC167" s="29">
        <v>250000</v>
      </c>
      <c r="AD167" s="29">
        <v>250000</v>
      </c>
      <c r="AE167" s="29">
        <v>250000</v>
      </c>
      <c r="AF167" s="29">
        <v>250000</v>
      </c>
      <c r="AG167" s="29">
        <v>250000</v>
      </c>
      <c r="AH167" s="29">
        <v>250000</v>
      </c>
      <c r="AI167" s="29">
        <v>250000</v>
      </c>
      <c r="AJ167" s="29">
        <v>250000</v>
      </c>
      <c r="AK167" s="29">
        <v>250000</v>
      </c>
      <c r="AL167" s="29">
        <v>250000</v>
      </c>
      <c r="BE167" s="30">
        <f t="shared" si="20"/>
        <v>5750000</v>
      </c>
      <c r="BF167" s="6">
        <f t="shared" si="21"/>
        <v>23</v>
      </c>
    </row>
    <row r="168" spans="1:58">
      <c r="A168" s="9" t="s">
        <v>674</v>
      </c>
      <c r="B168" s="9" t="s">
        <v>192</v>
      </c>
      <c r="C168" s="11" t="s">
        <v>693</v>
      </c>
      <c r="D168" s="9" t="s">
        <v>475</v>
      </c>
      <c r="E168" s="9" t="s">
        <v>195</v>
      </c>
      <c r="F168" s="9" t="s">
        <v>194</v>
      </c>
      <c r="G168" s="9" t="s">
        <v>1</v>
      </c>
      <c r="H168" s="9" t="s">
        <v>472</v>
      </c>
      <c r="I168" s="29"/>
      <c r="J168" s="29"/>
      <c r="K168" s="29"/>
      <c r="L168" s="29"/>
      <c r="M168" s="29"/>
      <c r="N168" s="29"/>
      <c r="O168" s="29">
        <v>250000</v>
      </c>
      <c r="BE168" s="30">
        <f t="shared" si="20"/>
        <v>250000</v>
      </c>
      <c r="BF168" s="6">
        <f t="shared" si="21"/>
        <v>1</v>
      </c>
    </row>
    <row r="169" spans="1:58">
      <c r="A169" s="9" t="s">
        <v>674</v>
      </c>
      <c r="B169" s="9" t="s">
        <v>192</v>
      </c>
      <c r="C169" s="11" t="s">
        <v>479</v>
      </c>
      <c r="D169" s="9" t="s">
        <v>478</v>
      </c>
      <c r="E169" s="9" t="s">
        <v>132</v>
      </c>
      <c r="F169" s="9"/>
      <c r="G169" s="9" t="s">
        <v>17</v>
      </c>
      <c r="H169" s="9" t="s">
        <v>477</v>
      </c>
      <c r="I169" s="29">
        <v>600000</v>
      </c>
      <c r="J169" s="29">
        <v>600000</v>
      </c>
      <c r="K169" s="29">
        <v>600000</v>
      </c>
      <c r="L169" s="29">
        <v>600000</v>
      </c>
      <c r="M169" s="29">
        <v>600000</v>
      </c>
      <c r="N169" s="29">
        <v>600000</v>
      </c>
      <c r="BE169" s="30">
        <f t="shared" si="20"/>
        <v>3600000</v>
      </c>
      <c r="BF169" s="6">
        <f t="shared" si="21"/>
        <v>6</v>
      </c>
    </row>
    <row r="170" spans="1:58">
      <c r="A170" s="9" t="s">
        <v>674</v>
      </c>
      <c r="B170" s="9" t="s">
        <v>192</v>
      </c>
      <c r="C170" s="11" t="s">
        <v>482</v>
      </c>
      <c r="D170" s="9" t="s">
        <v>481</v>
      </c>
      <c r="E170" s="9" t="s">
        <v>132</v>
      </c>
      <c r="F170" s="9"/>
      <c r="G170" s="9" t="s">
        <v>17</v>
      </c>
      <c r="H170" s="9" t="s">
        <v>480</v>
      </c>
      <c r="I170" s="29">
        <v>0</v>
      </c>
      <c r="J170" s="29">
        <v>0</v>
      </c>
      <c r="K170" s="29">
        <v>0</v>
      </c>
      <c r="L170" s="29">
        <v>0</v>
      </c>
      <c r="M170" s="29">
        <v>0</v>
      </c>
      <c r="N170" s="29">
        <v>13030</v>
      </c>
      <c r="BE170" s="30">
        <f t="shared" si="20"/>
        <v>13030</v>
      </c>
      <c r="BF170" s="6">
        <f t="shared" si="21"/>
        <v>1</v>
      </c>
    </row>
    <row r="171" spans="1:58">
      <c r="A171" s="9" t="s">
        <v>674</v>
      </c>
      <c r="B171" s="9" t="s">
        <v>192</v>
      </c>
      <c r="C171" s="11" t="s">
        <v>485</v>
      </c>
      <c r="D171" s="9" t="s">
        <v>484</v>
      </c>
      <c r="E171" s="9" t="s">
        <v>2</v>
      </c>
      <c r="F171" s="9"/>
      <c r="G171" s="9" t="s">
        <v>17</v>
      </c>
      <c r="H171" s="9" t="s">
        <v>483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23055</v>
      </c>
      <c r="BE171" s="30">
        <f t="shared" ref="BE171:BE174" si="22">SUM(I171:BD171)</f>
        <v>23055</v>
      </c>
      <c r="BF171" s="6">
        <f t="shared" ref="BF171:BF174" si="23">COUNTIF(I171:BD171, "&gt;0")</f>
        <v>1</v>
      </c>
    </row>
    <row r="172" spans="1:58">
      <c r="A172" s="9" t="s">
        <v>674</v>
      </c>
      <c r="B172" s="9" t="s">
        <v>192</v>
      </c>
      <c r="C172" s="11" t="s">
        <v>698</v>
      </c>
      <c r="D172" s="9" t="s">
        <v>490</v>
      </c>
      <c r="E172" s="9" t="s">
        <v>195</v>
      </c>
      <c r="F172" s="9" t="s">
        <v>489</v>
      </c>
      <c r="G172" s="9" t="s">
        <v>488</v>
      </c>
      <c r="H172" s="9" t="s">
        <v>486</v>
      </c>
      <c r="L172" s="29"/>
      <c r="M172" s="29"/>
      <c r="N172" s="29"/>
      <c r="O172" s="29"/>
      <c r="P172" s="29">
        <v>7000000</v>
      </c>
      <c r="Q172" s="29">
        <v>7000000</v>
      </c>
      <c r="R172" s="29">
        <v>7000000</v>
      </c>
      <c r="S172" s="29">
        <v>7000000</v>
      </c>
      <c r="T172" s="29">
        <v>7000000</v>
      </c>
      <c r="U172" s="29">
        <v>7000000</v>
      </c>
      <c r="V172" s="29">
        <v>7000000</v>
      </c>
      <c r="W172" s="29">
        <v>7000000</v>
      </c>
      <c r="X172" s="29">
        <v>7000000</v>
      </c>
      <c r="Y172" s="29">
        <v>7000000</v>
      </c>
      <c r="Z172" s="29">
        <v>7000000</v>
      </c>
      <c r="AA172" s="29">
        <v>7000000</v>
      </c>
      <c r="AB172" s="29">
        <v>7000000</v>
      </c>
      <c r="AC172" s="29">
        <v>7000000</v>
      </c>
      <c r="AD172" s="29">
        <v>7000000</v>
      </c>
      <c r="AE172" s="29">
        <v>7000000</v>
      </c>
      <c r="AF172" s="29">
        <v>7000000</v>
      </c>
      <c r="AG172" s="29">
        <v>7000000</v>
      </c>
      <c r="AH172" s="29">
        <v>7000000</v>
      </c>
      <c r="AI172" s="29">
        <v>7000000</v>
      </c>
      <c r="AJ172" s="29">
        <v>7000000</v>
      </c>
      <c r="AK172" s="29">
        <v>7000000</v>
      </c>
      <c r="AL172" s="29">
        <v>7000000</v>
      </c>
      <c r="AM172" s="29">
        <v>7000000</v>
      </c>
      <c r="AN172" s="29">
        <v>7000000</v>
      </c>
      <c r="AO172" s="29">
        <v>7000000</v>
      </c>
      <c r="AP172" s="29">
        <v>7000000</v>
      </c>
      <c r="AQ172" s="29">
        <v>7000000</v>
      </c>
      <c r="AR172" s="29">
        <v>7000000</v>
      </c>
      <c r="AS172" s="6">
        <v>7000000</v>
      </c>
      <c r="AT172" s="6">
        <v>7000000</v>
      </c>
      <c r="AU172" s="6">
        <v>7000000</v>
      </c>
      <c r="AV172" s="6">
        <v>7000000</v>
      </c>
      <c r="AW172" s="6">
        <v>7000000</v>
      </c>
      <c r="AX172" s="6">
        <v>7000000</v>
      </c>
      <c r="AY172" s="6">
        <v>7000000</v>
      </c>
      <c r="AZ172" s="6">
        <v>7000000</v>
      </c>
      <c r="BA172" s="6">
        <v>7000000</v>
      </c>
      <c r="BB172" s="6">
        <v>7000000</v>
      </c>
      <c r="BC172" s="6">
        <v>7000000</v>
      </c>
      <c r="BD172" s="6">
        <v>7000000</v>
      </c>
      <c r="BE172" s="30">
        <f t="shared" si="22"/>
        <v>287000000</v>
      </c>
      <c r="BF172" s="6">
        <f t="shared" si="23"/>
        <v>41</v>
      </c>
    </row>
    <row r="173" spans="1:58">
      <c r="A173" s="9" t="s">
        <v>674</v>
      </c>
      <c r="B173" s="9" t="s">
        <v>192</v>
      </c>
      <c r="C173" s="11" t="s">
        <v>698</v>
      </c>
      <c r="D173" s="9" t="s">
        <v>490</v>
      </c>
      <c r="E173" s="9" t="s">
        <v>195</v>
      </c>
      <c r="F173" s="9" t="s">
        <v>422</v>
      </c>
      <c r="G173" s="9" t="s">
        <v>17</v>
      </c>
      <c r="H173" s="9" t="s">
        <v>487</v>
      </c>
      <c r="L173" s="29"/>
      <c r="M173" s="29"/>
      <c r="N173" s="29"/>
      <c r="O173" s="29">
        <v>7000000</v>
      </c>
      <c r="BE173" s="30">
        <f t="shared" si="22"/>
        <v>7000000</v>
      </c>
      <c r="BF173" s="6">
        <f t="shared" si="23"/>
        <v>1</v>
      </c>
    </row>
    <row r="174" spans="1:58">
      <c r="A174" s="9" t="s">
        <v>674</v>
      </c>
      <c r="B174" s="9" t="s">
        <v>192</v>
      </c>
      <c r="C174" s="11" t="s">
        <v>493</v>
      </c>
      <c r="D174" s="9" t="s">
        <v>492</v>
      </c>
      <c r="E174" s="9" t="s">
        <v>8</v>
      </c>
      <c r="F174" s="9"/>
      <c r="G174" s="9" t="s">
        <v>17</v>
      </c>
      <c r="H174" s="9" t="s">
        <v>491</v>
      </c>
      <c r="I174" s="29">
        <v>2273400</v>
      </c>
      <c r="J174" s="29">
        <v>2710400</v>
      </c>
      <c r="K174" s="29">
        <v>2710400</v>
      </c>
      <c r="L174" s="29">
        <v>2710400</v>
      </c>
      <c r="M174" s="29">
        <v>2710400</v>
      </c>
      <c r="N174" s="29">
        <v>2710400</v>
      </c>
      <c r="BE174" s="30">
        <f t="shared" si="22"/>
        <v>15825400</v>
      </c>
      <c r="BF174" s="6">
        <f t="shared" si="23"/>
        <v>6</v>
      </c>
    </row>
    <row r="175" spans="1:58">
      <c r="A175" s="9" t="s">
        <v>674</v>
      </c>
      <c r="B175" s="9" t="s">
        <v>198</v>
      </c>
      <c r="C175" s="11" t="s">
        <v>496</v>
      </c>
      <c r="D175" s="9" t="s">
        <v>495</v>
      </c>
      <c r="E175" s="9" t="s">
        <v>276</v>
      </c>
      <c r="F175" s="9" t="s">
        <v>0</v>
      </c>
      <c r="G175" s="9" t="s">
        <v>17</v>
      </c>
      <c r="H175" s="9" t="s">
        <v>494</v>
      </c>
      <c r="I175" s="29">
        <v>0</v>
      </c>
      <c r="J175" s="29">
        <v>0</v>
      </c>
      <c r="K175" s="29">
        <v>0</v>
      </c>
      <c r="L175" s="29">
        <v>0</v>
      </c>
      <c r="M175" s="29">
        <v>24900000</v>
      </c>
      <c r="N175" s="29">
        <v>0</v>
      </c>
      <c r="BE175" s="30">
        <f t="shared" ref="BE175" si="24">SUM(I175:BD175)</f>
        <v>24900000</v>
      </c>
      <c r="BF175" s="6">
        <f t="shared" ref="BF175" si="25">COUNTIF(I175:BD175, "&gt;0")</f>
        <v>1</v>
      </c>
    </row>
    <row r="176" spans="1:58">
      <c r="A176" s="9" t="s">
        <v>674</v>
      </c>
      <c r="B176" s="9" t="s">
        <v>261</v>
      </c>
      <c r="C176" s="11" t="s">
        <v>502</v>
      </c>
      <c r="D176" s="9" t="s">
        <v>501</v>
      </c>
      <c r="E176" s="9" t="s">
        <v>413</v>
      </c>
      <c r="F176" s="9"/>
      <c r="G176" s="9" t="s">
        <v>17</v>
      </c>
      <c r="H176" s="9" t="s">
        <v>497</v>
      </c>
      <c r="I176" s="29">
        <v>0</v>
      </c>
      <c r="J176" s="29">
        <v>855000</v>
      </c>
      <c r="K176" s="29">
        <v>855000</v>
      </c>
      <c r="L176" s="29">
        <v>855000</v>
      </c>
      <c r="M176" s="29">
        <v>855000</v>
      </c>
      <c r="N176" s="29">
        <v>855000</v>
      </c>
      <c r="BE176" s="30">
        <f t="shared" ref="BE176:BE179" si="26">SUM(I176:BD176)</f>
        <v>4275000</v>
      </c>
      <c r="BF176" s="6">
        <f t="shared" ref="BF176:BF179" si="27">COUNTIF(I176:BD176, "&gt;0")</f>
        <v>5</v>
      </c>
    </row>
    <row r="177" spans="1:58">
      <c r="A177" s="9" t="s">
        <v>674</v>
      </c>
      <c r="B177" s="9" t="s">
        <v>261</v>
      </c>
      <c r="C177" s="11" t="s">
        <v>502</v>
      </c>
      <c r="D177" s="9" t="s">
        <v>501</v>
      </c>
      <c r="E177" s="9" t="s">
        <v>413</v>
      </c>
      <c r="F177" s="9"/>
      <c r="G177" s="9" t="s">
        <v>500</v>
      </c>
      <c r="H177" s="9" t="s">
        <v>498</v>
      </c>
      <c r="I177" s="29"/>
      <c r="J177" s="29"/>
      <c r="K177" s="29"/>
      <c r="L177" s="29"/>
      <c r="M177" s="29"/>
      <c r="N177" s="29"/>
      <c r="O177" s="29"/>
      <c r="P177" s="29">
        <v>855000</v>
      </c>
      <c r="Q177" s="29">
        <v>855000</v>
      </c>
      <c r="R177" s="29">
        <v>855000</v>
      </c>
      <c r="S177" s="29">
        <v>855000</v>
      </c>
      <c r="T177" s="29">
        <v>855000</v>
      </c>
      <c r="BE177" s="30">
        <f t="shared" si="26"/>
        <v>4275000</v>
      </c>
      <c r="BF177" s="6">
        <f t="shared" si="27"/>
        <v>5</v>
      </c>
    </row>
    <row r="178" spans="1:58">
      <c r="A178" s="9" t="s">
        <v>674</v>
      </c>
      <c r="B178" s="9" t="s">
        <v>261</v>
      </c>
      <c r="C178" s="11" t="s">
        <v>502</v>
      </c>
      <c r="D178" s="9" t="s">
        <v>501</v>
      </c>
      <c r="E178" s="9" t="s">
        <v>413</v>
      </c>
      <c r="F178" s="9"/>
      <c r="G178" s="9" t="s">
        <v>17</v>
      </c>
      <c r="H178" s="9" t="s">
        <v>499</v>
      </c>
      <c r="I178" s="29"/>
      <c r="J178" s="29"/>
      <c r="K178" s="29"/>
      <c r="L178" s="29"/>
      <c r="M178" s="29"/>
      <c r="N178" s="29"/>
      <c r="O178" s="29">
        <v>855000</v>
      </c>
      <c r="BE178" s="30">
        <f t="shared" si="26"/>
        <v>855000</v>
      </c>
      <c r="BF178" s="6">
        <f t="shared" si="27"/>
        <v>1</v>
      </c>
    </row>
    <row r="179" spans="1:58">
      <c r="A179" s="9" t="s">
        <v>674</v>
      </c>
      <c r="B179" s="9" t="s">
        <v>261</v>
      </c>
      <c r="C179" s="11" t="s">
        <v>505</v>
      </c>
      <c r="D179" s="9" t="s">
        <v>504</v>
      </c>
      <c r="E179" s="9" t="s">
        <v>132</v>
      </c>
      <c r="F179" s="9"/>
      <c r="G179" s="9" t="s">
        <v>17</v>
      </c>
      <c r="H179" s="9" t="s">
        <v>503</v>
      </c>
      <c r="I179" s="29">
        <v>600000</v>
      </c>
      <c r="J179" s="29">
        <v>0</v>
      </c>
      <c r="K179" s="29">
        <v>0</v>
      </c>
      <c r="L179" s="29">
        <v>0</v>
      </c>
      <c r="M179" s="29">
        <v>0</v>
      </c>
      <c r="N179" s="29">
        <v>0</v>
      </c>
      <c r="BE179" s="30">
        <f t="shared" si="26"/>
        <v>600000</v>
      </c>
      <c r="BF179" s="6">
        <f t="shared" si="27"/>
        <v>1</v>
      </c>
    </row>
    <row r="180" spans="1:58">
      <c r="A180" s="9" t="s">
        <v>674</v>
      </c>
      <c r="B180" s="9" t="s">
        <v>261</v>
      </c>
      <c r="C180" s="11" t="s">
        <v>508</v>
      </c>
      <c r="D180" s="9" t="s">
        <v>507</v>
      </c>
      <c r="E180" s="9" t="s">
        <v>2</v>
      </c>
      <c r="F180" s="9"/>
      <c r="G180" s="9" t="s">
        <v>17</v>
      </c>
      <c r="H180" s="9" t="s">
        <v>506</v>
      </c>
      <c r="I180" s="29">
        <v>0</v>
      </c>
      <c r="J180" s="29">
        <v>0</v>
      </c>
      <c r="K180" s="29">
        <v>0</v>
      </c>
      <c r="L180" s="29">
        <v>0</v>
      </c>
      <c r="M180" s="29">
        <v>23909</v>
      </c>
      <c r="N180" s="29">
        <v>0</v>
      </c>
      <c r="BE180" s="30">
        <f t="shared" ref="BE180" si="28">SUM(I180:BD180)</f>
        <v>23909</v>
      </c>
      <c r="BF180" s="6">
        <f t="shared" ref="BF180" si="29">COUNTIF(I180:BD180, "&gt;0")</f>
        <v>1</v>
      </c>
    </row>
    <row r="181" spans="1:58">
      <c r="A181" s="9" t="s">
        <v>674</v>
      </c>
      <c r="B181" s="9" t="s">
        <v>286</v>
      </c>
      <c r="C181" s="11" t="s">
        <v>699</v>
      </c>
      <c r="D181" s="9" t="s">
        <v>516</v>
      </c>
      <c r="E181" s="9" t="s">
        <v>195</v>
      </c>
      <c r="F181" s="9" t="s">
        <v>0</v>
      </c>
      <c r="G181" s="9" t="s">
        <v>11</v>
      </c>
      <c r="H181" s="9" t="s">
        <v>511</v>
      </c>
      <c r="I181" s="29">
        <v>6556313</v>
      </c>
      <c r="J181" s="29">
        <v>6539942</v>
      </c>
      <c r="K181" s="29">
        <v>6539931</v>
      </c>
      <c r="L181" s="29">
        <v>6490859</v>
      </c>
      <c r="M181" s="29">
        <v>6245379</v>
      </c>
      <c r="N181" s="29">
        <v>6093588</v>
      </c>
      <c r="BE181" s="30">
        <f t="shared" ref="BE181:BE190" si="30">SUM(I181:BD181)</f>
        <v>38466012</v>
      </c>
      <c r="BF181" s="6">
        <f t="shared" ref="BF181:BF190" si="31">COUNTIF(I181:BD181, "&gt;0")</f>
        <v>6</v>
      </c>
    </row>
    <row r="182" spans="1:58">
      <c r="A182" s="9" t="s">
        <v>674</v>
      </c>
      <c r="B182" s="9" t="s">
        <v>286</v>
      </c>
      <c r="C182" s="11" t="s">
        <v>699</v>
      </c>
      <c r="D182" s="9" t="s">
        <v>516</v>
      </c>
      <c r="E182" s="9" t="s">
        <v>195</v>
      </c>
      <c r="F182" s="9" t="s">
        <v>515</v>
      </c>
      <c r="G182" s="9" t="s">
        <v>514</v>
      </c>
      <c r="H182" s="9" t="s">
        <v>512</v>
      </c>
      <c r="I182" s="29"/>
      <c r="J182" s="29"/>
      <c r="K182" s="29"/>
      <c r="L182" s="29"/>
      <c r="M182" s="29"/>
      <c r="N182" s="29"/>
      <c r="O182" s="29"/>
      <c r="P182" s="29">
        <v>8000000</v>
      </c>
      <c r="Q182" s="29">
        <v>8000000</v>
      </c>
      <c r="R182" s="29">
        <v>8000000</v>
      </c>
      <c r="S182" s="29">
        <v>8000000</v>
      </c>
      <c r="T182" s="29">
        <v>8000000</v>
      </c>
      <c r="U182" s="29">
        <v>6545395</v>
      </c>
      <c r="V182" s="29">
        <v>6545395</v>
      </c>
      <c r="W182" s="29">
        <v>6545395</v>
      </c>
      <c r="X182" s="29">
        <v>6545395</v>
      </c>
      <c r="Y182" s="29">
        <v>6545395</v>
      </c>
      <c r="Z182" s="29">
        <v>6545395</v>
      </c>
      <c r="AA182" s="29">
        <v>6545395</v>
      </c>
      <c r="AB182" s="29">
        <v>6545395</v>
      </c>
      <c r="AC182" s="29">
        <v>6545395</v>
      </c>
      <c r="AD182" s="29">
        <v>6545395</v>
      </c>
      <c r="AE182" s="29">
        <v>6545395</v>
      </c>
      <c r="AF182" s="29">
        <v>6545395</v>
      </c>
      <c r="AG182" s="29">
        <v>6545395</v>
      </c>
      <c r="AH182" s="29">
        <v>6545395</v>
      </c>
      <c r="AI182" s="29">
        <v>6545395</v>
      </c>
      <c r="AJ182" s="29">
        <v>6545395</v>
      </c>
      <c r="AK182" s="29">
        <v>6545395</v>
      </c>
      <c r="AL182" s="29">
        <v>6545395</v>
      </c>
      <c r="AM182" s="29">
        <v>6545395</v>
      </c>
      <c r="AN182" s="29">
        <v>6545395</v>
      </c>
      <c r="AO182" s="29">
        <v>6545395</v>
      </c>
      <c r="AP182" s="29">
        <v>6545395</v>
      </c>
      <c r="AQ182" s="29">
        <v>6545395</v>
      </c>
      <c r="BE182" s="30">
        <f t="shared" si="30"/>
        <v>190544085</v>
      </c>
      <c r="BF182" s="6">
        <f t="shared" si="31"/>
        <v>28</v>
      </c>
    </row>
    <row r="183" spans="1:58">
      <c r="A183" s="9" t="s">
        <v>674</v>
      </c>
      <c r="B183" s="9" t="s">
        <v>286</v>
      </c>
      <c r="C183" s="11" t="s">
        <v>699</v>
      </c>
      <c r="D183" s="9" t="s">
        <v>516</v>
      </c>
      <c r="E183" s="9" t="s">
        <v>195</v>
      </c>
      <c r="F183" s="9" t="s">
        <v>422</v>
      </c>
      <c r="G183" s="9" t="s">
        <v>11</v>
      </c>
      <c r="H183" s="9" t="s">
        <v>513</v>
      </c>
      <c r="I183" s="29"/>
      <c r="J183" s="29"/>
      <c r="K183" s="29"/>
      <c r="L183" s="29"/>
      <c r="M183" s="29"/>
      <c r="N183" s="29"/>
      <c r="O183" s="29">
        <v>8000000</v>
      </c>
      <c r="BE183" s="30">
        <f t="shared" si="30"/>
        <v>8000000</v>
      </c>
      <c r="BF183" s="6">
        <f t="shared" si="31"/>
        <v>1</v>
      </c>
    </row>
    <row r="184" spans="1:58">
      <c r="A184" s="9" t="s">
        <v>674</v>
      </c>
      <c r="B184" s="9" t="s">
        <v>286</v>
      </c>
      <c r="C184" s="11" t="s">
        <v>700</v>
      </c>
      <c r="D184" s="9" t="s">
        <v>523</v>
      </c>
      <c r="E184" s="9" t="s">
        <v>195</v>
      </c>
      <c r="F184" s="9" t="s">
        <v>0</v>
      </c>
      <c r="G184" s="9" t="s">
        <v>11</v>
      </c>
      <c r="H184" s="9" t="s">
        <v>518</v>
      </c>
      <c r="I184" s="29">
        <v>2365269</v>
      </c>
      <c r="J184" s="29">
        <v>2158113</v>
      </c>
      <c r="K184" s="29">
        <v>2234372</v>
      </c>
      <c r="L184" s="29">
        <v>2153479</v>
      </c>
      <c r="M184" s="29">
        <v>2213461</v>
      </c>
      <c r="N184" s="29">
        <v>2246203</v>
      </c>
      <c r="BE184" s="30">
        <f t="shared" si="30"/>
        <v>13370897</v>
      </c>
      <c r="BF184" s="6">
        <f t="shared" si="31"/>
        <v>6</v>
      </c>
    </row>
    <row r="185" spans="1:58">
      <c r="A185" s="9" t="s">
        <v>674</v>
      </c>
      <c r="B185" s="9" t="s">
        <v>286</v>
      </c>
      <c r="C185" s="11" t="s">
        <v>700</v>
      </c>
      <c r="D185" s="9" t="s">
        <v>523</v>
      </c>
      <c r="E185" s="9" t="s">
        <v>195</v>
      </c>
      <c r="F185" s="9" t="s">
        <v>522</v>
      </c>
      <c r="G185" s="9" t="s">
        <v>521</v>
      </c>
      <c r="H185" s="9" t="s">
        <v>519</v>
      </c>
      <c r="I185" s="29"/>
      <c r="J185" s="29"/>
      <c r="K185" s="29"/>
      <c r="L185" s="29"/>
      <c r="M185" s="29"/>
      <c r="N185" s="29"/>
      <c r="O185" s="29"/>
      <c r="P185" s="29">
        <v>2000000</v>
      </c>
      <c r="Q185" s="29">
        <v>2000000</v>
      </c>
      <c r="R185" s="29">
        <v>2000000</v>
      </c>
      <c r="S185" s="29">
        <v>2000000</v>
      </c>
      <c r="T185" s="29">
        <v>2000000</v>
      </c>
      <c r="U185" s="29">
        <v>2252585</v>
      </c>
      <c r="V185" s="29">
        <v>2252585</v>
      </c>
      <c r="W185" s="29">
        <v>2252585</v>
      </c>
      <c r="X185" s="29">
        <v>2252585</v>
      </c>
      <c r="Y185" s="29">
        <v>2252585</v>
      </c>
      <c r="Z185" s="29">
        <v>2252585</v>
      </c>
      <c r="AA185" s="29">
        <v>2252585</v>
      </c>
      <c r="AB185" s="29">
        <v>2252585</v>
      </c>
      <c r="AC185" s="29">
        <v>2252585</v>
      </c>
      <c r="AD185" s="29">
        <v>2252585</v>
      </c>
      <c r="AE185" s="29">
        <v>2252585</v>
      </c>
      <c r="AF185" s="29">
        <v>2252585</v>
      </c>
      <c r="AG185" s="29">
        <v>2252585</v>
      </c>
      <c r="AH185" s="29">
        <v>2252585</v>
      </c>
      <c r="AI185" s="29">
        <v>2252585</v>
      </c>
      <c r="AJ185" s="29">
        <v>2252585</v>
      </c>
      <c r="AK185" s="29">
        <v>2252585</v>
      </c>
      <c r="AL185" s="29">
        <v>2252585</v>
      </c>
      <c r="AM185" s="29">
        <v>2252585</v>
      </c>
      <c r="AN185" s="29">
        <v>2252585</v>
      </c>
      <c r="AO185" s="29">
        <v>2252585</v>
      </c>
      <c r="AP185" s="29">
        <v>2252585</v>
      </c>
      <c r="AQ185" s="29">
        <v>2252585</v>
      </c>
      <c r="AR185" s="29">
        <v>2252585</v>
      </c>
      <c r="AS185" s="6">
        <v>2252585</v>
      </c>
      <c r="AT185" s="6">
        <v>2252585</v>
      </c>
      <c r="AU185" s="6">
        <v>2252585</v>
      </c>
      <c r="AV185" s="6">
        <v>2252585</v>
      </c>
      <c r="AW185" s="6">
        <v>2252585</v>
      </c>
      <c r="AX185" s="6">
        <v>2252585</v>
      </c>
      <c r="AY185" s="6">
        <v>2252585</v>
      </c>
      <c r="BE185" s="30">
        <f t="shared" si="30"/>
        <v>79830135</v>
      </c>
      <c r="BF185" s="6">
        <f t="shared" si="31"/>
        <v>36</v>
      </c>
    </row>
    <row r="186" spans="1:58">
      <c r="A186" s="9" t="s">
        <v>674</v>
      </c>
      <c r="B186" s="9" t="s">
        <v>286</v>
      </c>
      <c r="C186" s="11" t="s">
        <v>700</v>
      </c>
      <c r="D186" s="9" t="s">
        <v>523</v>
      </c>
      <c r="E186" s="9" t="s">
        <v>195</v>
      </c>
      <c r="F186" s="9" t="s">
        <v>422</v>
      </c>
      <c r="G186" s="9" t="s">
        <v>11</v>
      </c>
      <c r="H186" s="9" t="s">
        <v>520</v>
      </c>
      <c r="I186" s="29"/>
      <c r="J186" s="29"/>
      <c r="K186" s="29"/>
      <c r="L186" s="29"/>
      <c r="M186" s="29"/>
      <c r="N186" s="29"/>
      <c r="O186" s="29">
        <v>2000000</v>
      </c>
      <c r="BE186" s="30">
        <f t="shared" si="30"/>
        <v>2000000</v>
      </c>
      <c r="BF186" s="6">
        <f t="shared" si="31"/>
        <v>1</v>
      </c>
    </row>
    <row r="187" spans="1:58">
      <c r="A187" s="9" t="s">
        <v>674</v>
      </c>
      <c r="B187" s="9" t="s">
        <v>286</v>
      </c>
      <c r="C187" s="11" t="s">
        <v>530</v>
      </c>
      <c r="D187" s="9" t="s">
        <v>529</v>
      </c>
      <c r="E187" s="9" t="s">
        <v>413</v>
      </c>
      <c r="F187" s="9"/>
      <c r="G187" s="9" t="s">
        <v>17</v>
      </c>
      <c r="H187" s="9" t="s">
        <v>525</v>
      </c>
      <c r="I187" s="29">
        <v>0</v>
      </c>
      <c r="J187" s="29">
        <v>950000</v>
      </c>
      <c r="K187" s="29">
        <v>950000</v>
      </c>
      <c r="L187" s="29">
        <v>950000</v>
      </c>
      <c r="M187" s="29">
        <v>950000</v>
      </c>
      <c r="N187" s="29">
        <v>950000</v>
      </c>
      <c r="BE187" s="30">
        <f t="shared" si="30"/>
        <v>4750000</v>
      </c>
      <c r="BF187" s="6">
        <f t="shared" si="31"/>
        <v>5</v>
      </c>
    </row>
    <row r="188" spans="1:58">
      <c r="A188" s="9" t="s">
        <v>674</v>
      </c>
      <c r="B188" s="9" t="s">
        <v>286</v>
      </c>
      <c r="C188" s="11" t="s">
        <v>530</v>
      </c>
      <c r="D188" s="9" t="s">
        <v>529</v>
      </c>
      <c r="E188" s="9" t="s">
        <v>413</v>
      </c>
      <c r="F188" s="9"/>
      <c r="G188" s="9" t="s">
        <v>528</v>
      </c>
      <c r="H188" s="9" t="s">
        <v>526</v>
      </c>
      <c r="I188" s="29"/>
      <c r="J188" s="29"/>
      <c r="K188" s="29"/>
      <c r="L188" s="29"/>
      <c r="M188" s="29"/>
      <c r="N188" s="29"/>
      <c r="O188" s="29"/>
      <c r="P188" s="29">
        <v>950000</v>
      </c>
      <c r="Q188" s="29">
        <v>950000</v>
      </c>
      <c r="R188" s="29">
        <v>950000</v>
      </c>
      <c r="S188" s="29">
        <v>950000</v>
      </c>
      <c r="T188" s="29">
        <v>950000</v>
      </c>
      <c r="BE188" s="30">
        <f t="shared" si="30"/>
        <v>4750000</v>
      </c>
      <c r="BF188" s="6">
        <f t="shared" si="31"/>
        <v>5</v>
      </c>
    </row>
    <row r="189" spans="1:58">
      <c r="A189" s="9" t="s">
        <v>674</v>
      </c>
      <c r="B189" s="9" t="s">
        <v>286</v>
      </c>
      <c r="C189" s="11" t="s">
        <v>530</v>
      </c>
      <c r="D189" s="9" t="s">
        <v>529</v>
      </c>
      <c r="E189" s="9" t="s">
        <v>413</v>
      </c>
      <c r="F189" s="9"/>
      <c r="G189" s="9" t="s">
        <v>17</v>
      </c>
      <c r="H189" s="9" t="s">
        <v>527</v>
      </c>
      <c r="I189" s="29"/>
      <c r="J189" s="29"/>
      <c r="K189" s="29"/>
      <c r="L189" s="29"/>
      <c r="M189" s="29"/>
      <c r="N189" s="29"/>
      <c r="O189" s="29">
        <v>950000</v>
      </c>
      <c r="BE189" s="30">
        <f t="shared" si="30"/>
        <v>950000</v>
      </c>
      <c r="BF189" s="6">
        <f t="shared" si="31"/>
        <v>1</v>
      </c>
    </row>
    <row r="190" spans="1:58">
      <c r="A190" s="9" t="s">
        <v>674</v>
      </c>
      <c r="B190" s="9" t="s">
        <v>286</v>
      </c>
      <c r="C190" s="11" t="s">
        <v>536</v>
      </c>
      <c r="D190" s="9" t="s">
        <v>535</v>
      </c>
      <c r="E190" s="9" t="s">
        <v>534</v>
      </c>
      <c r="F190" s="9" t="s">
        <v>533</v>
      </c>
      <c r="G190" s="9" t="s">
        <v>532</v>
      </c>
      <c r="H190" s="9" t="s">
        <v>531</v>
      </c>
      <c r="L190" s="29">
        <v>4090909</v>
      </c>
      <c r="M190" s="29">
        <v>0</v>
      </c>
      <c r="N190" s="29">
        <v>0</v>
      </c>
      <c r="BE190" s="30">
        <f t="shared" si="30"/>
        <v>4090909</v>
      </c>
      <c r="BF190" s="6">
        <f t="shared" si="31"/>
        <v>1</v>
      </c>
    </row>
    <row r="191" spans="1:58">
      <c r="A191" s="9" t="s">
        <v>674</v>
      </c>
      <c r="B191" s="9" t="s">
        <v>286</v>
      </c>
      <c r="C191" s="11" t="s">
        <v>701</v>
      </c>
      <c r="D191" s="9" t="s">
        <v>545</v>
      </c>
      <c r="E191" s="9" t="s">
        <v>544</v>
      </c>
      <c r="F191" s="9" t="s">
        <v>539</v>
      </c>
      <c r="G191" s="9" t="s">
        <v>538</v>
      </c>
      <c r="H191" s="9" t="s">
        <v>537</v>
      </c>
      <c r="L191" s="29">
        <v>0</v>
      </c>
      <c r="M191" s="29">
        <v>41046094</v>
      </c>
      <c r="N191" s="29">
        <v>18238364</v>
      </c>
      <c r="BE191" s="30">
        <f t="shared" ref="BE191:BE193" si="32">SUM(I191:BD191)</f>
        <v>59284458</v>
      </c>
      <c r="BF191" s="6">
        <f t="shared" ref="BF191:BF193" si="33">COUNTIF(I191:BD191, "&gt;0")</f>
        <v>2</v>
      </c>
    </row>
    <row r="192" spans="1:58">
      <c r="A192" s="9" t="s">
        <v>674</v>
      </c>
      <c r="B192" s="9" t="s">
        <v>286</v>
      </c>
      <c r="C192" s="11" t="s">
        <v>701</v>
      </c>
      <c r="D192" s="9" t="s">
        <v>545</v>
      </c>
      <c r="E192" s="9" t="s">
        <v>195</v>
      </c>
      <c r="F192" s="9" t="s">
        <v>543</v>
      </c>
      <c r="G192" s="9" t="s">
        <v>542</v>
      </c>
      <c r="H192" s="9" t="s">
        <v>540</v>
      </c>
      <c r="L192" s="29"/>
      <c r="M192" s="29"/>
      <c r="N192" s="29"/>
      <c r="O192" s="29"/>
      <c r="P192" s="29">
        <v>25000000</v>
      </c>
      <c r="Q192" s="29">
        <v>25000000</v>
      </c>
      <c r="R192" s="29">
        <v>25000000</v>
      </c>
      <c r="S192" s="29">
        <v>25000000</v>
      </c>
      <c r="T192" s="29">
        <v>25000000</v>
      </c>
      <c r="U192" s="29">
        <v>25000000</v>
      </c>
      <c r="V192" s="29">
        <v>25000000</v>
      </c>
      <c r="W192" s="29">
        <v>25000000</v>
      </c>
      <c r="X192" s="29">
        <v>25000000</v>
      </c>
      <c r="Y192" s="29">
        <v>25000000</v>
      </c>
      <c r="Z192" s="29">
        <v>25000000</v>
      </c>
      <c r="AA192" s="29">
        <v>25000000</v>
      </c>
      <c r="AB192" s="29">
        <v>25000000</v>
      </c>
      <c r="AC192" s="29">
        <v>25000000</v>
      </c>
      <c r="AD192" s="29">
        <v>25000000</v>
      </c>
      <c r="AE192" s="29">
        <v>25000000</v>
      </c>
      <c r="AF192" s="29">
        <v>25000000</v>
      </c>
      <c r="AG192" s="29">
        <v>25000000</v>
      </c>
      <c r="AH192" s="29">
        <v>25000000</v>
      </c>
      <c r="AI192" s="29">
        <v>25000000</v>
      </c>
      <c r="AJ192" s="29">
        <v>25000000</v>
      </c>
      <c r="AK192" s="29">
        <v>25000000</v>
      </c>
      <c r="AL192" s="29">
        <v>25000000</v>
      </c>
      <c r="AM192" s="29">
        <v>25000000</v>
      </c>
      <c r="AN192" s="29">
        <v>25000000</v>
      </c>
      <c r="AO192" s="29">
        <v>25000000</v>
      </c>
      <c r="AP192" s="29">
        <v>25000000</v>
      </c>
      <c r="AQ192" s="29">
        <v>25000000</v>
      </c>
      <c r="AR192" s="29">
        <v>25000000</v>
      </c>
      <c r="AS192" s="6">
        <v>25000000</v>
      </c>
      <c r="AT192" s="6">
        <v>25000000</v>
      </c>
      <c r="AU192" s="6">
        <v>25000000</v>
      </c>
      <c r="AV192" s="6">
        <v>25000000</v>
      </c>
      <c r="AW192" s="6">
        <v>25000000</v>
      </c>
      <c r="AX192" s="6">
        <v>25000000</v>
      </c>
      <c r="AY192" s="6">
        <v>25000000</v>
      </c>
      <c r="AZ192" s="6">
        <v>25000000</v>
      </c>
      <c r="BA192" s="6">
        <v>25000000</v>
      </c>
      <c r="BB192" s="6">
        <v>25000000</v>
      </c>
      <c r="BC192" s="6">
        <v>25000000</v>
      </c>
      <c r="BD192" s="6">
        <v>25000000</v>
      </c>
      <c r="BE192" s="30">
        <f t="shared" si="32"/>
        <v>1025000000</v>
      </c>
      <c r="BF192" s="6">
        <f t="shared" si="33"/>
        <v>41</v>
      </c>
    </row>
    <row r="193" spans="1:58">
      <c r="A193" s="9" t="s">
        <v>674</v>
      </c>
      <c r="B193" s="9" t="s">
        <v>286</v>
      </c>
      <c r="C193" s="11" t="s">
        <v>701</v>
      </c>
      <c r="D193" s="9" t="s">
        <v>545</v>
      </c>
      <c r="E193" s="9" t="s">
        <v>195</v>
      </c>
      <c r="F193" s="9" t="s">
        <v>422</v>
      </c>
      <c r="G193" s="9" t="s">
        <v>17</v>
      </c>
      <c r="H193" s="9" t="s">
        <v>541</v>
      </c>
      <c r="L193" s="29"/>
      <c r="M193" s="29"/>
      <c r="N193" s="29"/>
      <c r="O193" s="29">
        <v>25000000</v>
      </c>
      <c r="BE193" s="30">
        <f t="shared" si="32"/>
        <v>25000000</v>
      </c>
      <c r="BF193" s="6">
        <f t="shared" si="33"/>
        <v>1</v>
      </c>
    </row>
    <row r="194" spans="1:58">
      <c r="A194" s="9" t="s">
        <v>674</v>
      </c>
      <c r="B194" s="9" t="s">
        <v>286</v>
      </c>
      <c r="C194" s="11" t="s">
        <v>548</v>
      </c>
      <c r="D194" s="9" t="s">
        <v>547</v>
      </c>
      <c r="E194" s="9" t="s">
        <v>8</v>
      </c>
      <c r="F194" s="9"/>
      <c r="G194" s="9" t="s">
        <v>17</v>
      </c>
      <c r="H194" s="9" t="s">
        <v>546</v>
      </c>
      <c r="I194" s="29">
        <v>20000000</v>
      </c>
      <c r="J194" s="29">
        <v>0</v>
      </c>
      <c r="K194" s="29">
        <v>0</v>
      </c>
      <c r="L194" s="29">
        <v>0</v>
      </c>
      <c r="M194" s="29">
        <v>0</v>
      </c>
      <c r="N194" s="29">
        <v>0</v>
      </c>
      <c r="BE194" s="30">
        <f t="shared" ref="BE194:BE215" si="34">SUM(I194:BD194)</f>
        <v>20000000</v>
      </c>
      <c r="BF194" s="6">
        <f t="shared" ref="BF194:BF215" si="35">COUNTIF(I194:BD194, "&gt;0")</f>
        <v>1</v>
      </c>
    </row>
    <row r="195" spans="1:58">
      <c r="A195" s="9" t="s">
        <v>674</v>
      </c>
      <c r="B195" s="9" t="s">
        <v>322</v>
      </c>
      <c r="C195" s="11" t="s">
        <v>703</v>
      </c>
      <c r="D195" s="9" t="s">
        <v>556</v>
      </c>
      <c r="E195" s="9" t="s">
        <v>195</v>
      </c>
      <c r="F195" s="9" t="s">
        <v>0</v>
      </c>
      <c r="G195" s="9" t="s">
        <v>1</v>
      </c>
      <c r="H195" s="9" t="s">
        <v>551</v>
      </c>
      <c r="I195" s="29">
        <v>37907612</v>
      </c>
      <c r="J195" s="29">
        <v>33431073</v>
      </c>
      <c r="K195" s="29">
        <v>37550375</v>
      </c>
      <c r="L195" s="29">
        <v>37546395</v>
      </c>
      <c r="M195" s="29">
        <v>36764028</v>
      </c>
      <c r="N195" s="29">
        <v>38719629</v>
      </c>
      <c r="BE195" s="30">
        <f t="shared" si="34"/>
        <v>221919112</v>
      </c>
      <c r="BF195" s="6">
        <f t="shared" si="35"/>
        <v>6</v>
      </c>
    </row>
    <row r="196" spans="1:58">
      <c r="A196" s="9" t="s">
        <v>674</v>
      </c>
      <c r="B196" s="9" t="s">
        <v>322</v>
      </c>
      <c r="C196" s="11" t="s">
        <v>703</v>
      </c>
      <c r="D196" s="9" t="s">
        <v>556</v>
      </c>
      <c r="E196" s="9" t="s">
        <v>195</v>
      </c>
      <c r="F196" s="9" t="s">
        <v>555</v>
      </c>
      <c r="G196" s="9" t="s">
        <v>554</v>
      </c>
      <c r="H196" s="9" t="s">
        <v>552</v>
      </c>
      <c r="I196" s="29"/>
      <c r="J196" s="29"/>
      <c r="K196" s="29"/>
      <c r="L196" s="29"/>
      <c r="M196" s="29"/>
      <c r="N196" s="29"/>
      <c r="O196" s="29"/>
      <c r="P196" s="29">
        <v>32000000</v>
      </c>
      <c r="Q196" s="29">
        <v>32000000</v>
      </c>
      <c r="R196" s="29">
        <v>32000000</v>
      </c>
      <c r="S196" s="29">
        <v>32000000</v>
      </c>
      <c r="T196" s="29">
        <v>32000000</v>
      </c>
      <c r="U196" s="29">
        <v>36000000</v>
      </c>
      <c r="V196" s="29">
        <v>36000000</v>
      </c>
      <c r="W196" s="29">
        <v>36000000</v>
      </c>
      <c r="X196" s="29">
        <v>36000000</v>
      </c>
      <c r="Y196" s="29">
        <v>36000000</v>
      </c>
      <c r="Z196" s="29">
        <v>36000000</v>
      </c>
      <c r="AA196" s="29">
        <v>36000000</v>
      </c>
      <c r="AB196" s="29">
        <v>36000000</v>
      </c>
      <c r="AC196" s="29">
        <v>36000000</v>
      </c>
      <c r="AD196" s="29">
        <v>36000000</v>
      </c>
      <c r="AE196" s="29">
        <v>36000000</v>
      </c>
      <c r="AF196" s="29">
        <v>36000000</v>
      </c>
      <c r="AG196" s="29">
        <v>36000000</v>
      </c>
      <c r="AH196" s="29">
        <v>36000000</v>
      </c>
      <c r="AI196" s="29">
        <v>36000000</v>
      </c>
      <c r="AJ196" s="29">
        <v>36000000</v>
      </c>
      <c r="AK196" s="29">
        <v>36000000</v>
      </c>
      <c r="AL196" s="29">
        <v>36000000</v>
      </c>
      <c r="AM196" s="29">
        <v>36000000</v>
      </c>
      <c r="AN196" s="29">
        <v>36000000</v>
      </c>
      <c r="AO196" s="29">
        <v>36000000</v>
      </c>
      <c r="AP196" s="29">
        <v>36000000</v>
      </c>
      <c r="AQ196" s="29">
        <v>36000000</v>
      </c>
      <c r="AR196" s="29">
        <v>36000000</v>
      </c>
      <c r="AS196" s="6">
        <v>36000000</v>
      </c>
      <c r="AT196" s="6">
        <v>36000000</v>
      </c>
      <c r="AU196" s="6">
        <v>36000000</v>
      </c>
      <c r="AV196" s="6">
        <v>36000000</v>
      </c>
      <c r="AW196" s="6">
        <v>36000000</v>
      </c>
      <c r="AX196" s="6">
        <v>36000000</v>
      </c>
      <c r="AY196" s="6">
        <v>36000000</v>
      </c>
      <c r="AZ196" s="6">
        <v>36000000</v>
      </c>
      <c r="BA196" s="6">
        <v>36000000</v>
      </c>
      <c r="BB196" s="6">
        <v>36000000</v>
      </c>
      <c r="BC196" s="6">
        <v>36000000</v>
      </c>
      <c r="BD196" s="6">
        <v>36000000</v>
      </c>
      <c r="BE196" s="30">
        <f t="shared" si="34"/>
        <v>1456000000</v>
      </c>
      <c r="BF196" s="6">
        <f t="shared" si="35"/>
        <v>41</v>
      </c>
    </row>
    <row r="197" spans="1:58">
      <c r="A197" s="9" t="s">
        <v>674</v>
      </c>
      <c r="B197" s="9" t="s">
        <v>322</v>
      </c>
      <c r="C197" s="11" t="s">
        <v>703</v>
      </c>
      <c r="D197" s="9" t="s">
        <v>556</v>
      </c>
      <c r="E197" s="9" t="s">
        <v>195</v>
      </c>
      <c r="F197" s="9" t="s">
        <v>422</v>
      </c>
      <c r="G197" s="9" t="s">
        <v>1</v>
      </c>
      <c r="H197" s="9" t="s">
        <v>553</v>
      </c>
      <c r="I197" s="29"/>
      <c r="J197" s="29"/>
      <c r="K197" s="29"/>
      <c r="L197" s="29"/>
      <c r="M197" s="29"/>
      <c r="N197" s="29"/>
      <c r="O197" s="29">
        <v>32000000</v>
      </c>
      <c r="BE197" s="30">
        <f t="shared" si="34"/>
        <v>32000000</v>
      </c>
      <c r="BF197" s="6">
        <f t="shared" si="35"/>
        <v>1</v>
      </c>
    </row>
    <row r="198" spans="1:58">
      <c r="A198" s="9" t="s">
        <v>674</v>
      </c>
      <c r="B198" s="9" t="s">
        <v>322</v>
      </c>
      <c r="C198" s="11" t="s">
        <v>704</v>
      </c>
      <c r="D198" s="9" t="s">
        <v>563</v>
      </c>
      <c r="E198" s="9" t="s">
        <v>195</v>
      </c>
      <c r="F198" s="9" t="s">
        <v>0</v>
      </c>
      <c r="G198" s="9" t="s">
        <v>1</v>
      </c>
      <c r="H198" s="9" t="s">
        <v>558</v>
      </c>
      <c r="I198" s="29">
        <v>600000</v>
      </c>
      <c r="J198" s="29">
        <v>600000</v>
      </c>
      <c r="K198" s="29">
        <v>600000</v>
      </c>
      <c r="L198" s="29">
        <v>600000</v>
      </c>
      <c r="M198" s="29">
        <v>600000</v>
      </c>
      <c r="N198" s="29">
        <v>600000</v>
      </c>
      <c r="BE198" s="30">
        <f t="shared" si="34"/>
        <v>3600000</v>
      </c>
      <c r="BF198" s="6">
        <f t="shared" si="35"/>
        <v>6</v>
      </c>
    </row>
    <row r="199" spans="1:58">
      <c r="A199" s="9" t="s">
        <v>674</v>
      </c>
      <c r="B199" s="9" t="s">
        <v>322</v>
      </c>
      <c r="C199" s="11" t="s">
        <v>704</v>
      </c>
      <c r="D199" s="9" t="s">
        <v>563</v>
      </c>
      <c r="E199" s="9" t="s">
        <v>195</v>
      </c>
      <c r="F199" s="9" t="s">
        <v>562</v>
      </c>
      <c r="G199" s="9" t="s">
        <v>561</v>
      </c>
      <c r="H199" s="9" t="s">
        <v>559</v>
      </c>
      <c r="I199" s="29"/>
      <c r="J199" s="29"/>
      <c r="K199" s="29"/>
      <c r="L199" s="29"/>
      <c r="M199" s="29"/>
      <c r="N199" s="29"/>
      <c r="O199" s="29"/>
      <c r="P199" s="29">
        <v>600000</v>
      </c>
      <c r="Q199" s="29">
        <v>600000</v>
      </c>
      <c r="R199" s="29">
        <v>600000</v>
      </c>
      <c r="S199" s="29">
        <v>600000</v>
      </c>
      <c r="T199" s="29">
        <v>600000</v>
      </c>
      <c r="U199" s="29">
        <v>600000</v>
      </c>
      <c r="V199" s="29">
        <v>600000</v>
      </c>
      <c r="W199" s="29">
        <v>600000</v>
      </c>
      <c r="X199" s="29">
        <v>600000</v>
      </c>
      <c r="Y199" s="29">
        <v>600000</v>
      </c>
      <c r="Z199" s="29">
        <v>600000</v>
      </c>
      <c r="AA199" s="29">
        <v>600000</v>
      </c>
      <c r="AB199" s="29">
        <v>600000</v>
      </c>
      <c r="AC199" s="29">
        <v>600000</v>
      </c>
      <c r="AD199" s="29">
        <v>600000</v>
      </c>
      <c r="AE199" s="29">
        <v>600000</v>
      </c>
      <c r="AF199" s="29">
        <v>600000</v>
      </c>
      <c r="AG199" s="29">
        <v>600000</v>
      </c>
      <c r="AH199" s="29">
        <v>600000</v>
      </c>
      <c r="BE199" s="30">
        <f t="shared" si="34"/>
        <v>11400000</v>
      </c>
      <c r="BF199" s="6">
        <f t="shared" si="35"/>
        <v>19</v>
      </c>
    </row>
    <row r="200" spans="1:58">
      <c r="A200" s="9" t="s">
        <v>674</v>
      </c>
      <c r="B200" s="9" t="s">
        <v>322</v>
      </c>
      <c r="C200" s="11" t="s">
        <v>704</v>
      </c>
      <c r="D200" s="9" t="s">
        <v>563</v>
      </c>
      <c r="E200" s="9" t="s">
        <v>195</v>
      </c>
      <c r="F200" s="9" t="s">
        <v>422</v>
      </c>
      <c r="G200" s="9" t="s">
        <v>1</v>
      </c>
      <c r="H200" s="9" t="s">
        <v>560</v>
      </c>
      <c r="I200" s="29"/>
      <c r="J200" s="29"/>
      <c r="K200" s="29"/>
      <c r="L200" s="29"/>
      <c r="M200" s="29"/>
      <c r="N200" s="29"/>
      <c r="O200" s="29">
        <v>600000</v>
      </c>
      <c r="BE200" s="30">
        <f t="shared" si="34"/>
        <v>600000</v>
      </c>
      <c r="BF200" s="6">
        <f t="shared" si="35"/>
        <v>1</v>
      </c>
    </row>
    <row r="201" spans="1:58">
      <c r="A201" s="9" t="s">
        <v>674</v>
      </c>
      <c r="B201" s="9" t="s">
        <v>322</v>
      </c>
      <c r="C201" s="11" t="s">
        <v>705</v>
      </c>
      <c r="D201" s="9" t="s">
        <v>570</v>
      </c>
      <c r="E201" s="9" t="s">
        <v>195</v>
      </c>
      <c r="F201" s="9" t="s">
        <v>0</v>
      </c>
      <c r="G201" s="9" t="s">
        <v>38</v>
      </c>
      <c r="H201" s="9" t="s">
        <v>565</v>
      </c>
      <c r="I201" s="29">
        <v>93751343</v>
      </c>
      <c r="J201" s="29">
        <v>81634449</v>
      </c>
      <c r="K201" s="29">
        <v>86755906</v>
      </c>
      <c r="L201" s="29">
        <v>93113488</v>
      </c>
      <c r="M201" s="29">
        <v>80890486</v>
      </c>
      <c r="N201" s="29">
        <v>82291049</v>
      </c>
      <c r="BE201" s="30">
        <f t="shared" si="34"/>
        <v>518436721</v>
      </c>
      <c r="BF201" s="6">
        <f t="shared" si="35"/>
        <v>6</v>
      </c>
    </row>
    <row r="202" spans="1:58">
      <c r="A202" s="9" t="s">
        <v>674</v>
      </c>
      <c r="B202" s="9" t="s">
        <v>322</v>
      </c>
      <c r="C202" s="11" t="s">
        <v>705</v>
      </c>
      <c r="D202" s="9" t="s">
        <v>570</v>
      </c>
      <c r="E202" s="9" t="s">
        <v>195</v>
      </c>
      <c r="F202" s="9" t="s">
        <v>569</v>
      </c>
      <c r="G202" s="9" t="s">
        <v>568</v>
      </c>
      <c r="H202" s="9" t="s">
        <v>566</v>
      </c>
      <c r="I202" s="29"/>
      <c r="J202" s="29"/>
      <c r="K202" s="29"/>
      <c r="L202" s="29"/>
      <c r="M202" s="29"/>
      <c r="N202" s="29"/>
      <c r="O202" s="29"/>
      <c r="P202" s="29">
        <v>70000000</v>
      </c>
      <c r="Q202" s="29">
        <v>70000000</v>
      </c>
      <c r="R202" s="29">
        <v>70000000</v>
      </c>
      <c r="S202" s="29">
        <v>70000000</v>
      </c>
      <c r="T202" s="29">
        <v>70000000</v>
      </c>
      <c r="U202" s="29">
        <v>87000000</v>
      </c>
      <c r="V202" s="29">
        <v>87000000</v>
      </c>
      <c r="W202" s="29">
        <v>87000000</v>
      </c>
      <c r="X202" s="29">
        <v>87000000</v>
      </c>
      <c r="Y202" s="29">
        <v>87000000</v>
      </c>
      <c r="Z202" s="29">
        <v>87000000</v>
      </c>
      <c r="AA202" s="29">
        <v>87000000</v>
      </c>
      <c r="AB202" s="29">
        <v>87000000</v>
      </c>
      <c r="AC202" s="29">
        <v>87000000</v>
      </c>
      <c r="AD202" s="29">
        <v>87000000</v>
      </c>
      <c r="AE202" s="29">
        <v>87000000</v>
      </c>
      <c r="AF202" s="29">
        <v>87000000</v>
      </c>
      <c r="AG202" s="29">
        <v>87000000</v>
      </c>
      <c r="AH202" s="29">
        <v>87000000</v>
      </c>
      <c r="AI202" s="29">
        <v>87000000</v>
      </c>
      <c r="AJ202" s="29">
        <v>87000000</v>
      </c>
      <c r="AK202" s="29">
        <v>87000000</v>
      </c>
      <c r="AL202" s="29">
        <v>87000000</v>
      </c>
      <c r="AM202" s="29">
        <v>87000000</v>
      </c>
      <c r="AN202" s="29">
        <v>87000000</v>
      </c>
      <c r="AO202" s="29">
        <v>87000000</v>
      </c>
      <c r="AP202" s="29">
        <v>87000000</v>
      </c>
      <c r="AQ202" s="29">
        <v>87000000</v>
      </c>
      <c r="AR202" s="29">
        <v>87000000</v>
      </c>
      <c r="AS202" s="6">
        <v>87000000</v>
      </c>
      <c r="AT202" s="6">
        <v>87000000</v>
      </c>
      <c r="AU202" s="6">
        <v>87000000</v>
      </c>
      <c r="AV202" s="6">
        <v>87000000</v>
      </c>
      <c r="AW202" s="6">
        <v>87000000</v>
      </c>
      <c r="AX202" s="6">
        <v>87000000</v>
      </c>
      <c r="AY202" s="6">
        <v>87000000</v>
      </c>
      <c r="AZ202" s="6">
        <v>87000000</v>
      </c>
      <c r="BA202" s="6">
        <v>87000000</v>
      </c>
      <c r="BB202" s="6">
        <v>87000000</v>
      </c>
      <c r="BC202" s="6">
        <v>87000000</v>
      </c>
      <c r="BD202" s="6">
        <v>87000000</v>
      </c>
      <c r="BE202" s="30">
        <f t="shared" si="34"/>
        <v>3482000000</v>
      </c>
      <c r="BF202" s="6">
        <f t="shared" si="35"/>
        <v>41</v>
      </c>
    </row>
    <row r="203" spans="1:58">
      <c r="A203" s="9" t="s">
        <v>674</v>
      </c>
      <c r="B203" s="9" t="s">
        <v>322</v>
      </c>
      <c r="C203" s="11" t="s">
        <v>705</v>
      </c>
      <c r="D203" s="9" t="s">
        <v>570</v>
      </c>
      <c r="E203" s="9" t="s">
        <v>195</v>
      </c>
      <c r="F203" s="9" t="s">
        <v>422</v>
      </c>
      <c r="G203" s="9" t="s">
        <v>38</v>
      </c>
      <c r="H203" s="9" t="s">
        <v>567</v>
      </c>
      <c r="I203" s="29"/>
      <c r="J203" s="29"/>
      <c r="K203" s="29"/>
      <c r="L203" s="29"/>
      <c r="M203" s="29"/>
      <c r="N203" s="29"/>
      <c r="O203" s="29">
        <v>70000000</v>
      </c>
      <c r="BE203" s="30">
        <f t="shared" si="34"/>
        <v>70000000</v>
      </c>
      <c r="BF203" s="6">
        <f t="shared" si="35"/>
        <v>1</v>
      </c>
    </row>
    <row r="204" spans="1:58">
      <c r="A204" s="9" t="s">
        <v>674</v>
      </c>
      <c r="B204" s="9" t="s">
        <v>322</v>
      </c>
      <c r="C204" s="11" t="s">
        <v>694</v>
      </c>
      <c r="D204" s="9" t="s">
        <v>577</v>
      </c>
      <c r="E204" s="9" t="s">
        <v>195</v>
      </c>
      <c r="F204" s="9" t="s">
        <v>0</v>
      </c>
      <c r="G204" s="9" t="s">
        <v>11</v>
      </c>
      <c r="H204" s="9" t="s">
        <v>572</v>
      </c>
      <c r="I204" s="29">
        <v>450000</v>
      </c>
      <c r="J204" s="29">
        <v>450000</v>
      </c>
      <c r="K204" s="29">
        <v>450000</v>
      </c>
      <c r="L204" s="29">
        <v>450000</v>
      </c>
      <c r="M204" s="29">
        <v>450000</v>
      </c>
      <c r="N204" s="29">
        <v>450000</v>
      </c>
      <c r="BE204" s="30">
        <f t="shared" si="34"/>
        <v>2700000</v>
      </c>
      <c r="BF204" s="6">
        <f t="shared" si="35"/>
        <v>6</v>
      </c>
    </row>
    <row r="205" spans="1:58">
      <c r="A205" s="9" t="s">
        <v>674</v>
      </c>
      <c r="B205" s="9" t="s">
        <v>322</v>
      </c>
      <c r="C205" s="11" t="s">
        <v>694</v>
      </c>
      <c r="D205" s="9" t="s">
        <v>577</v>
      </c>
      <c r="E205" s="9" t="s">
        <v>195</v>
      </c>
      <c r="F205" s="9" t="s">
        <v>576</v>
      </c>
      <c r="G205" s="9" t="s">
        <v>575</v>
      </c>
      <c r="H205" s="9" t="s">
        <v>573</v>
      </c>
      <c r="I205" s="29"/>
      <c r="J205" s="29"/>
      <c r="K205" s="29"/>
      <c r="L205" s="29"/>
      <c r="M205" s="29"/>
      <c r="N205" s="29"/>
      <c r="O205" s="29"/>
      <c r="P205" s="29">
        <v>450000</v>
      </c>
      <c r="Q205" s="29">
        <v>450000</v>
      </c>
      <c r="R205" s="29">
        <v>450000</v>
      </c>
      <c r="S205" s="29">
        <v>450000</v>
      </c>
      <c r="T205" s="29">
        <v>450000</v>
      </c>
      <c r="U205" s="29">
        <v>450000</v>
      </c>
      <c r="V205" s="29">
        <v>450000</v>
      </c>
      <c r="W205" s="29">
        <v>450000</v>
      </c>
      <c r="X205" s="29">
        <v>450000</v>
      </c>
      <c r="Y205" s="29">
        <v>450000</v>
      </c>
      <c r="Z205" s="29">
        <v>450000</v>
      </c>
      <c r="AA205" s="29">
        <v>450000</v>
      </c>
      <c r="AB205" s="29">
        <v>450000</v>
      </c>
      <c r="AC205" s="29">
        <v>450000</v>
      </c>
      <c r="AD205" s="29">
        <v>450000</v>
      </c>
      <c r="AE205" s="29">
        <v>450000</v>
      </c>
      <c r="AF205" s="29">
        <v>450000</v>
      </c>
      <c r="AG205" s="29">
        <v>450000</v>
      </c>
      <c r="AH205" s="29">
        <v>450000</v>
      </c>
      <c r="AI205" s="29">
        <v>450000</v>
      </c>
      <c r="AJ205" s="29">
        <v>450000</v>
      </c>
      <c r="AK205" s="29">
        <v>450000</v>
      </c>
      <c r="AL205" s="29">
        <v>450000</v>
      </c>
      <c r="AM205" s="29">
        <v>450000</v>
      </c>
      <c r="AN205" s="29">
        <v>450000</v>
      </c>
      <c r="AO205" s="29">
        <v>450000</v>
      </c>
      <c r="AP205" s="29">
        <v>450000</v>
      </c>
      <c r="AQ205" s="29">
        <v>450000</v>
      </c>
      <c r="AR205" s="29">
        <v>450000</v>
      </c>
      <c r="AS205" s="6">
        <v>450000</v>
      </c>
      <c r="AT205" s="6">
        <v>450000</v>
      </c>
      <c r="AU205" s="6">
        <v>450000</v>
      </c>
      <c r="AV205" s="6">
        <v>450000</v>
      </c>
      <c r="AW205" s="6">
        <v>450000</v>
      </c>
      <c r="AX205" s="6">
        <v>450000</v>
      </c>
      <c r="AY205" s="6">
        <v>450000</v>
      </c>
      <c r="AZ205" s="6">
        <v>450000</v>
      </c>
      <c r="BA205" s="6">
        <v>450000</v>
      </c>
      <c r="BB205" s="6">
        <v>450000</v>
      </c>
      <c r="BC205" s="6">
        <v>450000</v>
      </c>
      <c r="BD205" s="6">
        <v>450000</v>
      </c>
      <c r="BE205" s="30">
        <f t="shared" si="34"/>
        <v>18450000</v>
      </c>
      <c r="BF205" s="6">
        <f t="shared" si="35"/>
        <v>41</v>
      </c>
    </row>
    <row r="206" spans="1:58">
      <c r="A206" s="9" t="s">
        <v>674</v>
      </c>
      <c r="B206" s="9" t="s">
        <v>322</v>
      </c>
      <c r="C206" s="11" t="s">
        <v>694</v>
      </c>
      <c r="D206" s="9" t="s">
        <v>577</v>
      </c>
      <c r="E206" s="9" t="s">
        <v>195</v>
      </c>
      <c r="F206" s="9" t="s">
        <v>194</v>
      </c>
      <c r="G206" s="9" t="s">
        <v>11</v>
      </c>
      <c r="H206" s="9" t="s">
        <v>574</v>
      </c>
      <c r="I206" s="29"/>
      <c r="J206" s="29"/>
      <c r="K206" s="29"/>
      <c r="L206" s="29"/>
      <c r="M206" s="29"/>
      <c r="N206" s="29"/>
      <c r="O206" s="29">
        <v>450000</v>
      </c>
      <c r="BE206" s="30">
        <f t="shared" si="34"/>
        <v>450000</v>
      </c>
      <c r="BF206" s="6">
        <f t="shared" si="35"/>
        <v>1</v>
      </c>
    </row>
    <row r="207" spans="1:58">
      <c r="A207" s="9" t="s">
        <v>674</v>
      </c>
      <c r="B207" s="9" t="s">
        <v>322</v>
      </c>
      <c r="C207" s="11" t="s">
        <v>584</v>
      </c>
      <c r="D207" s="9" t="s">
        <v>583</v>
      </c>
      <c r="E207" s="9" t="s">
        <v>132</v>
      </c>
      <c r="F207" s="9"/>
      <c r="G207" s="9" t="s">
        <v>17</v>
      </c>
      <c r="H207" s="9" t="s">
        <v>579</v>
      </c>
      <c r="I207" s="29">
        <v>0</v>
      </c>
      <c r="J207" s="29">
        <v>0</v>
      </c>
      <c r="K207" s="29">
        <v>0</v>
      </c>
      <c r="L207" s="29">
        <v>95000</v>
      </c>
      <c r="M207" s="29">
        <v>95000</v>
      </c>
      <c r="N207" s="29">
        <v>95000</v>
      </c>
      <c r="BE207" s="30">
        <f t="shared" si="34"/>
        <v>285000</v>
      </c>
      <c r="BF207" s="6">
        <f t="shared" si="35"/>
        <v>3</v>
      </c>
    </row>
    <row r="208" spans="1:58">
      <c r="A208" s="9" t="s">
        <v>674</v>
      </c>
      <c r="B208" s="9" t="s">
        <v>322</v>
      </c>
      <c r="C208" s="11" t="s">
        <v>584</v>
      </c>
      <c r="D208" s="9" t="s">
        <v>583</v>
      </c>
      <c r="E208" s="9" t="s">
        <v>132</v>
      </c>
      <c r="F208" s="9"/>
      <c r="G208" s="9" t="s">
        <v>582</v>
      </c>
      <c r="H208" s="9" t="s">
        <v>580</v>
      </c>
      <c r="I208" s="29"/>
      <c r="J208" s="29"/>
      <c r="K208" s="29"/>
      <c r="L208" s="29"/>
      <c r="M208" s="29"/>
      <c r="N208" s="29"/>
      <c r="O208" s="29"/>
      <c r="P208" s="29">
        <v>95000</v>
      </c>
      <c r="Q208" s="29">
        <v>95000</v>
      </c>
      <c r="R208" s="29">
        <v>95000</v>
      </c>
      <c r="S208" s="29">
        <v>95000</v>
      </c>
      <c r="T208" s="29">
        <v>95000</v>
      </c>
      <c r="U208" s="29">
        <v>95000</v>
      </c>
      <c r="V208" s="29">
        <v>95000</v>
      </c>
      <c r="W208" s="29">
        <v>95000</v>
      </c>
      <c r="BE208" s="30">
        <f t="shared" si="34"/>
        <v>760000</v>
      </c>
      <c r="BF208" s="6">
        <f t="shared" si="35"/>
        <v>8</v>
      </c>
    </row>
    <row r="209" spans="1:58">
      <c r="A209" s="9" t="s">
        <v>674</v>
      </c>
      <c r="B209" s="9" t="s">
        <v>322</v>
      </c>
      <c r="C209" s="11" t="s">
        <v>584</v>
      </c>
      <c r="D209" s="9" t="s">
        <v>583</v>
      </c>
      <c r="E209" s="9" t="s">
        <v>132</v>
      </c>
      <c r="F209" s="9"/>
      <c r="G209" s="9" t="s">
        <v>17</v>
      </c>
      <c r="H209" s="9" t="s">
        <v>581</v>
      </c>
      <c r="I209" s="29"/>
      <c r="J209" s="29"/>
      <c r="K209" s="29"/>
      <c r="L209" s="29"/>
      <c r="M209" s="29"/>
      <c r="N209" s="29"/>
      <c r="O209" s="29">
        <v>95000</v>
      </c>
      <c r="BE209" s="30">
        <f t="shared" si="34"/>
        <v>95000</v>
      </c>
      <c r="BF209" s="6">
        <f t="shared" si="35"/>
        <v>1</v>
      </c>
    </row>
    <row r="210" spans="1:58">
      <c r="A210" s="9" t="s">
        <v>674</v>
      </c>
      <c r="B210" s="9" t="s">
        <v>322</v>
      </c>
      <c r="C210" s="11" t="s">
        <v>590</v>
      </c>
      <c r="D210" s="9" t="s">
        <v>589</v>
      </c>
      <c r="E210" s="9" t="s">
        <v>132</v>
      </c>
      <c r="F210" s="9"/>
      <c r="G210" s="9" t="s">
        <v>17</v>
      </c>
      <c r="H210" s="9" t="s">
        <v>585</v>
      </c>
      <c r="I210" s="29">
        <v>385000</v>
      </c>
      <c r="J210" s="29">
        <v>385000</v>
      </c>
      <c r="K210" s="29">
        <v>385000</v>
      </c>
      <c r="L210" s="29">
        <v>385000</v>
      </c>
      <c r="M210" s="29">
        <v>1185000</v>
      </c>
      <c r="N210" s="29">
        <v>1185000</v>
      </c>
      <c r="BE210" s="30">
        <f t="shared" si="34"/>
        <v>3910000</v>
      </c>
      <c r="BF210" s="6">
        <f t="shared" si="35"/>
        <v>6</v>
      </c>
    </row>
    <row r="211" spans="1:58">
      <c r="A211" s="9" t="s">
        <v>674</v>
      </c>
      <c r="B211" s="9" t="s">
        <v>322</v>
      </c>
      <c r="C211" s="11" t="s">
        <v>590</v>
      </c>
      <c r="D211" s="9" t="s">
        <v>589</v>
      </c>
      <c r="E211" s="9" t="s">
        <v>132</v>
      </c>
      <c r="F211" s="9"/>
      <c r="G211" s="9" t="s">
        <v>588</v>
      </c>
      <c r="H211" s="9" t="s">
        <v>586</v>
      </c>
      <c r="I211" s="29"/>
      <c r="J211" s="29"/>
      <c r="K211" s="29"/>
      <c r="L211" s="29"/>
      <c r="M211" s="29"/>
      <c r="N211" s="29"/>
      <c r="O211" s="29"/>
      <c r="P211" s="29">
        <v>800000</v>
      </c>
      <c r="Q211" s="29">
        <v>800000</v>
      </c>
      <c r="R211" s="29">
        <v>800000</v>
      </c>
      <c r="S211" s="29">
        <v>800000</v>
      </c>
      <c r="T211" s="29">
        <v>800000</v>
      </c>
      <c r="U211" s="29">
        <v>800000</v>
      </c>
      <c r="V211" s="29">
        <v>800000</v>
      </c>
      <c r="W211" s="29">
        <v>800000</v>
      </c>
      <c r="X211" s="29">
        <v>800000</v>
      </c>
      <c r="BE211" s="30">
        <f t="shared" si="34"/>
        <v>7200000</v>
      </c>
      <c r="BF211" s="6">
        <f t="shared" si="35"/>
        <v>9</v>
      </c>
    </row>
    <row r="212" spans="1:58">
      <c r="A212" s="9" t="s">
        <v>674</v>
      </c>
      <c r="B212" s="9" t="s">
        <v>322</v>
      </c>
      <c r="C212" s="11" t="s">
        <v>590</v>
      </c>
      <c r="D212" s="9" t="s">
        <v>589</v>
      </c>
      <c r="E212" s="9" t="s">
        <v>132</v>
      </c>
      <c r="F212" s="9"/>
      <c r="G212" s="9" t="s">
        <v>17</v>
      </c>
      <c r="H212" s="9" t="s">
        <v>587</v>
      </c>
      <c r="I212" s="29"/>
      <c r="J212" s="29"/>
      <c r="K212" s="29"/>
      <c r="L212" s="29"/>
      <c r="M212" s="29"/>
      <c r="N212" s="29"/>
      <c r="O212" s="29">
        <v>800000</v>
      </c>
      <c r="BE212" s="30">
        <f t="shared" si="34"/>
        <v>800000</v>
      </c>
      <c r="BF212" s="6">
        <f t="shared" si="35"/>
        <v>1</v>
      </c>
    </row>
    <row r="213" spans="1:58">
      <c r="A213" s="9" t="s">
        <v>674</v>
      </c>
      <c r="B213" s="9" t="s">
        <v>322</v>
      </c>
      <c r="C213" s="11" t="s">
        <v>596</v>
      </c>
      <c r="D213" s="9" t="s">
        <v>595</v>
      </c>
      <c r="E213" s="9" t="s">
        <v>132</v>
      </c>
      <c r="F213" s="9"/>
      <c r="G213" s="9" t="s">
        <v>17</v>
      </c>
      <c r="H213" s="9" t="s">
        <v>591</v>
      </c>
      <c r="I213" s="29">
        <v>0</v>
      </c>
      <c r="J213" s="29">
        <v>0</v>
      </c>
      <c r="K213" s="29">
        <v>300000</v>
      </c>
      <c r="L213" s="29">
        <v>300000</v>
      </c>
      <c r="M213" s="29">
        <v>300000</v>
      </c>
      <c r="N213" s="29">
        <v>900000</v>
      </c>
      <c r="BE213" s="30">
        <f t="shared" si="34"/>
        <v>1800000</v>
      </c>
      <c r="BF213" s="6">
        <f t="shared" si="35"/>
        <v>4</v>
      </c>
    </row>
    <row r="214" spans="1:58">
      <c r="A214" s="9" t="s">
        <v>674</v>
      </c>
      <c r="B214" s="9" t="s">
        <v>322</v>
      </c>
      <c r="C214" s="11" t="s">
        <v>596</v>
      </c>
      <c r="D214" s="9" t="s">
        <v>595</v>
      </c>
      <c r="E214" s="9" t="s">
        <v>132</v>
      </c>
      <c r="F214" s="9"/>
      <c r="G214" s="9" t="s">
        <v>594</v>
      </c>
      <c r="H214" s="9" t="s">
        <v>592</v>
      </c>
      <c r="I214" s="29"/>
      <c r="J214" s="29"/>
      <c r="K214" s="29"/>
      <c r="L214" s="29"/>
      <c r="M214" s="29"/>
      <c r="N214" s="29"/>
      <c r="O214" s="29"/>
      <c r="P214" s="29">
        <v>900000</v>
      </c>
      <c r="Q214" s="29">
        <v>900000</v>
      </c>
      <c r="R214" s="29">
        <v>900000</v>
      </c>
      <c r="S214" s="29">
        <v>900000</v>
      </c>
      <c r="T214" s="29">
        <v>900000</v>
      </c>
      <c r="U214" s="29">
        <v>900000</v>
      </c>
      <c r="V214" s="29">
        <v>900000</v>
      </c>
      <c r="W214" s="29">
        <v>900000</v>
      </c>
      <c r="X214" s="29">
        <v>900000</v>
      </c>
      <c r="Y214" s="29">
        <v>900000</v>
      </c>
      <c r="Z214" s="29">
        <v>900000</v>
      </c>
      <c r="AA214" s="29">
        <v>900000</v>
      </c>
      <c r="AB214" s="29">
        <v>900000</v>
      </c>
      <c r="AC214" s="29">
        <v>900000</v>
      </c>
      <c r="AD214" s="29">
        <v>900000</v>
      </c>
      <c r="AE214" s="29">
        <v>900000</v>
      </c>
      <c r="AF214" s="29">
        <v>900000</v>
      </c>
      <c r="AG214" s="29">
        <v>900000</v>
      </c>
      <c r="AH214" s="29">
        <v>900000</v>
      </c>
      <c r="AI214" s="29">
        <v>900000</v>
      </c>
      <c r="AJ214" s="29">
        <v>900000</v>
      </c>
      <c r="AK214" s="29">
        <v>900000</v>
      </c>
      <c r="AL214" s="29">
        <v>900000</v>
      </c>
      <c r="AM214" s="29">
        <v>900000</v>
      </c>
      <c r="AN214" s="29">
        <v>900000</v>
      </c>
      <c r="AO214" s="29">
        <v>900000</v>
      </c>
      <c r="AP214" s="29">
        <v>900000</v>
      </c>
      <c r="AQ214" s="29">
        <v>900000</v>
      </c>
      <c r="AR214" s="29">
        <v>900000</v>
      </c>
      <c r="AS214" s="6">
        <v>900000</v>
      </c>
      <c r="AT214" s="6">
        <v>900000</v>
      </c>
      <c r="AU214" s="6">
        <v>600000</v>
      </c>
      <c r="AV214" s="6">
        <v>600000</v>
      </c>
      <c r="AW214" s="6">
        <v>600000</v>
      </c>
      <c r="BE214" s="30">
        <f t="shared" si="34"/>
        <v>29700000</v>
      </c>
      <c r="BF214" s="6">
        <f t="shared" si="35"/>
        <v>34</v>
      </c>
    </row>
    <row r="215" spans="1:58">
      <c r="A215" s="9" t="s">
        <v>674</v>
      </c>
      <c r="B215" s="9" t="s">
        <v>322</v>
      </c>
      <c r="C215" s="11" t="s">
        <v>596</v>
      </c>
      <c r="D215" s="9" t="s">
        <v>595</v>
      </c>
      <c r="E215" s="9" t="s">
        <v>132</v>
      </c>
      <c r="F215" s="9"/>
      <c r="G215" s="9" t="s">
        <v>17</v>
      </c>
      <c r="H215" s="9" t="s">
        <v>593</v>
      </c>
      <c r="I215" s="29"/>
      <c r="J215" s="29"/>
      <c r="K215" s="29"/>
      <c r="L215" s="29"/>
      <c r="M215" s="29"/>
      <c r="N215" s="29"/>
      <c r="O215" s="29">
        <v>900000</v>
      </c>
      <c r="BE215" s="30">
        <f t="shared" si="34"/>
        <v>900000</v>
      </c>
      <c r="BF215" s="6">
        <f t="shared" si="35"/>
        <v>1</v>
      </c>
    </row>
    <row r="216" spans="1:58">
      <c r="A216" s="9" t="s">
        <v>674</v>
      </c>
      <c r="B216" s="9" t="s">
        <v>322</v>
      </c>
      <c r="C216" s="11" t="s">
        <v>604</v>
      </c>
      <c r="D216" s="9" t="s">
        <v>603</v>
      </c>
      <c r="E216" s="9" t="s">
        <v>602</v>
      </c>
      <c r="F216" s="9"/>
      <c r="G216" s="9" t="s">
        <v>598</v>
      </c>
      <c r="H216" s="9" t="s">
        <v>597</v>
      </c>
      <c r="L216" s="29">
        <v>0</v>
      </c>
      <c r="M216" s="29">
        <v>939600</v>
      </c>
      <c r="N216" s="29">
        <v>0</v>
      </c>
      <c r="BE216" s="30">
        <f t="shared" ref="BE216:BE226" si="36">SUM(I216:BD216)</f>
        <v>939600</v>
      </c>
      <c r="BF216" s="6">
        <f t="shared" ref="BF216:BF226" si="37">COUNTIF(I216:BD216, "&gt;0")</f>
        <v>1</v>
      </c>
    </row>
    <row r="217" spans="1:58">
      <c r="A217" s="9" t="s">
        <v>674</v>
      </c>
      <c r="B217" s="9" t="s">
        <v>322</v>
      </c>
      <c r="C217" s="11" t="s">
        <v>604</v>
      </c>
      <c r="D217" s="9" t="s">
        <v>603</v>
      </c>
      <c r="E217" s="9" t="s">
        <v>2</v>
      </c>
      <c r="F217" s="9"/>
      <c r="G217" s="9" t="s">
        <v>601</v>
      </c>
      <c r="H217" s="9" t="s">
        <v>599</v>
      </c>
      <c r="M217" s="29"/>
      <c r="N217" s="29"/>
      <c r="O217" s="29"/>
      <c r="P217" s="29">
        <v>300000</v>
      </c>
      <c r="Q217" s="29">
        <v>300000</v>
      </c>
      <c r="R217" s="29">
        <v>300000</v>
      </c>
      <c r="S217" s="29">
        <v>300000</v>
      </c>
      <c r="T217" s="29">
        <v>300000</v>
      </c>
      <c r="U217" s="29">
        <v>300000</v>
      </c>
      <c r="V217" s="29">
        <v>300000</v>
      </c>
      <c r="W217" s="29">
        <v>300000</v>
      </c>
      <c r="X217" s="29">
        <v>300000</v>
      </c>
      <c r="Y217" s="29">
        <v>300000</v>
      </c>
      <c r="Z217" s="29">
        <v>300000</v>
      </c>
      <c r="AA217" s="29">
        <v>300000</v>
      </c>
      <c r="AB217" s="29">
        <v>300000</v>
      </c>
      <c r="AC217" s="29">
        <v>300000</v>
      </c>
      <c r="AD217" s="29">
        <v>300000</v>
      </c>
      <c r="AE217" s="29">
        <v>300000</v>
      </c>
      <c r="AF217" s="29">
        <v>300000</v>
      </c>
      <c r="AG217" s="29">
        <v>300000</v>
      </c>
      <c r="AH217" s="29">
        <v>300000</v>
      </c>
      <c r="AI217" s="29">
        <v>300000</v>
      </c>
      <c r="AJ217" s="29">
        <v>300000</v>
      </c>
      <c r="AK217" s="29">
        <v>300000</v>
      </c>
      <c r="AL217" s="29">
        <v>300000</v>
      </c>
      <c r="AM217" s="29">
        <v>300000</v>
      </c>
      <c r="AN217" s="29">
        <v>300000</v>
      </c>
      <c r="AO217" s="29">
        <v>300000</v>
      </c>
      <c r="AP217" s="29">
        <v>300000</v>
      </c>
      <c r="AQ217" s="29">
        <v>300000</v>
      </c>
      <c r="AR217" s="29">
        <v>300000</v>
      </c>
      <c r="AS217" s="6">
        <v>300000</v>
      </c>
      <c r="AT217" s="6">
        <v>300000</v>
      </c>
      <c r="AU217" s="6">
        <v>300000</v>
      </c>
      <c r="AV217" s="6">
        <v>300000</v>
      </c>
      <c r="BE217" s="30">
        <f t="shared" si="36"/>
        <v>9900000</v>
      </c>
      <c r="BF217" s="6">
        <f t="shared" si="37"/>
        <v>33</v>
      </c>
    </row>
    <row r="218" spans="1:58">
      <c r="A218" s="9" t="s">
        <v>674</v>
      </c>
      <c r="B218" s="9" t="s">
        <v>322</v>
      </c>
      <c r="C218" s="11" t="s">
        <v>604</v>
      </c>
      <c r="D218" s="9" t="s">
        <v>603</v>
      </c>
      <c r="E218" s="9" t="s">
        <v>2</v>
      </c>
      <c r="F218" s="9"/>
      <c r="G218" s="9" t="s">
        <v>17</v>
      </c>
      <c r="H218" s="9" t="s">
        <v>600</v>
      </c>
      <c r="M218" s="29"/>
      <c r="N218" s="29"/>
      <c r="O218" s="29">
        <v>300000</v>
      </c>
      <c r="BE218" s="30">
        <f t="shared" si="36"/>
        <v>300000</v>
      </c>
      <c r="BF218" s="6">
        <f t="shared" si="37"/>
        <v>1</v>
      </c>
    </row>
    <row r="219" spans="1:58">
      <c r="A219" s="9" t="s">
        <v>674</v>
      </c>
      <c r="B219" s="9" t="s">
        <v>322</v>
      </c>
      <c r="C219" s="11" t="s">
        <v>607</v>
      </c>
      <c r="D219" s="9" t="s">
        <v>606</v>
      </c>
      <c r="E219" s="9" t="s">
        <v>2</v>
      </c>
      <c r="F219" s="9"/>
      <c r="G219" s="9" t="s">
        <v>17</v>
      </c>
      <c r="H219" s="9" t="s">
        <v>605</v>
      </c>
      <c r="I219" s="29">
        <v>0</v>
      </c>
      <c r="J219" s="29">
        <v>0</v>
      </c>
      <c r="K219" s="29">
        <v>0</v>
      </c>
      <c r="L219" s="29">
        <v>0</v>
      </c>
      <c r="M219" s="29">
        <v>0</v>
      </c>
      <c r="N219" s="29">
        <v>5000000</v>
      </c>
      <c r="BE219" s="30">
        <f t="shared" si="36"/>
        <v>5000000</v>
      </c>
      <c r="BF219" s="6">
        <f t="shared" si="37"/>
        <v>1</v>
      </c>
    </row>
    <row r="220" spans="1:58">
      <c r="A220" s="9" t="s">
        <v>674</v>
      </c>
      <c r="B220" s="9" t="s">
        <v>322</v>
      </c>
      <c r="C220" s="11" t="s">
        <v>613</v>
      </c>
      <c r="D220" s="9" t="s">
        <v>612</v>
      </c>
      <c r="E220" s="9" t="s">
        <v>2</v>
      </c>
      <c r="F220" s="9"/>
      <c r="G220" s="9" t="s">
        <v>17</v>
      </c>
      <c r="H220" s="9" t="s">
        <v>608</v>
      </c>
      <c r="I220" s="29">
        <v>0</v>
      </c>
      <c r="J220" s="29">
        <v>940827</v>
      </c>
      <c r="K220" s="29">
        <v>921750</v>
      </c>
      <c r="L220" s="29">
        <v>829367</v>
      </c>
      <c r="M220" s="29">
        <v>970543</v>
      </c>
      <c r="N220" s="29">
        <v>903939</v>
      </c>
      <c r="BE220" s="30">
        <f t="shared" si="36"/>
        <v>4566426</v>
      </c>
      <c r="BF220" s="6">
        <f t="shared" si="37"/>
        <v>5</v>
      </c>
    </row>
    <row r="221" spans="1:58">
      <c r="A221" s="9" t="s">
        <v>674</v>
      </c>
      <c r="B221" s="9" t="s">
        <v>322</v>
      </c>
      <c r="C221" s="11" t="s">
        <v>613</v>
      </c>
      <c r="D221" s="9" t="s">
        <v>612</v>
      </c>
      <c r="E221" s="9" t="s">
        <v>2</v>
      </c>
      <c r="F221" s="9"/>
      <c r="G221" s="9" t="s">
        <v>611</v>
      </c>
      <c r="H221" s="9" t="s">
        <v>609</v>
      </c>
      <c r="I221" s="29"/>
      <c r="J221" s="29"/>
      <c r="K221" s="29"/>
      <c r="L221" s="29"/>
      <c r="M221" s="29"/>
      <c r="N221" s="29"/>
      <c r="O221" s="29"/>
      <c r="P221" s="29">
        <v>1200000</v>
      </c>
      <c r="Q221" s="29">
        <v>1200000</v>
      </c>
      <c r="R221" s="29">
        <v>1200000</v>
      </c>
      <c r="S221" s="29">
        <v>1200000</v>
      </c>
      <c r="T221" s="29">
        <v>1200000</v>
      </c>
      <c r="U221" s="29">
        <v>1200000</v>
      </c>
      <c r="BE221" s="30">
        <f t="shared" si="36"/>
        <v>7200000</v>
      </c>
      <c r="BF221" s="6">
        <f t="shared" si="37"/>
        <v>6</v>
      </c>
    </row>
    <row r="222" spans="1:58">
      <c r="A222" s="9" t="s">
        <v>674</v>
      </c>
      <c r="B222" s="9" t="s">
        <v>322</v>
      </c>
      <c r="C222" s="11" t="s">
        <v>613</v>
      </c>
      <c r="D222" s="9" t="s">
        <v>612</v>
      </c>
      <c r="E222" s="9" t="s">
        <v>2</v>
      </c>
      <c r="F222" s="9"/>
      <c r="G222" s="9" t="s">
        <v>17</v>
      </c>
      <c r="H222" s="9" t="s">
        <v>610</v>
      </c>
      <c r="I222" s="29"/>
      <c r="J222" s="29"/>
      <c r="K222" s="29"/>
      <c r="L222" s="29"/>
      <c r="M222" s="29"/>
      <c r="N222" s="29"/>
      <c r="O222" s="29">
        <v>1200000</v>
      </c>
      <c r="BE222" s="30">
        <f t="shared" si="36"/>
        <v>1200000</v>
      </c>
      <c r="BF222" s="6">
        <f t="shared" si="37"/>
        <v>1</v>
      </c>
    </row>
    <row r="223" spans="1:58">
      <c r="A223" s="9" t="s">
        <v>674</v>
      </c>
      <c r="B223" s="9" t="s">
        <v>322</v>
      </c>
      <c r="C223" s="11" t="s">
        <v>616</v>
      </c>
      <c r="D223" s="9" t="s">
        <v>615</v>
      </c>
      <c r="E223" s="9" t="s">
        <v>2</v>
      </c>
      <c r="F223" s="9"/>
      <c r="G223" s="9" t="s">
        <v>17</v>
      </c>
      <c r="H223" s="9" t="s">
        <v>614</v>
      </c>
      <c r="I223" s="29">
        <v>0</v>
      </c>
      <c r="J223" s="29">
        <v>0</v>
      </c>
      <c r="K223" s="29">
        <v>23364</v>
      </c>
      <c r="L223" s="29">
        <v>0</v>
      </c>
      <c r="M223" s="29">
        <v>0</v>
      </c>
      <c r="N223" s="29">
        <v>0</v>
      </c>
      <c r="BE223" s="30">
        <f t="shared" si="36"/>
        <v>23364</v>
      </c>
      <c r="BF223" s="6">
        <f t="shared" si="37"/>
        <v>1</v>
      </c>
    </row>
    <row r="224" spans="1:58">
      <c r="A224" s="9" t="s">
        <v>674</v>
      </c>
      <c r="B224" s="9" t="s">
        <v>322</v>
      </c>
      <c r="C224" s="11" t="s">
        <v>622</v>
      </c>
      <c r="D224" s="9" t="s">
        <v>621</v>
      </c>
      <c r="E224" s="9" t="s">
        <v>2</v>
      </c>
      <c r="F224" s="9"/>
      <c r="G224" s="9" t="s">
        <v>17</v>
      </c>
      <c r="H224" s="9" t="s">
        <v>617</v>
      </c>
      <c r="I224" s="29">
        <v>0</v>
      </c>
      <c r="J224" s="29">
        <v>0</v>
      </c>
      <c r="K224" s="29">
        <v>0</v>
      </c>
      <c r="L224" s="29">
        <v>0</v>
      </c>
      <c r="M224" s="29">
        <v>25000</v>
      </c>
      <c r="N224" s="29">
        <v>25000</v>
      </c>
      <c r="BE224" s="30">
        <f t="shared" si="36"/>
        <v>50000</v>
      </c>
      <c r="BF224" s="6">
        <f t="shared" si="37"/>
        <v>2</v>
      </c>
    </row>
    <row r="225" spans="1:58">
      <c r="A225" s="9" t="s">
        <v>674</v>
      </c>
      <c r="B225" s="9" t="s">
        <v>322</v>
      </c>
      <c r="C225" s="11" t="s">
        <v>622</v>
      </c>
      <c r="D225" s="9" t="s">
        <v>621</v>
      </c>
      <c r="E225" s="9" t="s">
        <v>2</v>
      </c>
      <c r="F225" s="9"/>
      <c r="G225" s="9" t="s">
        <v>620</v>
      </c>
      <c r="H225" s="9" t="s">
        <v>618</v>
      </c>
      <c r="I225" s="29"/>
      <c r="J225" s="29"/>
      <c r="K225" s="29"/>
      <c r="L225" s="29"/>
      <c r="M225" s="29"/>
      <c r="N225" s="29"/>
      <c r="O225" s="29"/>
      <c r="P225" s="29">
        <v>25000</v>
      </c>
      <c r="Q225" s="29">
        <v>25000</v>
      </c>
      <c r="R225" s="29">
        <v>25000</v>
      </c>
      <c r="S225" s="29">
        <v>25000</v>
      </c>
      <c r="T225" s="29">
        <v>25000</v>
      </c>
      <c r="BE225" s="30">
        <f t="shared" si="36"/>
        <v>125000</v>
      </c>
      <c r="BF225" s="6">
        <f t="shared" si="37"/>
        <v>5</v>
      </c>
    </row>
    <row r="226" spans="1:58">
      <c r="A226" s="9" t="s">
        <v>674</v>
      </c>
      <c r="B226" s="9" t="s">
        <v>322</v>
      </c>
      <c r="C226" s="11" t="s">
        <v>622</v>
      </c>
      <c r="D226" s="9" t="s">
        <v>621</v>
      </c>
      <c r="E226" s="9" t="s">
        <v>2</v>
      </c>
      <c r="F226" s="9"/>
      <c r="G226" s="9" t="s">
        <v>17</v>
      </c>
      <c r="H226" s="9" t="s">
        <v>619</v>
      </c>
      <c r="I226" s="29"/>
      <c r="J226" s="29"/>
      <c r="K226" s="29"/>
      <c r="L226" s="29"/>
      <c r="M226" s="29"/>
      <c r="N226" s="29"/>
      <c r="O226" s="29">
        <v>25000</v>
      </c>
      <c r="BE226" s="30">
        <f t="shared" si="36"/>
        <v>25000</v>
      </c>
      <c r="BF226" s="6">
        <f t="shared" si="37"/>
        <v>1</v>
      </c>
    </row>
    <row r="227" spans="1:58">
      <c r="A227" s="9" t="s">
        <v>674</v>
      </c>
      <c r="B227" s="9" t="s">
        <v>353</v>
      </c>
      <c r="C227" s="11" t="s">
        <v>706</v>
      </c>
      <c r="D227" s="9" t="s">
        <v>628</v>
      </c>
      <c r="E227" s="9" t="s">
        <v>195</v>
      </c>
      <c r="F227" s="9" t="s">
        <v>0</v>
      </c>
      <c r="G227" s="9" t="s">
        <v>11</v>
      </c>
      <c r="H227" s="9" t="s">
        <v>623</v>
      </c>
      <c r="I227" s="29">
        <v>1680000</v>
      </c>
      <c r="J227" s="29">
        <v>1440909</v>
      </c>
      <c r="K227" s="29">
        <v>1832727</v>
      </c>
      <c r="L227" s="29">
        <v>1510000</v>
      </c>
      <c r="M227" s="29">
        <v>1853636</v>
      </c>
      <c r="N227" s="29">
        <v>1436364</v>
      </c>
      <c r="BE227" s="30">
        <f t="shared" ref="BE227:BE234" si="38">SUM(I227:BD227)</f>
        <v>9753636</v>
      </c>
      <c r="BF227" s="6">
        <f t="shared" ref="BF227:BF234" si="39">COUNTIF(I227:BD227, "&gt;0")</f>
        <v>6</v>
      </c>
    </row>
    <row r="228" spans="1:58">
      <c r="A228" s="9" t="s">
        <v>674</v>
      </c>
      <c r="B228" s="9" t="s">
        <v>353</v>
      </c>
      <c r="C228" s="11" t="s">
        <v>706</v>
      </c>
      <c r="D228" s="9" t="s">
        <v>628</v>
      </c>
      <c r="E228" s="9" t="s">
        <v>195</v>
      </c>
      <c r="F228" s="9" t="s">
        <v>627</v>
      </c>
      <c r="G228" s="9" t="s">
        <v>626</v>
      </c>
      <c r="H228" s="9" t="s">
        <v>624</v>
      </c>
      <c r="I228" s="29"/>
      <c r="J228" s="29"/>
      <c r="K228" s="29"/>
      <c r="L228" s="29"/>
      <c r="M228" s="29"/>
      <c r="N228" s="29"/>
      <c r="O228" s="29"/>
      <c r="P228" s="29">
        <v>1250000</v>
      </c>
      <c r="Q228" s="29">
        <v>1250000</v>
      </c>
      <c r="R228" s="29">
        <v>1250000</v>
      </c>
      <c r="S228" s="29">
        <v>1250000</v>
      </c>
      <c r="T228" s="29">
        <v>1250000</v>
      </c>
      <c r="U228" s="29">
        <v>1600000</v>
      </c>
      <c r="V228" s="29">
        <v>1600000</v>
      </c>
      <c r="W228" s="29">
        <v>1600000</v>
      </c>
      <c r="X228" s="29">
        <v>1600000</v>
      </c>
      <c r="Y228" s="29">
        <v>1600000</v>
      </c>
      <c r="Z228" s="29">
        <v>1600000</v>
      </c>
      <c r="AA228" s="29">
        <v>1600000</v>
      </c>
      <c r="AB228" s="29">
        <v>1600000</v>
      </c>
      <c r="AC228" s="29">
        <v>1600000</v>
      </c>
      <c r="AD228" s="29">
        <v>1600000</v>
      </c>
      <c r="AE228" s="29">
        <v>1600000</v>
      </c>
      <c r="AF228" s="29">
        <v>1600000</v>
      </c>
      <c r="AG228" s="29">
        <v>1600000</v>
      </c>
      <c r="AH228" s="29">
        <v>1600000</v>
      </c>
      <c r="AI228" s="29">
        <v>1600000</v>
      </c>
      <c r="AJ228" s="29">
        <v>1600000</v>
      </c>
      <c r="AK228" s="29">
        <v>1600000</v>
      </c>
      <c r="AL228" s="29">
        <v>1600000</v>
      </c>
      <c r="AM228" s="29">
        <v>1600000</v>
      </c>
      <c r="AN228" s="29">
        <v>1600000</v>
      </c>
      <c r="AO228" s="29">
        <v>1600000</v>
      </c>
      <c r="AP228" s="29">
        <v>1600000</v>
      </c>
      <c r="AQ228" s="29">
        <v>1600000</v>
      </c>
      <c r="AR228" s="29">
        <v>1600000</v>
      </c>
      <c r="AS228" s="6">
        <v>1600000</v>
      </c>
      <c r="AT228" s="6">
        <v>1600000</v>
      </c>
      <c r="AU228" s="6">
        <v>1600000</v>
      </c>
      <c r="AV228" s="6">
        <v>1600000</v>
      </c>
      <c r="AW228" s="6">
        <v>1600000</v>
      </c>
      <c r="AX228" s="6">
        <v>1600000</v>
      </c>
      <c r="AY228" s="6">
        <v>1600000</v>
      </c>
      <c r="AZ228" s="6">
        <v>1600000</v>
      </c>
      <c r="BA228" s="6">
        <v>1600000</v>
      </c>
      <c r="BB228" s="6">
        <v>1600000</v>
      </c>
      <c r="BC228" s="6">
        <v>1600000</v>
      </c>
      <c r="BD228" s="6">
        <v>1600000</v>
      </c>
      <c r="BE228" s="30">
        <f t="shared" si="38"/>
        <v>63850000</v>
      </c>
      <c r="BF228" s="6">
        <f t="shared" si="39"/>
        <v>41</v>
      </c>
    </row>
    <row r="229" spans="1:58">
      <c r="A229" s="9" t="s">
        <v>674</v>
      </c>
      <c r="B229" s="9" t="s">
        <v>353</v>
      </c>
      <c r="C229" s="11" t="s">
        <v>706</v>
      </c>
      <c r="D229" s="9" t="s">
        <v>628</v>
      </c>
      <c r="E229" s="9" t="s">
        <v>195</v>
      </c>
      <c r="F229" s="9" t="s">
        <v>422</v>
      </c>
      <c r="G229" s="9" t="s">
        <v>11</v>
      </c>
      <c r="H229" s="9" t="s">
        <v>625</v>
      </c>
      <c r="I229" s="29"/>
      <c r="J229" s="29"/>
      <c r="K229" s="29"/>
      <c r="L229" s="29"/>
      <c r="M229" s="29"/>
      <c r="N229" s="29"/>
      <c r="O229" s="29">
        <v>1250000</v>
      </c>
      <c r="BE229" s="30">
        <f t="shared" si="38"/>
        <v>1250000</v>
      </c>
      <c r="BF229" s="6">
        <f t="shared" si="39"/>
        <v>1</v>
      </c>
    </row>
    <row r="230" spans="1:58">
      <c r="A230" s="9" t="s">
        <v>674</v>
      </c>
      <c r="B230" s="9" t="s">
        <v>353</v>
      </c>
      <c r="C230" s="11" t="s">
        <v>707</v>
      </c>
      <c r="D230" s="9" t="s">
        <v>637</v>
      </c>
      <c r="E230" s="9" t="s">
        <v>195</v>
      </c>
      <c r="F230" s="9" t="s">
        <v>0</v>
      </c>
      <c r="G230" s="9" t="s">
        <v>11</v>
      </c>
      <c r="H230" s="9" t="s">
        <v>632</v>
      </c>
      <c r="I230" s="29">
        <v>10288181</v>
      </c>
      <c r="J230" s="29">
        <v>8367272</v>
      </c>
      <c r="K230" s="29">
        <v>7881818</v>
      </c>
      <c r="L230" s="29">
        <v>9916364</v>
      </c>
      <c r="M230" s="29">
        <v>11244545</v>
      </c>
      <c r="N230" s="29">
        <v>9218273</v>
      </c>
      <c r="BE230" s="30">
        <f t="shared" si="38"/>
        <v>56916453</v>
      </c>
      <c r="BF230" s="6">
        <f t="shared" si="39"/>
        <v>6</v>
      </c>
    </row>
    <row r="231" spans="1:58">
      <c r="A231" s="9" t="s">
        <v>674</v>
      </c>
      <c r="B231" s="9" t="s">
        <v>353</v>
      </c>
      <c r="C231" s="11" t="s">
        <v>707</v>
      </c>
      <c r="D231" s="9" t="s">
        <v>637</v>
      </c>
      <c r="E231" s="9" t="s">
        <v>195</v>
      </c>
      <c r="F231" s="9" t="s">
        <v>636</v>
      </c>
      <c r="G231" s="9" t="s">
        <v>635</v>
      </c>
      <c r="H231" s="9" t="s">
        <v>633</v>
      </c>
      <c r="I231" s="29"/>
      <c r="J231" s="29"/>
      <c r="K231" s="29"/>
      <c r="L231" s="29"/>
      <c r="M231" s="29"/>
      <c r="N231" s="29"/>
      <c r="O231" s="29"/>
      <c r="P231" s="29">
        <v>6000000</v>
      </c>
      <c r="Q231" s="29">
        <v>6000000</v>
      </c>
      <c r="R231" s="29">
        <v>6000000</v>
      </c>
      <c r="S231" s="29">
        <v>6000000</v>
      </c>
      <c r="T231" s="29">
        <v>6000000</v>
      </c>
      <c r="U231" s="29">
        <v>8000000</v>
      </c>
      <c r="V231" s="29">
        <v>8000000</v>
      </c>
      <c r="W231" s="29">
        <v>8000000</v>
      </c>
      <c r="X231" s="29">
        <v>8000000</v>
      </c>
      <c r="Y231" s="29">
        <v>8000000</v>
      </c>
      <c r="Z231" s="29">
        <v>8000000</v>
      </c>
      <c r="AA231" s="29">
        <v>8000000</v>
      </c>
      <c r="AB231" s="29">
        <v>8000000</v>
      </c>
      <c r="AC231" s="29">
        <v>8000000</v>
      </c>
      <c r="AD231" s="29">
        <v>8000000</v>
      </c>
      <c r="AE231" s="29">
        <v>8000000</v>
      </c>
      <c r="AF231" s="29">
        <v>8000000</v>
      </c>
      <c r="AG231" s="29">
        <v>8000000</v>
      </c>
      <c r="AH231" s="29">
        <v>8000000</v>
      </c>
      <c r="AI231" s="29">
        <v>8000000</v>
      </c>
      <c r="AJ231" s="29">
        <v>8000000</v>
      </c>
      <c r="AK231" s="29">
        <v>8000000</v>
      </c>
      <c r="AL231" s="29">
        <v>8000000</v>
      </c>
      <c r="AM231" s="29">
        <v>8000000</v>
      </c>
      <c r="AN231" s="29">
        <v>8000000</v>
      </c>
      <c r="AO231" s="29">
        <v>8000000</v>
      </c>
      <c r="AP231" s="29">
        <v>8000000</v>
      </c>
      <c r="AQ231" s="29">
        <v>8000000</v>
      </c>
      <c r="AR231" s="29">
        <v>8000000</v>
      </c>
      <c r="AS231" s="6">
        <v>8000000</v>
      </c>
      <c r="AT231" s="6">
        <v>8000000</v>
      </c>
      <c r="AU231" s="6">
        <v>8000000</v>
      </c>
      <c r="AV231" s="6">
        <v>8000000</v>
      </c>
      <c r="AW231" s="6">
        <v>8000000</v>
      </c>
      <c r="AX231" s="6">
        <v>8000000</v>
      </c>
      <c r="AY231" s="6">
        <v>8000000</v>
      </c>
      <c r="AZ231" s="6">
        <v>8000000</v>
      </c>
      <c r="BA231" s="6">
        <v>8000000</v>
      </c>
      <c r="BB231" s="6">
        <v>8000000</v>
      </c>
      <c r="BC231" s="6">
        <v>8000000</v>
      </c>
      <c r="BD231" s="6">
        <v>8000000</v>
      </c>
      <c r="BE231" s="30">
        <f t="shared" si="38"/>
        <v>318000000</v>
      </c>
      <c r="BF231" s="6">
        <f t="shared" si="39"/>
        <v>41</v>
      </c>
    </row>
    <row r="232" spans="1:58">
      <c r="A232" s="9" t="s">
        <v>674</v>
      </c>
      <c r="B232" s="9" t="s">
        <v>353</v>
      </c>
      <c r="C232" s="11" t="s">
        <v>707</v>
      </c>
      <c r="D232" s="9" t="s">
        <v>637</v>
      </c>
      <c r="E232" s="9" t="s">
        <v>195</v>
      </c>
      <c r="F232" s="9" t="s">
        <v>422</v>
      </c>
      <c r="G232" s="9" t="s">
        <v>11</v>
      </c>
      <c r="H232" s="9" t="s">
        <v>634</v>
      </c>
      <c r="I232" s="29"/>
      <c r="J232" s="29"/>
      <c r="K232" s="29"/>
      <c r="L232" s="29"/>
      <c r="M232" s="29"/>
      <c r="N232" s="29"/>
      <c r="O232" s="29">
        <v>6000000</v>
      </c>
      <c r="BE232" s="30">
        <f t="shared" si="38"/>
        <v>6000000</v>
      </c>
      <c r="BF232" s="6">
        <f t="shared" si="39"/>
        <v>1</v>
      </c>
    </row>
    <row r="233" spans="1:58">
      <c r="A233" s="9" t="s">
        <v>674</v>
      </c>
      <c r="B233" s="9" t="s">
        <v>353</v>
      </c>
      <c r="C233" s="11" t="s">
        <v>647</v>
      </c>
      <c r="D233" s="9" t="s">
        <v>646</v>
      </c>
      <c r="E233" s="9" t="s">
        <v>413</v>
      </c>
      <c r="F233" s="9"/>
      <c r="G233" s="9" t="s">
        <v>645</v>
      </c>
      <c r="H233" s="9" t="s">
        <v>643</v>
      </c>
      <c r="I233" s="29"/>
      <c r="J233" s="29"/>
      <c r="K233" s="29"/>
      <c r="L233" s="29"/>
      <c r="M233" s="29"/>
      <c r="N233" s="29"/>
      <c r="O233" s="29"/>
      <c r="P233" s="29">
        <v>1900000</v>
      </c>
      <c r="Q233" s="29">
        <v>1900000</v>
      </c>
      <c r="R233" s="29">
        <v>1900000</v>
      </c>
      <c r="S233" s="29">
        <v>1900000</v>
      </c>
      <c r="T233" s="29">
        <v>1900000</v>
      </c>
      <c r="BE233" s="30">
        <f t="shared" si="38"/>
        <v>9500000</v>
      </c>
      <c r="BF233" s="6">
        <f t="shared" si="39"/>
        <v>5</v>
      </c>
    </row>
    <row r="234" spans="1:58">
      <c r="A234" s="9" t="s">
        <v>674</v>
      </c>
      <c r="B234" s="9" t="s">
        <v>353</v>
      </c>
      <c r="C234" s="11" t="s">
        <v>647</v>
      </c>
      <c r="D234" s="9" t="s">
        <v>646</v>
      </c>
      <c r="E234" s="9" t="s">
        <v>413</v>
      </c>
      <c r="F234" s="9"/>
      <c r="G234" s="9" t="s">
        <v>17</v>
      </c>
      <c r="H234" s="9" t="s">
        <v>644</v>
      </c>
      <c r="I234" s="29"/>
      <c r="J234" s="29"/>
      <c r="K234" s="29"/>
      <c r="L234" s="29"/>
      <c r="M234" s="29"/>
      <c r="N234" s="29"/>
      <c r="O234" s="29">
        <v>1900000</v>
      </c>
      <c r="BE234" s="30">
        <f t="shared" si="38"/>
        <v>1900000</v>
      </c>
      <c r="BF234" s="6">
        <f t="shared" si="39"/>
        <v>1</v>
      </c>
    </row>
    <row r="235" spans="1:58">
      <c r="A235" s="9" t="s">
        <v>674</v>
      </c>
      <c r="B235" s="9" t="s">
        <v>353</v>
      </c>
      <c r="C235" s="11" t="s">
        <v>650</v>
      </c>
      <c r="D235" s="9" t="s">
        <v>649</v>
      </c>
      <c r="E235" s="9" t="s">
        <v>2</v>
      </c>
      <c r="F235" s="9"/>
      <c r="G235" s="9" t="s">
        <v>17</v>
      </c>
      <c r="H235" s="9" t="s">
        <v>648</v>
      </c>
      <c r="I235" s="29">
        <v>0</v>
      </c>
      <c r="J235" s="29">
        <v>0</v>
      </c>
      <c r="K235" s="29">
        <v>8000</v>
      </c>
      <c r="L235" s="29">
        <v>0</v>
      </c>
      <c r="M235" s="29">
        <v>15709</v>
      </c>
      <c r="N235" s="29">
        <v>0</v>
      </c>
      <c r="BE235" s="30">
        <f t="shared" ref="BE235" si="40">SUM(I235:BD235)</f>
        <v>23709</v>
      </c>
      <c r="BF235" s="6">
        <f t="shared" ref="BF235" si="41">COUNTIF(I235:BD235, "&gt;0")</f>
        <v>2</v>
      </c>
    </row>
    <row r="236" spans="1:58">
      <c r="A236" s="9" t="s">
        <v>674</v>
      </c>
      <c r="B236" s="9" t="s">
        <v>391</v>
      </c>
      <c r="C236" s="11" t="s">
        <v>695</v>
      </c>
      <c r="D236" s="9" t="s">
        <v>652</v>
      </c>
      <c r="E236" s="9" t="s">
        <v>195</v>
      </c>
      <c r="F236" s="9" t="s">
        <v>0</v>
      </c>
      <c r="G236" s="9" t="s">
        <v>17</v>
      </c>
      <c r="H236" s="9" t="s">
        <v>651</v>
      </c>
      <c r="I236" s="29">
        <v>44750000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BE236" s="30">
        <f t="shared" ref="BE236:BE242" si="42">SUM(I236:BD236)</f>
        <v>44750000</v>
      </c>
      <c r="BF236" s="6">
        <f t="shared" ref="BF236:BF242" si="43">COUNTIF(I236:BD236, "&gt;0")</f>
        <v>1</v>
      </c>
    </row>
    <row r="237" spans="1:58">
      <c r="A237" s="9" t="s">
        <v>674</v>
      </c>
      <c r="B237" s="9" t="s">
        <v>391</v>
      </c>
      <c r="C237" s="11" t="s">
        <v>708</v>
      </c>
      <c r="D237" s="9" t="s">
        <v>659</v>
      </c>
      <c r="E237" s="9" t="s">
        <v>195</v>
      </c>
      <c r="F237" s="9" t="s">
        <v>0</v>
      </c>
      <c r="G237" s="9" t="s">
        <v>11</v>
      </c>
      <c r="H237" s="9" t="s">
        <v>654</v>
      </c>
      <c r="I237" s="29">
        <v>21000000</v>
      </c>
      <c r="J237" s="29">
        <v>21000000</v>
      </c>
      <c r="K237" s="29">
        <v>21000000</v>
      </c>
      <c r="L237" s="29">
        <v>21000000</v>
      </c>
      <c r="M237" s="29">
        <v>21000000</v>
      </c>
      <c r="N237" s="29">
        <v>21000000</v>
      </c>
      <c r="BE237" s="30">
        <f t="shared" si="42"/>
        <v>126000000</v>
      </c>
      <c r="BF237" s="6">
        <f t="shared" si="43"/>
        <v>6</v>
      </c>
    </row>
    <row r="238" spans="1:58">
      <c r="A238" s="9" t="s">
        <v>674</v>
      </c>
      <c r="B238" s="9" t="s">
        <v>391</v>
      </c>
      <c r="C238" s="11" t="s">
        <v>708</v>
      </c>
      <c r="D238" s="9" t="s">
        <v>659</v>
      </c>
      <c r="E238" s="9" t="s">
        <v>195</v>
      </c>
      <c r="F238" s="9" t="s">
        <v>658</v>
      </c>
      <c r="G238" s="9" t="s">
        <v>657</v>
      </c>
      <c r="H238" s="9" t="s">
        <v>655</v>
      </c>
      <c r="I238" s="29"/>
      <c r="J238" s="29"/>
      <c r="K238" s="29"/>
      <c r="L238" s="29"/>
      <c r="M238" s="29"/>
      <c r="N238" s="29"/>
      <c r="O238" s="29"/>
      <c r="P238" s="29">
        <v>21000000</v>
      </c>
      <c r="Q238" s="29">
        <v>21000000</v>
      </c>
      <c r="R238" s="29">
        <v>21000000</v>
      </c>
      <c r="S238" s="29">
        <v>21000000</v>
      </c>
      <c r="T238" s="29">
        <v>21000000</v>
      </c>
      <c r="U238" s="29">
        <v>21000000</v>
      </c>
      <c r="V238" s="29">
        <v>21000000</v>
      </c>
      <c r="W238" s="29">
        <v>21000000</v>
      </c>
      <c r="X238" s="29">
        <v>21000000</v>
      </c>
      <c r="Y238" s="29">
        <v>21000000</v>
      </c>
      <c r="Z238" s="29">
        <v>21000000</v>
      </c>
      <c r="AA238" s="29">
        <v>21000000</v>
      </c>
      <c r="AB238" s="29">
        <v>21000000</v>
      </c>
      <c r="AC238" s="29">
        <v>21000000</v>
      </c>
      <c r="AD238" s="29">
        <v>21000000</v>
      </c>
      <c r="AE238" s="29">
        <v>21000000</v>
      </c>
      <c r="AF238" s="29">
        <v>21000000</v>
      </c>
      <c r="AG238" s="29">
        <v>21000000</v>
      </c>
      <c r="AH238" s="29">
        <v>21000000</v>
      </c>
      <c r="AI238" s="29">
        <v>21000000</v>
      </c>
      <c r="AJ238" s="29">
        <v>21000000</v>
      </c>
      <c r="AK238" s="29">
        <v>21000000</v>
      </c>
      <c r="AL238" s="29">
        <v>21000000</v>
      </c>
      <c r="AM238" s="29">
        <v>21000000</v>
      </c>
      <c r="AN238" s="29">
        <v>21000000</v>
      </c>
      <c r="AO238" s="29">
        <v>21000000</v>
      </c>
      <c r="AP238" s="29">
        <v>21000000</v>
      </c>
      <c r="AQ238" s="29">
        <v>21000000</v>
      </c>
      <c r="AR238" s="29">
        <v>21000000</v>
      </c>
      <c r="AS238" s="6">
        <v>21000000</v>
      </c>
      <c r="AT238" s="6">
        <v>21000000</v>
      </c>
      <c r="AU238" s="6">
        <v>21000000</v>
      </c>
      <c r="AV238" s="6">
        <v>21000000</v>
      </c>
      <c r="AW238" s="6">
        <v>21000000</v>
      </c>
      <c r="AX238" s="6">
        <v>21000000</v>
      </c>
      <c r="AY238" s="6">
        <v>21000000</v>
      </c>
      <c r="AZ238" s="6">
        <v>21000000</v>
      </c>
      <c r="BA238" s="6">
        <v>21000000</v>
      </c>
      <c r="BB238" s="6">
        <v>21000000</v>
      </c>
      <c r="BC238" s="6">
        <v>21000000</v>
      </c>
      <c r="BD238" s="6">
        <v>21000000</v>
      </c>
      <c r="BE238" s="30">
        <f t="shared" si="42"/>
        <v>861000000</v>
      </c>
      <c r="BF238" s="6">
        <f t="shared" si="43"/>
        <v>41</v>
      </c>
    </row>
    <row r="239" spans="1:58">
      <c r="A239" s="9" t="s">
        <v>674</v>
      </c>
      <c r="B239" s="9" t="s">
        <v>391</v>
      </c>
      <c r="C239" s="11" t="s">
        <v>708</v>
      </c>
      <c r="D239" s="9" t="s">
        <v>659</v>
      </c>
      <c r="E239" s="9" t="s">
        <v>195</v>
      </c>
      <c r="F239" s="9" t="s">
        <v>422</v>
      </c>
      <c r="G239" s="9" t="s">
        <v>11</v>
      </c>
      <c r="H239" s="9" t="s">
        <v>656</v>
      </c>
      <c r="I239" s="29"/>
      <c r="J239" s="29"/>
      <c r="K239" s="29"/>
      <c r="L239" s="29"/>
      <c r="M239" s="29"/>
      <c r="N239" s="29"/>
      <c r="O239" s="29">
        <v>21000000</v>
      </c>
      <c r="BE239" s="30">
        <f t="shared" si="42"/>
        <v>21000000</v>
      </c>
      <c r="BF239" s="6">
        <f t="shared" si="43"/>
        <v>1</v>
      </c>
    </row>
    <row r="240" spans="1:58">
      <c r="A240" s="9" t="s">
        <v>674</v>
      </c>
      <c r="B240" s="9" t="s">
        <v>391</v>
      </c>
      <c r="C240" s="11" t="s">
        <v>665</v>
      </c>
      <c r="D240" s="9" t="s">
        <v>664</v>
      </c>
      <c r="E240" s="9" t="s">
        <v>413</v>
      </c>
      <c r="F240" s="9"/>
      <c r="G240" s="9" t="s">
        <v>663</v>
      </c>
      <c r="H240" s="9" t="s">
        <v>661</v>
      </c>
      <c r="I240" s="29"/>
      <c r="J240" s="29"/>
      <c r="K240" s="29"/>
      <c r="L240" s="29"/>
      <c r="M240" s="29"/>
      <c r="N240" s="29"/>
      <c r="O240" s="29"/>
      <c r="P240" s="29">
        <v>2500000</v>
      </c>
      <c r="Q240" s="29">
        <v>2500000</v>
      </c>
      <c r="R240" s="29">
        <v>2500000</v>
      </c>
      <c r="S240" s="29">
        <v>2500000</v>
      </c>
      <c r="T240" s="29">
        <v>2500000</v>
      </c>
      <c r="BE240" s="30">
        <f t="shared" si="42"/>
        <v>12500000</v>
      </c>
      <c r="BF240" s="6">
        <f t="shared" si="43"/>
        <v>5</v>
      </c>
    </row>
    <row r="241" spans="1:58">
      <c r="A241" s="9" t="s">
        <v>674</v>
      </c>
      <c r="B241" s="9" t="s">
        <v>391</v>
      </c>
      <c r="C241" s="11" t="s">
        <v>665</v>
      </c>
      <c r="D241" s="9" t="s">
        <v>664</v>
      </c>
      <c r="E241" s="9" t="s">
        <v>413</v>
      </c>
      <c r="F241" s="9"/>
      <c r="G241" s="9" t="s">
        <v>17</v>
      </c>
      <c r="H241" s="9" t="s">
        <v>662</v>
      </c>
      <c r="I241" s="29"/>
      <c r="J241" s="29"/>
      <c r="K241" s="29"/>
      <c r="L241" s="29"/>
      <c r="M241" s="29"/>
      <c r="N241" s="29"/>
      <c r="O241" s="29">
        <v>2500000</v>
      </c>
      <c r="BE241" s="30">
        <f t="shared" si="42"/>
        <v>2500000</v>
      </c>
      <c r="BF241" s="6">
        <f t="shared" si="43"/>
        <v>1</v>
      </c>
    </row>
    <row r="242" spans="1:58">
      <c r="A242" s="9" t="s">
        <v>674</v>
      </c>
      <c r="B242" s="9" t="s">
        <v>391</v>
      </c>
      <c r="C242" s="11" t="s">
        <v>668</v>
      </c>
      <c r="D242" s="9" t="s">
        <v>667</v>
      </c>
      <c r="E242" s="9" t="s">
        <v>132</v>
      </c>
      <c r="F242" s="9" t="s">
        <v>0</v>
      </c>
      <c r="G242" s="9" t="s">
        <v>17</v>
      </c>
      <c r="H242" s="9" t="s">
        <v>666</v>
      </c>
      <c r="I242" s="29">
        <v>0</v>
      </c>
      <c r="J242" s="29">
        <v>0</v>
      </c>
      <c r="K242" s="29">
        <v>0</v>
      </c>
      <c r="L242" s="29">
        <v>0</v>
      </c>
      <c r="M242" s="29">
        <v>0</v>
      </c>
      <c r="N242" s="29">
        <v>607000</v>
      </c>
      <c r="BE242" s="30">
        <f t="shared" si="42"/>
        <v>607000</v>
      </c>
      <c r="BF242" s="6">
        <f t="shared" si="43"/>
        <v>1</v>
      </c>
    </row>
    <row r="243" spans="1:58">
      <c r="A243" s="9" t="s">
        <v>674</v>
      </c>
      <c r="B243" s="9" t="s">
        <v>391</v>
      </c>
      <c r="C243" s="11" t="s">
        <v>702</v>
      </c>
      <c r="D243" s="9" t="s">
        <v>673</v>
      </c>
      <c r="E243" s="9" t="s">
        <v>195</v>
      </c>
      <c r="F243" s="9" t="s">
        <v>672</v>
      </c>
      <c r="G243" s="9" t="s">
        <v>671</v>
      </c>
      <c r="H243" s="9" t="s">
        <v>669</v>
      </c>
      <c r="L243" s="29"/>
      <c r="M243" s="29"/>
      <c r="N243" s="29"/>
      <c r="O243" s="29"/>
      <c r="P243" s="29">
        <v>7000000</v>
      </c>
      <c r="Q243" s="29">
        <v>7000000</v>
      </c>
      <c r="R243" s="29">
        <v>7000000</v>
      </c>
      <c r="S243" s="29">
        <v>7000000</v>
      </c>
      <c r="T243" s="29">
        <v>7000000</v>
      </c>
      <c r="U243" s="29">
        <v>7000000</v>
      </c>
      <c r="V243" s="29">
        <v>7000000</v>
      </c>
      <c r="W243" s="29">
        <v>7000000</v>
      </c>
      <c r="X243" s="29">
        <v>7000000</v>
      </c>
      <c r="Y243" s="29">
        <v>7000000</v>
      </c>
      <c r="Z243" s="29">
        <v>7000000</v>
      </c>
      <c r="AA243" s="29">
        <v>7000000</v>
      </c>
      <c r="AB243" s="29">
        <v>7000000</v>
      </c>
      <c r="AC243" s="29">
        <v>7000000</v>
      </c>
      <c r="AD243" s="29">
        <v>7000000</v>
      </c>
      <c r="AE243" s="29">
        <v>7000000</v>
      </c>
      <c r="AF243" s="29">
        <v>7000000</v>
      </c>
      <c r="AG243" s="29">
        <v>7000000</v>
      </c>
      <c r="AH243" s="29">
        <v>7000000</v>
      </c>
      <c r="AI243" s="29">
        <v>7000000</v>
      </c>
      <c r="AJ243" s="29">
        <v>7000000</v>
      </c>
      <c r="AK243" s="29">
        <v>7000000</v>
      </c>
      <c r="AL243" s="29">
        <v>7000000</v>
      </c>
      <c r="AM243" s="29">
        <v>7000000</v>
      </c>
      <c r="AN243" s="29">
        <v>7000000</v>
      </c>
      <c r="AO243" s="29">
        <v>7000000</v>
      </c>
      <c r="AP243" s="29">
        <v>7000000</v>
      </c>
      <c r="AQ243" s="29">
        <v>7000000</v>
      </c>
      <c r="AR243" s="29">
        <v>7000000</v>
      </c>
      <c r="AS243" s="6">
        <v>7000000</v>
      </c>
      <c r="AT243" s="6">
        <v>7000000</v>
      </c>
      <c r="AU243" s="6">
        <v>7000000</v>
      </c>
      <c r="AV243" s="6">
        <v>7000000</v>
      </c>
      <c r="AW243" s="6">
        <v>7000000</v>
      </c>
      <c r="AX243" s="6">
        <v>7000000</v>
      </c>
      <c r="AY243" s="6">
        <v>7000000</v>
      </c>
      <c r="AZ243" s="6">
        <v>7000000</v>
      </c>
      <c r="BA243" s="6">
        <v>7000000</v>
      </c>
      <c r="BB243" s="6">
        <v>7000000</v>
      </c>
      <c r="BC243" s="6">
        <v>7000000</v>
      </c>
      <c r="BD243" s="6">
        <v>7000000</v>
      </c>
      <c r="BE243" s="30">
        <f t="shared" ref="BE243:BE244" si="44">SUM(I243:BD243)</f>
        <v>287000000</v>
      </c>
      <c r="BF243" s="6">
        <f t="shared" ref="BF243:BF244" si="45">COUNTIF(I243:BD243, "&gt;0")</f>
        <v>41</v>
      </c>
    </row>
    <row r="244" spans="1:58">
      <c r="A244" s="9" t="s">
        <v>674</v>
      </c>
      <c r="B244" s="9" t="s">
        <v>391</v>
      </c>
      <c r="C244" s="11" t="s">
        <v>702</v>
      </c>
      <c r="D244" s="9" t="s">
        <v>673</v>
      </c>
      <c r="E244" s="9" t="s">
        <v>195</v>
      </c>
      <c r="F244" s="9" t="s">
        <v>422</v>
      </c>
      <c r="G244" s="9" t="s">
        <v>17</v>
      </c>
      <c r="H244" s="9" t="s">
        <v>670</v>
      </c>
      <c r="L244" s="29"/>
      <c r="M244" s="29"/>
      <c r="N244" s="29"/>
      <c r="O244" s="29">
        <v>7000000</v>
      </c>
      <c r="BE244" s="30">
        <f t="shared" si="44"/>
        <v>7000000</v>
      </c>
      <c r="BF244" s="6">
        <f t="shared" si="45"/>
        <v>1</v>
      </c>
    </row>
  </sheetData>
  <autoFilter ref="A1:BF244" xr:uid="{8B6E6517-C2D4-423E-BE76-994E16505ACC}"/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392D-676B-4491-9FDE-019611DC61C4}">
  <sheetPr codeName="Sheet6"/>
  <dimension ref="A1:R31"/>
  <sheetViews>
    <sheetView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C34" sqref="C34"/>
    </sheetView>
  </sheetViews>
  <sheetFormatPr defaultRowHeight="15"/>
  <cols>
    <col min="1" max="1" width="13" style="21" bestFit="1" customWidth="1"/>
    <col min="2" max="2" width="12.28515625" style="21" bestFit="1" customWidth="1"/>
    <col min="3" max="3" width="35.85546875" style="21" customWidth="1"/>
    <col min="4" max="4" width="10.28515625" style="21" bestFit="1" customWidth="1"/>
    <col min="5" max="5" width="12" style="21" customWidth="1"/>
    <col min="6" max="6" width="12.7109375" style="21" bestFit="1" customWidth="1"/>
    <col min="7" max="8" width="12.42578125" style="21" customWidth="1"/>
    <col min="9" max="9" width="12.85546875" style="21" customWidth="1"/>
    <col min="10" max="10" width="13" style="21" customWidth="1"/>
    <col min="11" max="11" width="13.5703125" style="21" customWidth="1"/>
    <col min="12" max="12" width="14.28515625" style="21" customWidth="1"/>
    <col min="13" max="15" width="12.85546875" style="21" bestFit="1" customWidth="1"/>
    <col min="16" max="16" width="14.28515625" style="21" bestFit="1" customWidth="1"/>
    <col min="17" max="17" width="13" style="21" bestFit="1" customWidth="1"/>
    <col min="18" max="18" width="16.28515625" style="21" bestFit="1" customWidth="1"/>
    <col min="19" max="16384" width="9.140625" style="21"/>
  </cols>
  <sheetData>
    <row r="1" spans="1:18" s="39" customFormat="1">
      <c r="A1" s="3" t="s">
        <v>675</v>
      </c>
      <c r="B1" s="3" t="s">
        <v>676</v>
      </c>
      <c r="C1" s="3" t="s">
        <v>677</v>
      </c>
      <c r="D1" s="3" t="s">
        <v>678</v>
      </c>
      <c r="E1" s="3" t="s">
        <v>679</v>
      </c>
      <c r="F1" s="3" t="s">
        <v>681</v>
      </c>
      <c r="G1" s="16">
        <v>44957</v>
      </c>
      <c r="H1" s="16">
        <v>44985</v>
      </c>
      <c r="I1" s="16">
        <v>45016</v>
      </c>
      <c r="J1" s="16">
        <v>45046</v>
      </c>
      <c r="K1" s="16">
        <v>45077</v>
      </c>
      <c r="L1" s="16">
        <v>45107</v>
      </c>
      <c r="M1" s="16">
        <v>45138</v>
      </c>
      <c r="N1" s="16">
        <v>45169</v>
      </c>
      <c r="O1" s="16">
        <v>45199</v>
      </c>
      <c r="P1" s="16">
        <v>45230</v>
      </c>
      <c r="Q1" s="16">
        <v>45260</v>
      </c>
      <c r="R1" s="16">
        <v>45291</v>
      </c>
    </row>
    <row r="2" spans="1:18">
      <c r="A2" s="22" t="s">
        <v>392</v>
      </c>
      <c r="B2" s="22" t="s">
        <v>80</v>
      </c>
      <c r="C2" s="23" t="s">
        <v>36</v>
      </c>
      <c r="D2" s="23" t="s">
        <v>35</v>
      </c>
      <c r="E2" s="22" t="s">
        <v>718</v>
      </c>
      <c r="F2" s="22" t="s">
        <v>17</v>
      </c>
      <c r="R2" s="24">
        <v>3200000</v>
      </c>
    </row>
    <row r="3" spans="1:18">
      <c r="A3" s="22" t="s">
        <v>392</v>
      </c>
      <c r="B3" s="22" t="s">
        <v>261</v>
      </c>
      <c r="C3" s="23" t="s">
        <v>200</v>
      </c>
      <c r="D3" s="23" t="s">
        <v>199</v>
      </c>
      <c r="E3" s="22" t="s">
        <v>721</v>
      </c>
      <c r="F3" s="22" t="s">
        <v>1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100600000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</row>
    <row r="4" spans="1:18">
      <c r="A4" s="22" t="s">
        <v>392</v>
      </c>
      <c r="B4" s="22" t="s">
        <v>322</v>
      </c>
      <c r="C4" s="23" t="s">
        <v>292</v>
      </c>
      <c r="D4" s="23" t="s">
        <v>291</v>
      </c>
      <c r="E4" s="22" t="s">
        <v>720</v>
      </c>
      <c r="F4" s="22" t="s">
        <v>11</v>
      </c>
      <c r="P4" s="24">
        <v>0</v>
      </c>
      <c r="Q4" s="24">
        <v>230000</v>
      </c>
      <c r="R4" s="24">
        <v>230000</v>
      </c>
    </row>
    <row r="5" spans="1:18">
      <c r="A5" s="22" t="s">
        <v>674</v>
      </c>
      <c r="B5" s="22" t="s">
        <v>80</v>
      </c>
      <c r="C5" s="23" t="s">
        <v>429</v>
      </c>
      <c r="D5" s="23" t="s">
        <v>428</v>
      </c>
      <c r="E5" s="22" t="s">
        <v>721</v>
      </c>
      <c r="F5" s="22" t="s">
        <v>1</v>
      </c>
      <c r="G5" s="24">
        <v>0</v>
      </c>
      <c r="H5" s="24">
        <v>0</v>
      </c>
      <c r="I5" s="24">
        <v>340000</v>
      </c>
      <c r="J5" s="24">
        <v>340000</v>
      </c>
      <c r="K5" s="24">
        <v>340000</v>
      </c>
      <c r="L5" s="24">
        <v>340000</v>
      </c>
      <c r="M5" s="25">
        <v>340000</v>
      </c>
      <c r="N5" s="25">
        <v>340000</v>
      </c>
      <c r="O5" s="25">
        <v>340000</v>
      </c>
      <c r="P5" s="25">
        <v>340000</v>
      </c>
      <c r="Q5" s="25">
        <v>340000</v>
      </c>
      <c r="R5" s="25">
        <v>340000</v>
      </c>
    </row>
    <row r="6" spans="1:18">
      <c r="A6" s="22" t="s">
        <v>674</v>
      </c>
      <c r="B6" s="22" t="s">
        <v>152</v>
      </c>
      <c r="C6" s="23" t="s">
        <v>439</v>
      </c>
      <c r="D6" s="23" t="s">
        <v>438</v>
      </c>
      <c r="E6" s="22" t="s">
        <v>721</v>
      </c>
      <c r="F6" s="22" t="s">
        <v>1</v>
      </c>
      <c r="G6" s="24">
        <v>37159985</v>
      </c>
      <c r="H6" s="24">
        <v>28281087</v>
      </c>
      <c r="I6" s="24">
        <v>15918517</v>
      </c>
      <c r="J6" s="24">
        <v>30819290</v>
      </c>
      <c r="K6" s="24">
        <v>19857273</v>
      </c>
      <c r="L6" s="24">
        <v>20340000</v>
      </c>
      <c r="M6" s="25">
        <v>12430908</v>
      </c>
      <c r="N6" s="25">
        <v>14436909</v>
      </c>
      <c r="O6" s="25">
        <v>0</v>
      </c>
      <c r="P6" s="25">
        <v>55600181</v>
      </c>
      <c r="Q6" s="25">
        <v>25201101</v>
      </c>
      <c r="R6" s="25">
        <v>31896001</v>
      </c>
    </row>
    <row r="7" spans="1:18">
      <c r="A7" s="22" t="s">
        <v>674</v>
      </c>
      <c r="B7" s="22" t="s">
        <v>192</v>
      </c>
      <c r="C7" s="23" t="s">
        <v>453</v>
      </c>
      <c r="D7" s="23" t="s">
        <v>452</v>
      </c>
      <c r="E7" s="22" t="s">
        <v>721</v>
      </c>
      <c r="F7" s="22" t="s">
        <v>11</v>
      </c>
      <c r="M7" s="26"/>
      <c r="N7" s="26"/>
      <c r="O7" s="25">
        <v>0</v>
      </c>
      <c r="P7" s="25">
        <v>15500000</v>
      </c>
      <c r="Q7" s="25">
        <v>0</v>
      </c>
      <c r="R7" s="25">
        <v>0</v>
      </c>
    </row>
    <row r="8" spans="1:18">
      <c r="A8" s="22" t="s">
        <v>674</v>
      </c>
      <c r="B8" s="22" t="s">
        <v>192</v>
      </c>
      <c r="C8" s="23" t="s">
        <v>460</v>
      </c>
      <c r="D8" s="23" t="s">
        <v>459</v>
      </c>
      <c r="E8" s="22" t="s">
        <v>721</v>
      </c>
      <c r="F8" s="22" t="s">
        <v>11</v>
      </c>
      <c r="G8" s="24">
        <v>23188545</v>
      </c>
      <c r="H8" s="24">
        <v>11239691</v>
      </c>
      <c r="I8" s="24">
        <v>13169309</v>
      </c>
      <c r="J8" s="24">
        <v>13887473</v>
      </c>
      <c r="K8" s="24">
        <v>12118945</v>
      </c>
      <c r="L8" s="24">
        <v>11266909</v>
      </c>
      <c r="M8" s="25">
        <v>11998382</v>
      </c>
      <c r="N8" s="25">
        <v>11965981</v>
      </c>
      <c r="O8" s="25">
        <v>11428886</v>
      </c>
      <c r="P8" s="25">
        <v>10424569</v>
      </c>
      <c r="Q8" s="25">
        <v>13428654</v>
      </c>
      <c r="R8" s="25">
        <v>11214819</v>
      </c>
    </row>
    <row r="9" spans="1:18">
      <c r="A9" s="22" t="s">
        <v>674</v>
      </c>
      <c r="B9" s="22" t="s">
        <v>192</v>
      </c>
      <c r="C9" s="23" t="s">
        <v>467</v>
      </c>
      <c r="D9" s="23" t="s">
        <v>466</v>
      </c>
      <c r="E9" s="22" t="s">
        <v>721</v>
      </c>
      <c r="F9" s="22" t="s">
        <v>1</v>
      </c>
      <c r="G9" s="24">
        <v>580000</v>
      </c>
      <c r="H9" s="24">
        <v>580000</v>
      </c>
      <c r="I9" s="24">
        <v>580000</v>
      </c>
      <c r="J9" s="24">
        <v>580000</v>
      </c>
      <c r="K9" s="24">
        <v>580000</v>
      </c>
      <c r="L9" s="24">
        <v>580000</v>
      </c>
      <c r="M9" s="25">
        <v>580000</v>
      </c>
      <c r="N9" s="25">
        <v>580000</v>
      </c>
      <c r="O9" s="25">
        <v>580000</v>
      </c>
      <c r="P9" s="25">
        <v>580000</v>
      </c>
      <c r="Q9" s="25">
        <v>580000</v>
      </c>
      <c r="R9" s="25">
        <v>580000</v>
      </c>
    </row>
    <row r="10" spans="1:18">
      <c r="A10" s="22" t="s">
        <v>674</v>
      </c>
      <c r="B10" s="22" t="s">
        <v>192</v>
      </c>
      <c r="C10" s="23" t="s">
        <v>469</v>
      </c>
      <c r="D10" s="23" t="s">
        <v>468</v>
      </c>
      <c r="E10" s="22" t="s">
        <v>721</v>
      </c>
      <c r="F10" s="22" t="s">
        <v>11</v>
      </c>
      <c r="M10" s="26"/>
      <c r="N10" s="26"/>
      <c r="O10" s="26"/>
      <c r="P10" s="25">
        <v>120000000</v>
      </c>
      <c r="Q10" s="25">
        <v>0</v>
      </c>
      <c r="R10" s="25">
        <v>1380000000</v>
      </c>
    </row>
    <row r="11" spans="1:18">
      <c r="A11" s="22" t="s">
        <v>674</v>
      </c>
      <c r="B11" s="22" t="s">
        <v>192</v>
      </c>
      <c r="C11" s="23" t="s">
        <v>476</v>
      </c>
      <c r="D11" s="23" t="s">
        <v>475</v>
      </c>
      <c r="E11" s="22" t="s">
        <v>721</v>
      </c>
      <c r="F11" s="22" t="s">
        <v>1</v>
      </c>
      <c r="G11" s="24">
        <v>0</v>
      </c>
      <c r="H11" s="24">
        <v>0</v>
      </c>
      <c r="I11" s="24">
        <v>250000</v>
      </c>
      <c r="J11" s="24">
        <v>250000</v>
      </c>
      <c r="K11" s="24">
        <v>250000</v>
      </c>
      <c r="L11" s="24">
        <v>250000</v>
      </c>
      <c r="M11" s="25">
        <v>250000</v>
      </c>
      <c r="N11" s="25">
        <v>250000</v>
      </c>
      <c r="O11" s="25">
        <v>250000</v>
      </c>
      <c r="P11" s="25">
        <v>250000</v>
      </c>
      <c r="Q11" s="25">
        <v>250000</v>
      </c>
      <c r="R11" s="25">
        <v>250000</v>
      </c>
    </row>
    <row r="12" spans="1:18">
      <c r="A12" s="22" t="s">
        <v>674</v>
      </c>
      <c r="B12" s="22" t="s">
        <v>286</v>
      </c>
      <c r="C12" s="23" t="s">
        <v>510</v>
      </c>
      <c r="D12" s="23" t="s">
        <v>509</v>
      </c>
      <c r="E12" s="22" t="s">
        <v>721</v>
      </c>
      <c r="F12" s="22" t="s">
        <v>11</v>
      </c>
      <c r="M12" s="26"/>
      <c r="N12" s="26"/>
      <c r="O12" s="26"/>
      <c r="P12" s="25">
        <v>0</v>
      </c>
      <c r="Q12" s="25">
        <v>27000000</v>
      </c>
      <c r="R12" s="25">
        <v>0</v>
      </c>
    </row>
    <row r="13" spans="1:18">
      <c r="A13" s="22" t="s">
        <v>674</v>
      </c>
      <c r="B13" s="22" t="s">
        <v>286</v>
      </c>
      <c r="C13" s="23" t="s">
        <v>517</v>
      </c>
      <c r="D13" s="23" t="s">
        <v>516</v>
      </c>
      <c r="E13" s="22" t="s">
        <v>721</v>
      </c>
      <c r="F13" s="22" t="s">
        <v>11</v>
      </c>
      <c r="G13" s="24">
        <v>8570796</v>
      </c>
      <c r="H13" s="24">
        <v>8073532</v>
      </c>
      <c r="I13" s="24">
        <v>7086191</v>
      </c>
      <c r="J13" s="24">
        <v>7706292</v>
      </c>
      <c r="K13" s="24">
        <v>6393555</v>
      </c>
      <c r="L13" s="24">
        <v>7214472</v>
      </c>
      <c r="M13" s="25">
        <v>7781714</v>
      </c>
      <c r="N13" s="25">
        <v>6438106</v>
      </c>
      <c r="O13" s="25">
        <v>7115406</v>
      </c>
      <c r="P13" s="25">
        <v>6032504</v>
      </c>
      <c r="Q13" s="25">
        <v>6079036</v>
      </c>
      <c r="R13" s="25">
        <v>6857218</v>
      </c>
    </row>
    <row r="14" spans="1:18">
      <c r="A14" s="22" t="s">
        <v>674</v>
      </c>
      <c r="B14" s="22" t="s">
        <v>286</v>
      </c>
      <c r="C14" s="23" t="s">
        <v>524</v>
      </c>
      <c r="D14" s="23" t="s">
        <v>523</v>
      </c>
      <c r="E14" s="22" t="s">
        <v>721</v>
      </c>
      <c r="F14" s="22" t="s">
        <v>11</v>
      </c>
      <c r="G14" s="24">
        <v>2313458</v>
      </c>
      <c r="H14" s="24">
        <v>2117278</v>
      </c>
      <c r="I14" s="24">
        <v>2276187</v>
      </c>
      <c r="J14" s="24">
        <v>2128929</v>
      </c>
      <c r="K14" s="24">
        <v>2403454</v>
      </c>
      <c r="L14" s="24">
        <v>2148933</v>
      </c>
      <c r="M14" s="25">
        <v>2081659</v>
      </c>
      <c r="N14" s="25">
        <v>1902586</v>
      </c>
      <c r="O14" s="25">
        <v>1917131</v>
      </c>
      <c r="P14" s="25">
        <v>2014388</v>
      </c>
      <c r="Q14" s="25">
        <v>2183645</v>
      </c>
      <c r="R14" s="25">
        <v>2029836</v>
      </c>
    </row>
    <row r="15" spans="1:18">
      <c r="A15" s="22" t="s">
        <v>674</v>
      </c>
      <c r="B15" s="22" t="s">
        <v>322</v>
      </c>
      <c r="C15" s="23" t="s">
        <v>550</v>
      </c>
      <c r="D15" s="23" t="s">
        <v>549</v>
      </c>
      <c r="E15" s="22" t="s">
        <v>721</v>
      </c>
      <c r="F15" s="22" t="s">
        <v>11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12000000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</row>
    <row r="16" spans="1:18">
      <c r="A16" s="22" t="s">
        <v>674</v>
      </c>
      <c r="B16" s="22" t="s">
        <v>322</v>
      </c>
      <c r="C16" s="23" t="s">
        <v>557</v>
      </c>
      <c r="D16" s="23" t="s">
        <v>556</v>
      </c>
      <c r="E16" s="22" t="s">
        <v>721</v>
      </c>
      <c r="F16" s="22" t="s">
        <v>1</v>
      </c>
      <c r="G16" s="24">
        <v>0</v>
      </c>
      <c r="H16" s="24">
        <v>50593582</v>
      </c>
      <c r="I16" s="24">
        <v>29616127</v>
      </c>
      <c r="J16" s="24">
        <v>29097600</v>
      </c>
      <c r="K16" s="24">
        <v>34358472</v>
      </c>
      <c r="L16" s="24">
        <v>32553655</v>
      </c>
      <c r="M16" s="25">
        <v>36435346</v>
      </c>
      <c r="N16" s="25">
        <v>37273272</v>
      </c>
      <c r="O16" s="25">
        <v>32959910</v>
      </c>
      <c r="P16" s="25">
        <v>36127108</v>
      </c>
      <c r="Q16" s="25">
        <v>37493493</v>
      </c>
      <c r="R16" s="25">
        <v>38252960</v>
      </c>
    </row>
    <row r="17" spans="1:18">
      <c r="A17" s="22" t="s">
        <v>674</v>
      </c>
      <c r="B17" s="22" t="s">
        <v>322</v>
      </c>
      <c r="C17" s="23" t="s">
        <v>564</v>
      </c>
      <c r="D17" s="23" t="s">
        <v>563</v>
      </c>
      <c r="E17" s="22" t="s">
        <v>721</v>
      </c>
      <c r="F17" s="22" t="s">
        <v>1</v>
      </c>
      <c r="G17" s="24">
        <v>600000</v>
      </c>
      <c r="H17" s="24">
        <v>600000</v>
      </c>
      <c r="I17" s="24">
        <v>600000</v>
      </c>
      <c r="J17" s="24">
        <v>600000</v>
      </c>
      <c r="K17" s="24">
        <v>600000</v>
      </c>
      <c r="L17" s="24">
        <v>600000</v>
      </c>
      <c r="M17" s="25">
        <v>600000</v>
      </c>
      <c r="N17" s="25">
        <v>600000</v>
      </c>
      <c r="O17" s="25">
        <v>600000</v>
      </c>
      <c r="P17" s="25">
        <v>600000</v>
      </c>
      <c r="Q17" s="25">
        <v>600000</v>
      </c>
      <c r="R17" s="25">
        <v>600000</v>
      </c>
    </row>
    <row r="18" spans="1:18">
      <c r="A18" s="22" t="s">
        <v>674</v>
      </c>
      <c r="B18" s="22" t="s">
        <v>322</v>
      </c>
      <c r="C18" s="23" t="s">
        <v>571</v>
      </c>
      <c r="D18" s="23" t="s">
        <v>570</v>
      </c>
      <c r="E18" s="22" t="s">
        <v>721</v>
      </c>
      <c r="F18" s="22" t="s">
        <v>38</v>
      </c>
      <c r="G18" s="24">
        <v>68493574</v>
      </c>
      <c r="H18" s="24">
        <v>75735826</v>
      </c>
      <c r="I18" s="24">
        <v>93874716</v>
      </c>
      <c r="J18" s="24">
        <v>78797247</v>
      </c>
      <c r="K18" s="24">
        <v>73253727</v>
      </c>
      <c r="L18" s="24">
        <v>75629195</v>
      </c>
      <c r="M18" s="25">
        <v>76162573</v>
      </c>
      <c r="N18" s="25">
        <v>73261695</v>
      </c>
      <c r="O18" s="25">
        <v>80608857</v>
      </c>
      <c r="P18" s="25">
        <v>74691993</v>
      </c>
      <c r="Q18" s="25">
        <v>83653580</v>
      </c>
      <c r="R18" s="25">
        <v>109360039</v>
      </c>
    </row>
    <row r="19" spans="1:18">
      <c r="A19" s="22" t="s">
        <v>674</v>
      </c>
      <c r="B19" s="22" t="s">
        <v>322</v>
      </c>
      <c r="C19" s="23" t="s">
        <v>578</v>
      </c>
      <c r="D19" s="23" t="s">
        <v>577</v>
      </c>
      <c r="E19" s="22" t="s">
        <v>721</v>
      </c>
      <c r="F19" s="22" t="s">
        <v>11</v>
      </c>
      <c r="G19" s="24">
        <v>0</v>
      </c>
      <c r="H19" s="24">
        <v>0</v>
      </c>
      <c r="I19" s="24">
        <v>0</v>
      </c>
      <c r="J19" s="24">
        <v>450000</v>
      </c>
      <c r="K19" s="24">
        <v>450000</v>
      </c>
      <c r="L19" s="24">
        <v>450000</v>
      </c>
      <c r="M19" s="25">
        <v>450000</v>
      </c>
      <c r="N19" s="25">
        <v>450000</v>
      </c>
      <c r="O19" s="25">
        <v>450000</v>
      </c>
      <c r="P19" s="25">
        <v>450000</v>
      </c>
      <c r="Q19" s="25">
        <v>450000</v>
      </c>
      <c r="R19" s="25">
        <v>450000</v>
      </c>
    </row>
    <row r="20" spans="1:18">
      <c r="A20" s="22" t="s">
        <v>674</v>
      </c>
      <c r="B20" s="22" t="s">
        <v>322</v>
      </c>
      <c r="C20" s="23" t="s">
        <v>590</v>
      </c>
      <c r="D20" s="23" t="s">
        <v>589</v>
      </c>
      <c r="E20" s="22" t="s">
        <v>720</v>
      </c>
      <c r="F20" s="22" t="s">
        <v>17</v>
      </c>
      <c r="M20" s="26"/>
      <c r="N20" s="26"/>
      <c r="O20" s="26"/>
      <c r="P20" s="26"/>
      <c r="Q20" s="25">
        <v>0</v>
      </c>
      <c r="R20" s="25">
        <v>385000</v>
      </c>
    </row>
    <row r="21" spans="1:18">
      <c r="A21" s="22" t="s">
        <v>674</v>
      </c>
      <c r="B21" s="22" t="s">
        <v>353</v>
      </c>
      <c r="C21" s="23" t="s">
        <v>629</v>
      </c>
      <c r="D21" s="23" t="s">
        <v>628</v>
      </c>
      <c r="E21" s="22" t="s">
        <v>721</v>
      </c>
      <c r="F21" s="22" t="s">
        <v>11</v>
      </c>
      <c r="G21" s="24">
        <v>0</v>
      </c>
      <c r="H21" s="24">
        <v>784546</v>
      </c>
      <c r="I21" s="24">
        <v>1567000</v>
      </c>
      <c r="J21" s="24">
        <v>1719000</v>
      </c>
      <c r="K21" s="24">
        <v>1441272</v>
      </c>
      <c r="L21" s="24">
        <v>1719091</v>
      </c>
      <c r="M21" s="25">
        <v>1850909</v>
      </c>
      <c r="N21" s="25">
        <v>1655455</v>
      </c>
      <c r="O21" s="25">
        <v>1589091</v>
      </c>
      <c r="P21" s="25">
        <v>1627273</v>
      </c>
      <c r="Q21" s="25">
        <v>1525454</v>
      </c>
      <c r="R21" s="25">
        <v>1864545</v>
      </c>
    </row>
    <row r="22" spans="1:18">
      <c r="A22" s="22" t="s">
        <v>674</v>
      </c>
      <c r="B22" s="22" t="s">
        <v>353</v>
      </c>
      <c r="C22" s="23" t="s">
        <v>631</v>
      </c>
      <c r="D22" s="23" t="s">
        <v>630</v>
      </c>
      <c r="E22" s="22" t="s">
        <v>721</v>
      </c>
      <c r="F22" s="22" t="s">
        <v>11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5">
        <v>19780000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18">
      <c r="A23" s="22" t="s">
        <v>674</v>
      </c>
      <c r="B23" s="22" t="s">
        <v>353</v>
      </c>
      <c r="C23" s="23" t="s">
        <v>638</v>
      </c>
      <c r="D23" s="23" t="s">
        <v>637</v>
      </c>
      <c r="E23" s="22" t="s">
        <v>721</v>
      </c>
      <c r="F23" s="22" t="s">
        <v>11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10825573</v>
      </c>
      <c r="M23" s="25">
        <v>12822727</v>
      </c>
      <c r="N23" s="25">
        <v>8257273</v>
      </c>
      <c r="O23" s="25">
        <v>7147273</v>
      </c>
      <c r="P23" s="25">
        <v>6908454</v>
      </c>
      <c r="Q23" s="25">
        <v>13224550</v>
      </c>
      <c r="R23" s="25">
        <v>9247273</v>
      </c>
    </row>
    <row r="24" spans="1:18">
      <c r="A24" s="22" t="s">
        <v>674</v>
      </c>
      <c r="B24" s="22" t="s">
        <v>353</v>
      </c>
      <c r="C24" s="23" t="s">
        <v>640</v>
      </c>
      <c r="D24" s="23" t="s">
        <v>639</v>
      </c>
      <c r="E24" s="22" t="s">
        <v>721</v>
      </c>
      <c r="F24" s="22" t="s">
        <v>38</v>
      </c>
      <c r="G24" s="24">
        <v>0</v>
      </c>
      <c r="H24" s="24">
        <v>0</v>
      </c>
      <c r="I24" s="24">
        <v>21000000</v>
      </c>
      <c r="J24" s="24">
        <v>0</v>
      </c>
      <c r="K24" s="24">
        <v>0</v>
      </c>
      <c r="L24" s="24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</row>
    <row r="25" spans="1:18">
      <c r="A25" s="22" t="s">
        <v>674</v>
      </c>
      <c r="B25" s="22" t="s">
        <v>353</v>
      </c>
      <c r="C25" s="23" t="s">
        <v>642</v>
      </c>
      <c r="D25" s="23" t="s">
        <v>641</v>
      </c>
      <c r="E25" s="22" t="s">
        <v>721</v>
      </c>
      <c r="F25" s="22" t="s">
        <v>38</v>
      </c>
      <c r="G25" s="24">
        <v>0</v>
      </c>
      <c r="H25" s="24">
        <v>0</v>
      </c>
      <c r="I25" s="24">
        <v>0</v>
      </c>
      <c r="J25" s="24">
        <v>0</v>
      </c>
      <c r="K25" s="24">
        <v>40000000</v>
      </c>
      <c r="L25" s="24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18">
      <c r="A26" s="22" t="s">
        <v>674</v>
      </c>
      <c r="B26" s="22" t="s">
        <v>391</v>
      </c>
      <c r="C26" s="23" t="s">
        <v>653</v>
      </c>
      <c r="D26" s="23" t="s">
        <v>652</v>
      </c>
      <c r="E26" s="22" t="s">
        <v>721</v>
      </c>
      <c r="F26" s="22" t="s">
        <v>17</v>
      </c>
      <c r="M26" s="26"/>
      <c r="N26" s="26"/>
      <c r="O26" s="26"/>
      <c r="P26" s="26"/>
      <c r="Q26" s="25">
        <v>0</v>
      </c>
      <c r="R26" s="25">
        <v>44750000</v>
      </c>
    </row>
    <row r="27" spans="1:18">
      <c r="A27" s="22" t="s">
        <v>674</v>
      </c>
      <c r="B27" s="22" t="s">
        <v>391</v>
      </c>
      <c r="C27" s="23" t="s">
        <v>660</v>
      </c>
      <c r="D27" s="23" t="s">
        <v>659</v>
      </c>
      <c r="E27" s="22" t="s">
        <v>721</v>
      </c>
      <c r="F27" s="22" t="s">
        <v>11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18100000</v>
      </c>
      <c r="M27" s="25">
        <v>21000000</v>
      </c>
      <c r="N27" s="25">
        <v>21000000</v>
      </c>
      <c r="O27" s="25">
        <v>21000000</v>
      </c>
      <c r="P27" s="25">
        <v>21000000</v>
      </c>
      <c r="Q27" s="25">
        <v>21000000</v>
      </c>
      <c r="R27" s="25">
        <v>21000000</v>
      </c>
    </row>
    <row r="28" spans="1:18"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31" spans="1:18"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</sheetData>
  <autoFilter ref="A1:R27" xr:uid="{953CB8E7-1326-44EF-AC96-B66961F0B840}"/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9E22-2EDC-4455-B2E9-4566A79D82D7}">
  <sheetPr codeName="Sheet7"/>
  <dimension ref="A1:G234"/>
  <sheetViews>
    <sheetView workbookViewId="0">
      <pane ySplit="1" topLeftCell="A2" activePane="bottomLeft" state="frozen"/>
      <selection pane="bottomLeft" activeCell="C16" sqref="C16"/>
    </sheetView>
  </sheetViews>
  <sheetFormatPr defaultRowHeight="12.75"/>
  <cols>
    <col min="1" max="1" width="9.42578125" style="14" bestFit="1" customWidth="1"/>
    <col min="2" max="2" width="14" style="14" customWidth="1"/>
    <col min="3" max="3" width="47.7109375" style="15" bestFit="1" customWidth="1"/>
    <col min="4" max="4" width="21.7109375" style="14" bestFit="1" customWidth="1"/>
    <col min="5" max="5" width="12.7109375" style="14" bestFit="1" customWidth="1"/>
    <col min="6" max="6" width="12.7109375" style="14" customWidth="1"/>
    <col min="7" max="16384" width="9.140625" style="14"/>
  </cols>
  <sheetData>
    <row r="1" spans="1:7" ht="13.5">
      <c r="A1" s="20" t="s">
        <v>727</v>
      </c>
      <c r="B1" s="20" t="s">
        <v>725</v>
      </c>
      <c r="C1" s="20" t="s">
        <v>729</v>
      </c>
      <c r="D1" s="20" t="s">
        <v>731</v>
      </c>
      <c r="E1" s="20" t="s">
        <v>770</v>
      </c>
      <c r="F1" s="20" t="s">
        <v>771</v>
      </c>
      <c r="G1" s="31" t="s">
        <v>782</v>
      </c>
    </row>
    <row r="2" spans="1:7">
      <c r="A2" s="9" t="s">
        <v>9</v>
      </c>
      <c r="B2" s="10" t="s">
        <v>718</v>
      </c>
      <c r="C2" s="11" t="s">
        <v>732</v>
      </c>
      <c r="D2" s="9" t="s">
        <v>734</v>
      </c>
      <c r="E2" s="12" t="s">
        <v>717</v>
      </c>
      <c r="F2" s="12" t="str">
        <f>IF(E2="LG","LG","Open")</f>
        <v>Open</v>
      </c>
      <c r="G2" s="14" t="s">
        <v>780</v>
      </c>
    </row>
    <row r="3" spans="1:7">
      <c r="A3" s="9" t="s">
        <v>15</v>
      </c>
      <c r="B3" s="10" t="s">
        <v>718</v>
      </c>
      <c r="C3" s="11" t="s">
        <v>688</v>
      </c>
      <c r="D3" s="9" t="s">
        <v>735</v>
      </c>
      <c r="E3" s="9" t="s">
        <v>11</v>
      </c>
      <c r="F3" s="9" t="str">
        <f t="shared" ref="F3:F66" si="0">IF(E3="LG","LG","Open")</f>
        <v>Open</v>
      </c>
      <c r="G3" s="14" t="s">
        <v>780</v>
      </c>
    </row>
    <row r="4" spans="1:7">
      <c r="A4" s="9" t="s">
        <v>20</v>
      </c>
      <c r="B4" s="10" t="s">
        <v>719</v>
      </c>
      <c r="C4" s="11" t="s">
        <v>21</v>
      </c>
      <c r="D4" s="9" t="s">
        <v>736</v>
      </c>
      <c r="E4" s="9" t="s">
        <v>17</v>
      </c>
      <c r="F4" s="9" t="str">
        <f t="shared" si="0"/>
        <v>Open</v>
      </c>
      <c r="G4" s="14" t="s">
        <v>781</v>
      </c>
    </row>
    <row r="5" spans="1:7">
      <c r="A5" s="9" t="s">
        <v>23</v>
      </c>
      <c r="B5" s="10" t="s">
        <v>719</v>
      </c>
      <c r="C5" s="11" t="s">
        <v>24</v>
      </c>
      <c r="D5" s="9" t="s">
        <v>736</v>
      </c>
      <c r="E5" s="12" t="s">
        <v>717</v>
      </c>
      <c r="F5" s="12" t="str">
        <f t="shared" si="0"/>
        <v>Open</v>
      </c>
      <c r="G5" s="14" t="s">
        <v>781</v>
      </c>
    </row>
    <row r="6" spans="1:7">
      <c r="A6" s="9" t="s">
        <v>29</v>
      </c>
      <c r="B6" s="10" t="s">
        <v>718</v>
      </c>
      <c r="C6" s="11" t="s">
        <v>689</v>
      </c>
      <c r="D6" s="9" t="s">
        <v>735</v>
      </c>
      <c r="E6" s="9" t="s">
        <v>11</v>
      </c>
      <c r="F6" s="9" t="str">
        <f t="shared" si="0"/>
        <v>Open</v>
      </c>
      <c r="G6" s="14" t="s">
        <v>780</v>
      </c>
    </row>
    <row r="7" spans="1:7">
      <c r="A7" s="9" t="s">
        <v>35</v>
      </c>
      <c r="B7" s="10" t="s">
        <v>718</v>
      </c>
      <c r="C7" s="11" t="s">
        <v>36</v>
      </c>
      <c r="D7" s="9" t="s">
        <v>737</v>
      </c>
      <c r="E7" s="9" t="s">
        <v>17</v>
      </c>
      <c r="F7" s="9" t="str">
        <f t="shared" si="0"/>
        <v>Open</v>
      </c>
      <c r="G7" s="14" t="s">
        <v>781</v>
      </c>
    </row>
    <row r="8" spans="1:7">
      <c r="A8" s="9" t="s">
        <v>43</v>
      </c>
      <c r="B8" s="10" t="s">
        <v>718</v>
      </c>
      <c r="C8" s="11" t="s">
        <v>686</v>
      </c>
      <c r="D8" s="9" t="s">
        <v>42</v>
      </c>
      <c r="E8" s="9" t="s">
        <v>38</v>
      </c>
      <c r="F8" s="9" t="str">
        <f t="shared" si="0"/>
        <v>Open</v>
      </c>
      <c r="G8" s="14" t="s">
        <v>781</v>
      </c>
    </row>
    <row r="9" spans="1:7">
      <c r="A9" s="9" t="s">
        <v>47</v>
      </c>
      <c r="B9" s="10" t="s">
        <v>719</v>
      </c>
      <c r="C9" s="11" t="s">
        <v>48</v>
      </c>
      <c r="D9" s="9" t="s">
        <v>736</v>
      </c>
      <c r="E9" s="9" t="s">
        <v>17</v>
      </c>
      <c r="F9" s="9" t="str">
        <f t="shared" si="0"/>
        <v>Open</v>
      </c>
      <c r="G9" s="14" t="s">
        <v>781</v>
      </c>
    </row>
    <row r="10" spans="1:7">
      <c r="A10" s="9" t="s">
        <v>50</v>
      </c>
      <c r="B10" s="10" t="s">
        <v>719</v>
      </c>
      <c r="C10" s="11" t="s">
        <v>51</v>
      </c>
      <c r="D10" s="9" t="s">
        <v>736</v>
      </c>
      <c r="E10" s="9" t="s">
        <v>11</v>
      </c>
      <c r="F10" s="9" t="str">
        <f t="shared" si="0"/>
        <v>Open</v>
      </c>
      <c r="G10" s="14" t="s">
        <v>781</v>
      </c>
    </row>
    <row r="11" spans="1:7">
      <c r="A11" s="9" t="s">
        <v>53</v>
      </c>
      <c r="B11" s="10" t="s">
        <v>719</v>
      </c>
      <c r="C11" s="11" t="s">
        <v>54</v>
      </c>
      <c r="D11" s="9" t="s">
        <v>736</v>
      </c>
      <c r="E11" s="9" t="s">
        <v>11</v>
      </c>
      <c r="F11" s="9" t="str">
        <f t="shared" si="0"/>
        <v>Open</v>
      </c>
      <c r="G11" s="14" t="s">
        <v>781</v>
      </c>
    </row>
    <row r="12" spans="1:7">
      <c r="A12" s="9" t="s">
        <v>58</v>
      </c>
      <c r="B12" s="10" t="s">
        <v>719</v>
      </c>
      <c r="C12" s="11" t="s">
        <v>59</v>
      </c>
      <c r="D12" s="9" t="s">
        <v>736</v>
      </c>
      <c r="E12" s="9" t="s">
        <v>17</v>
      </c>
      <c r="F12" s="9" t="str">
        <f t="shared" si="0"/>
        <v>Open</v>
      </c>
      <c r="G12" s="14" t="s">
        <v>781</v>
      </c>
    </row>
    <row r="13" spans="1:7">
      <c r="A13" s="9" t="s">
        <v>63</v>
      </c>
      <c r="B13" s="10" t="s">
        <v>719</v>
      </c>
      <c r="C13" s="11" t="s">
        <v>64</v>
      </c>
      <c r="D13" s="9" t="s">
        <v>736</v>
      </c>
      <c r="E13" s="9" t="s">
        <v>17</v>
      </c>
      <c r="F13" s="9" t="str">
        <f t="shared" si="0"/>
        <v>Open</v>
      </c>
      <c r="G13" s="14" t="s">
        <v>781</v>
      </c>
    </row>
    <row r="14" spans="1:7">
      <c r="A14" s="9" t="s">
        <v>66</v>
      </c>
      <c r="B14" s="10" t="s">
        <v>719</v>
      </c>
      <c r="C14" s="11" t="s">
        <v>67</v>
      </c>
      <c r="D14" s="9" t="s">
        <v>736</v>
      </c>
      <c r="E14" s="9" t="s">
        <v>11</v>
      </c>
      <c r="F14" s="9" t="str">
        <f t="shared" si="0"/>
        <v>Open</v>
      </c>
      <c r="G14" s="14" t="s">
        <v>781</v>
      </c>
    </row>
    <row r="15" spans="1:7">
      <c r="A15" s="9" t="s">
        <v>69</v>
      </c>
      <c r="B15" s="10" t="s">
        <v>719</v>
      </c>
      <c r="C15" s="11" t="s">
        <v>70</v>
      </c>
      <c r="D15" s="9" t="s">
        <v>736</v>
      </c>
      <c r="E15" s="9" t="s">
        <v>11</v>
      </c>
      <c r="F15" s="9" t="str">
        <f t="shared" si="0"/>
        <v>Open</v>
      </c>
      <c r="G15" s="14" t="s">
        <v>781</v>
      </c>
    </row>
    <row r="16" spans="1:7">
      <c r="A16" s="9" t="s">
        <v>78</v>
      </c>
      <c r="B16" s="10" t="s">
        <v>719</v>
      </c>
      <c r="C16" s="11" t="s">
        <v>79</v>
      </c>
      <c r="D16" s="9" t="s">
        <v>76</v>
      </c>
      <c r="E16" s="9" t="s">
        <v>17</v>
      </c>
      <c r="F16" s="9" t="str">
        <f t="shared" si="0"/>
        <v>Open</v>
      </c>
      <c r="G16" s="14" t="s">
        <v>781</v>
      </c>
    </row>
    <row r="17" spans="1:7">
      <c r="A17" s="9" t="s">
        <v>84</v>
      </c>
      <c r="B17" s="10" t="s">
        <v>718</v>
      </c>
      <c r="C17" s="11" t="s">
        <v>85</v>
      </c>
      <c r="D17" s="9" t="s">
        <v>734</v>
      </c>
      <c r="E17" s="12" t="s">
        <v>769</v>
      </c>
      <c r="F17" s="12" t="str">
        <f t="shared" si="0"/>
        <v>LG</v>
      </c>
      <c r="G17" s="14" t="s">
        <v>780</v>
      </c>
    </row>
    <row r="18" spans="1:7">
      <c r="A18" s="9" t="s">
        <v>88</v>
      </c>
      <c r="B18" s="10" t="s">
        <v>719</v>
      </c>
      <c r="C18" s="11" t="s">
        <v>89</v>
      </c>
      <c r="D18" s="9" t="s">
        <v>738</v>
      </c>
      <c r="E18" s="12" t="s">
        <v>769</v>
      </c>
      <c r="F18" s="12" t="str">
        <f t="shared" si="0"/>
        <v>LG</v>
      </c>
      <c r="G18" s="14" t="s">
        <v>781</v>
      </c>
    </row>
    <row r="19" spans="1:7">
      <c r="A19" s="9" t="s">
        <v>94</v>
      </c>
      <c r="B19" s="10" t="s">
        <v>718</v>
      </c>
      <c r="C19" s="11" t="s">
        <v>685</v>
      </c>
      <c r="D19" s="9" t="s">
        <v>42</v>
      </c>
      <c r="E19" s="9" t="s">
        <v>11</v>
      </c>
      <c r="F19" s="9" t="str">
        <f t="shared" si="0"/>
        <v>Open</v>
      </c>
      <c r="G19" s="14" t="s">
        <v>781</v>
      </c>
    </row>
    <row r="20" spans="1:7">
      <c r="A20" s="9" t="s">
        <v>102</v>
      </c>
      <c r="B20" s="10" t="s">
        <v>719</v>
      </c>
      <c r="C20" s="11" t="s">
        <v>103</v>
      </c>
      <c r="D20" s="9" t="s">
        <v>736</v>
      </c>
      <c r="E20" s="9" t="s">
        <v>17</v>
      </c>
      <c r="F20" s="9" t="str">
        <f t="shared" si="0"/>
        <v>Open</v>
      </c>
      <c r="G20" s="14" t="s">
        <v>781</v>
      </c>
    </row>
    <row r="21" spans="1:7">
      <c r="A21" s="9" t="s">
        <v>110</v>
      </c>
      <c r="B21" s="10" t="s">
        <v>719</v>
      </c>
      <c r="C21" s="11" t="s">
        <v>111</v>
      </c>
      <c r="D21" s="9" t="s">
        <v>736</v>
      </c>
      <c r="E21" s="9" t="s">
        <v>17</v>
      </c>
      <c r="F21" s="9" t="str">
        <f t="shared" si="0"/>
        <v>Open</v>
      </c>
      <c r="G21" s="14" t="s">
        <v>781</v>
      </c>
    </row>
    <row r="22" spans="1:7">
      <c r="A22" s="9" t="s">
        <v>118</v>
      </c>
      <c r="B22" s="10" t="s">
        <v>719</v>
      </c>
      <c r="C22" s="11" t="s">
        <v>119</v>
      </c>
      <c r="D22" s="9" t="s">
        <v>736</v>
      </c>
      <c r="E22" s="9" t="s">
        <v>17</v>
      </c>
      <c r="F22" s="9" t="str">
        <f t="shared" si="0"/>
        <v>Open</v>
      </c>
      <c r="G22" s="14" t="s">
        <v>781</v>
      </c>
    </row>
    <row r="23" spans="1:7">
      <c r="A23" s="9" t="s">
        <v>124</v>
      </c>
      <c r="B23" s="10" t="s">
        <v>719</v>
      </c>
      <c r="C23" s="11" t="s">
        <v>125</v>
      </c>
      <c r="D23" s="9" t="s">
        <v>736</v>
      </c>
      <c r="E23" s="9" t="s">
        <v>11</v>
      </c>
      <c r="F23" s="9" t="str">
        <f t="shared" si="0"/>
        <v>Open</v>
      </c>
      <c r="G23" s="14" t="s">
        <v>781</v>
      </c>
    </row>
    <row r="24" spans="1:7">
      <c r="A24" s="9" t="s">
        <v>133</v>
      </c>
      <c r="B24" s="10" t="s">
        <v>720</v>
      </c>
      <c r="C24" s="11" t="s">
        <v>134</v>
      </c>
      <c r="D24" s="9" t="s">
        <v>131</v>
      </c>
      <c r="E24" s="9" t="s">
        <v>17</v>
      </c>
      <c r="F24" s="9" t="str">
        <f t="shared" si="0"/>
        <v>Open</v>
      </c>
      <c r="G24" s="14" t="s">
        <v>781</v>
      </c>
    </row>
    <row r="25" spans="1:7">
      <c r="A25" s="9" t="s">
        <v>137</v>
      </c>
      <c r="B25" s="10" t="s">
        <v>720</v>
      </c>
      <c r="C25" s="11" t="s">
        <v>138</v>
      </c>
      <c r="D25" s="9" t="s">
        <v>131</v>
      </c>
      <c r="E25" s="12" t="s">
        <v>769</v>
      </c>
      <c r="F25" s="12" t="str">
        <f t="shared" si="0"/>
        <v>LG</v>
      </c>
      <c r="G25" s="14" t="s">
        <v>781</v>
      </c>
    </row>
    <row r="26" spans="1:7">
      <c r="A26" s="9" t="s">
        <v>145</v>
      </c>
      <c r="B26" s="10" t="s">
        <v>718</v>
      </c>
      <c r="C26" s="11" t="s">
        <v>146</v>
      </c>
      <c r="D26" s="9" t="s">
        <v>739</v>
      </c>
      <c r="E26" s="12" t="s">
        <v>769</v>
      </c>
      <c r="F26" s="12" t="str">
        <f t="shared" si="0"/>
        <v>LG</v>
      </c>
      <c r="G26" s="14" t="s">
        <v>781</v>
      </c>
    </row>
    <row r="27" spans="1:7">
      <c r="A27" s="9" t="s">
        <v>150</v>
      </c>
      <c r="B27" s="10" t="s">
        <v>718</v>
      </c>
      <c r="C27" s="11" t="s">
        <v>151</v>
      </c>
      <c r="D27" s="9" t="s">
        <v>739</v>
      </c>
      <c r="E27" s="9" t="s">
        <v>1</v>
      </c>
      <c r="F27" s="9" t="str">
        <f t="shared" si="0"/>
        <v>LG</v>
      </c>
      <c r="G27" s="14" t="s">
        <v>781</v>
      </c>
    </row>
    <row r="28" spans="1:7">
      <c r="A28" s="9" t="s">
        <v>156</v>
      </c>
      <c r="B28" s="10" t="s">
        <v>718</v>
      </c>
      <c r="C28" s="11" t="s">
        <v>157</v>
      </c>
      <c r="D28" s="9" t="s">
        <v>734</v>
      </c>
      <c r="E28" s="12" t="s">
        <v>769</v>
      </c>
      <c r="F28" s="12" t="str">
        <f t="shared" si="0"/>
        <v>LG</v>
      </c>
      <c r="G28" s="14" t="s">
        <v>780</v>
      </c>
    </row>
    <row r="29" spans="1:7">
      <c r="A29" s="9" t="s">
        <v>159</v>
      </c>
      <c r="B29" s="10" t="s">
        <v>718</v>
      </c>
      <c r="C29" s="11" t="s">
        <v>160</v>
      </c>
      <c r="D29" s="9" t="s">
        <v>735</v>
      </c>
      <c r="E29" s="12" t="s">
        <v>717</v>
      </c>
      <c r="F29" s="12" t="str">
        <f t="shared" si="0"/>
        <v>Open</v>
      </c>
      <c r="G29" s="14" t="s">
        <v>780</v>
      </c>
    </row>
    <row r="30" spans="1:7">
      <c r="A30" s="9" t="s">
        <v>166</v>
      </c>
      <c r="B30" s="10" t="s">
        <v>719</v>
      </c>
      <c r="C30" s="11" t="s">
        <v>167</v>
      </c>
      <c r="D30" s="9" t="s">
        <v>165</v>
      </c>
      <c r="E30" s="9" t="s">
        <v>1</v>
      </c>
      <c r="F30" s="9" t="str">
        <f t="shared" si="0"/>
        <v>LG</v>
      </c>
      <c r="G30" s="14" t="s">
        <v>781</v>
      </c>
    </row>
    <row r="31" spans="1:7">
      <c r="A31" s="9" t="s">
        <v>171</v>
      </c>
      <c r="B31" s="10" t="s">
        <v>718</v>
      </c>
      <c r="C31" s="11" t="s">
        <v>172</v>
      </c>
      <c r="D31" s="9" t="s">
        <v>740</v>
      </c>
      <c r="E31" s="12" t="s">
        <v>769</v>
      </c>
      <c r="F31" s="12" t="str">
        <f t="shared" si="0"/>
        <v>LG</v>
      </c>
      <c r="G31" s="14" t="s">
        <v>780</v>
      </c>
    </row>
    <row r="32" spans="1:7">
      <c r="A32" s="9" t="s">
        <v>177</v>
      </c>
      <c r="B32" s="10" t="s">
        <v>719</v>
      </c>
      <c r="C32" s="11" t="s">
        <v>178</v>
      </c>
      <c r="D32" s="9" t="s">
        <v>176</v>
      </c>
      <c r="E32" s="9" t="s">
        <v>1</v>
      </c>
      <c r="F32" s="9" t="str">
        <f t="shared" si="0"/>
        <v>LG</v>
      </c>
      <c r="G32" s="14" t="s">
        <v>781</v>
      </c>
    </row>
    <row r="33" spans="1:7">
      <c r="A33" s="9" t="s">
        <v>180</v>
      </c>
      <c r="B33" s="10" t="s">
        <v>719</v>
      </c>
      <c r="C33" s="11" t="s">
        <v>181</v>
      </c>
      <c r="D33" s="9" t="s">
        <v>736</v>
      </c>
      <c r="E33" s="9" t="s">
        <v>11</v>
      </c>
      <c r="F33" s="9" t="str">
        <f t="shared" si="0"/>
        <v>Open</v>
      </c>
      <c r="G33" s="14" t="s">
        <v>781</v>
      </c>
    </row>
    <row r="34" spans="1:7">
      <c r="A34" s="9" t="s">
        <v>183</v>
      </c>
      <c r="B34" s="10" t="s">
        <v>719</v>
      </c>
      <c r="C34" s="11" t="s">
        <v>184</v>
      </c>
      <c r="D34" s="9" t="s">
        <v>736</v>
      </c>
      <c r="E34" s="9" t="s">
        <v>11</v>
      </c>
      <c r="F34" s="9" t="str">
        <f t="shared" si="0"/>
        <v>Open</v>
      </c>
      <c r="G34" s="14" t="s">
        <v>781</v>
      </c>
    </row>
    <row r="35" spans="1:7">
      <c r="A35" s="9" t="s">
        <v>186</v>
      </c>
      <c r="B35" s="10" t="s">
        <v>719</v>
      </c>
      <c r="C35" s="11" t="s">
        <v>187</v>
      </c>
      <c r="D35" s="9" t="s">
        <v>736</v>
      </c>
      <c r="E35" s="9" t="s">
        <v>11</v>
      </c>
      <c r="F35" s="9" t="str">
        <f t="shared" si="0"/>
        <v>Open</v>
      </c>
      <c r="G35" s="14" t="s">
        <v>781</v>
      </c>
    </row>
    <row r="36" spans="1:7">
      <c r="A36" s="9" t="s">
        <v>190</v>
      </c>
      <c r="B36" s="10" t="s">
        <v>718</v>
      </c>
      <c r="C36" s="11" t="s">
        <v>191</v>
      </c>
      <c r="D36" s="9" t="s">
        <v>733</v>
      </c>
      <c r="E36" s="9" t="s">
        <v>11</v>
      </c>
      <c r="F36" s="9" t="str">
        <f t="shared" si="0"/>
        <v>Open</v>
      </c>
      <c r="G36" s="14" t="s">
        <v>780</v>
      </c>
    </row>
    <row r="37" spans="1:7">
      <c r="A37" s="9" t="s">
        <v>196</v>
      </c>
      <c r="B37" s="10" t="s">
        <v>721</v>
      </c>
      <c r="C37" s="11" t="s">
        <v>197</v>
      </c>
      <c r="D37" s="9" t="s">
        <v>741</v>
      </c>
      <c r="E37" s="9" t="s">
        <v>1</v>
      </c>
      <c r="F37" s="9" t="str">
        <f t="shared" si="0"/>
        <v>LG</v>
      </c>
      <c r="G37" s="14" t="s">
        <v>780</v>
      </c>
    </row>
    <row r="38" spans="1:7">
      <c r="A38" s="9" t="s">
        <v>202</v>
      </c>
      <c r="B38" s="10" t="s">
        <v>718</v>
      </c>
      <c r="C38" s="11" t="s">
        <v>203</v>
      </c>
      <c r="D38" s="9" t="s">
        <v>735</v>
      </c>
      <c r="E38" s="9" t="s">
        <v>11</v>
      </c>
      <c r="F38" s="9" t="str">
        <f t="shared" si="0"/>
        <v>Open</v>
      </c>
      <c r="G38" s="14" t="s">
        <v>780</v>
      </c>
    </row>
    <row r="39" spans="1:7">
      <c r="A39" s="9" t="s">
        <v>209</v>
      </c>
      <c r="B39" s="10" t="s">
        <v>719</v>
      </c>
      <c r="C39" s="11" t="s">
        <v>210</v>
      </c>
      <c r="D39" s="9" t="s">
        <v>208</v>
      </c>
      <c r="E39" s="9" t="s">
        <v>1</v>
      </c>
      <c r="F39" s="9" t="str">
        <f t="shared" si="0"/>
        <v>LG</v>
      </c>
      <c r="G39" s="14" t="s">
        <v>781</v>
      </c>
    </row>
    <row r="40" spans="1:7">
      <c r="A40" s="9" t="s">
        <v>214</v>
      </c>
      <c r="B40" s="10" t="s">
        <v>718</v>
      </c>
      <c r="C40" s="11" t="s">
        <v>687</v>
      </c>
      <c r="D40" s="9" t="s">
        <v>42</v>
      </c>
      <c r="E40" s="9" t="s">
        <v>11</v>
      </c>
      <c r="F40" s="9" t="str">
        <f t="shared" si="0"/>
        <v>Open</v>
      </c>
      <c r="G40" s="14" t="s">
        <v>781</v>
      </c>
    </row>
    <row r="41" spans="1:7">
      <c r="A41" s="9" t="s">
        <v>221</v>
      </c>
      <c r="B41" s="10" t="s">
        <v>720</v>
      </c>
      <c r="C41" s="11" t="s">
        <v>683</v>
      </c>
      <c r="D41" s="9" t="s">
        <v>742</v>
      </c>
      <c r="E41" s="9" t="s">
        <v>17</v>
      </c>
      <c r="F41" s="9" t="str">
        <f t="shared" si="0"/>
        <v>Open</v>
      </c>
      <c r="G41" s="14" t="s">
        <v>781</v>
      </c>
    </row>
    <row r="42" spans="1:7">
      <c r="A42" s="9" t="s">
        <v>226</v>
      </c>
      <c r="B42" s="10" t="s">
        <v>720</v>
      </c>
      <c r="C42" s="11" t="s">
        <v>227</v>
      </c>
      <c r="D42" s="9" t="s">
        <v>742</v>
      </c>
      <c r="E42" s="9" t="s">
        <v>17</v>
      </c>
      <c r="F42" s="9" t="str">
        <f t="shared" si="0"/>
        <v>Open</v>
      </c>
      <c r="G42" s="14" t="s">
        <v>781</v>
      </c>
    </row>
    <row r="43" spans="1:7">
      <c r="A43" s="9" t="s">
        <v>229</v>
      </c>
      <c r="B43" s="10" t="s">
        <v>721</v>
      </c>
      <c r="C43" s="11" t="s">
        <v>690</v>
      </c>
      <c r="D43" s="9" t="s">
        <v>741</v>
      </c>
      <c r="E43" s="9" t="s">
        <v>11</v>
      </c>
      <c r="F43" s="9" t="str">
        <f t="shared" si="0"/>
        <v>Open</v>
      </c>
      <c r="G43" s="14" t="s">
        <v>780</v>
      </c>
    </row>
    <row r="44" spans="1:7">
      <c r="A44" s="9" t="s">
        <v>234</v>
      </c>
      <c r="B44" s="10" t="s">
        <v>719</v>
      </c>
      <c r="C44" s="11" t="s">
        <v>235</v>
      </c>
      <c r="D44" s="9" t="s">
        <v>736</v>
      </c>
      <c r="E44" s="9" t="s">
        <v>11</v>
      </c>
      <c r="F44" s="9" t="str">
        <f t="shared" si="0"/>
        <v>Open</v>
      </c>
      <c r="G44" s="14" t="s">
        <v>781</v>
      </c>
    </row>
    <row r="45" spans="1:7">
      <c r="A45" s="9" t="s">
        <v>240</v>
      </c>
      <c r="B45" s="10" t="s">
        <v>719</v>
      </c>
      <c r="C45" s="11" t="s">
        <v>241</v>
      </c>
      <c r="D45" s="9" t="s">
        <v>736</v>
      </c>
      <c r="E45" s="9" t="s">
        <v>11</v>
      </c>
      <c r="F45" s="9" t="str">
        <f t="shared" si="0"/>
        <v>Open</v>
      </c>
      <c r="G45" s="14" t="s">
        <v>781</v>
      </c>
    </row>
    <row r="46" spans="1:7">
      <c r="A46" s="9" t="s">
        <v>246</v>
      </c>
      <c r="B46" s="10" t="s">
        <v>719</v>
      </c>
      <c r="C46" s="11" t="s">
        <v>247</v>
      </c>
      <c r="D46" s="9" t="s">
        <v>736</v>
      </c>
      <c r="E46" s="9" t="s">
        <v>11</v>
      </c>
      <c r="F46" s="9" t="str">
        <f t="shared" si="0"/>
        <v>Open</v>
      </c>
      <c r="G46" s="14" t="s">
        <v>781</v>
      </c>
    </row>
    <row r="47" spans="1:7">
      <c r="A47" s="9" t="s">
        <v>252</v>
      </c>
      <c r="B47" s="10" t="s">
        <v>720</v>
      </c>
      <c r="C47" s="11" t="s">
        <v>253</v>
      </c>
      <c r="D47" s="9" t="s">
        <v>131</v>
      </c>
      <c r="E47" s="12" t="s">
        <v>717</v>
      </c>
      <c r="F47" s="12" t="str">
        <f t="shared" si="0"/>
        <v>Open</v>
      </c>
      <c r="G47" s="14" t="s">
        <v>781</v>
      </c>
    </row>
    <row r="48" spans="1:7">
      <c r="A48" s="9" t="s">
        <v>259</v>
      </c>
      <c r="B48" s="10" t="s">
        <v>718</v>
      </c>
      <c r="C48" s="11" t="s">
        <v>260</v>
      </c>
      <c r="D48" s="9" t="s">
        <v>257</v>
      </c>
      <c r="E48" s="9" t="s">
        <v>17</v>
      </c>
      <c r="F48" s="9" t="str">
        <f t="shared" si="0"/>
        <v>Open</v>
      </c>
      <c r="G48" s="14" t="s">
        <v>780</v>
      </c>
    </row>
    <row r="49" spans="1:7">
      <c r="A49" s="9" t="s">
        <v>265</v>
      </c>
      <c r="B49" s="10" t="s">
        <v>720</v>
      </c>
      <c r="C49" s="11" t="s">
        <v>266</v>
      </c>
      <c r="D49" s="9" t="s">
        <v>743</v>
      </c>
      <c r="E49" s="9" t="s">
        <v>17</v>
      </c>
      <c r="F49" s="9" t="str">
        <f t="shared" si="0"/>
        <v>Open</v>
      </c>
      <c r="G49" s="14" t="s">
        <v>780</v>
      </c>
    </row>
    <row r="50" spans="1:7">
      <c r="A50" s="9" t="s">
        <v>273</v>
      </c>
      <c r="B50" s="10" t="s">
        <v>719</v>
      </c>
      <c r="C50" s="11" t="s">
        <v>274</v>
      </c>
      <c r="D50" s="9" t="s">
        <v>744</v>
      </c>
      <c r="E50" s="12" t="s">
        <v>769</v>
      </c>
      <c r="F50" s="12" t="str">
        <f t="shared" si="0"/>
        <v>LG</v>
      </c>
      <c r="G50" s="14" t="s">
        <v>781</v>
      </c>
    </row>
    <row r="51" spans="1:7">
      <c r="A51" s="9" t="s">
        <v>281</v>
      </c>
      <c r="B51" s="10" t="s">
        <v>719</v>
      </c>
      <c r="C51" s="11" t="s">
        <v>282</v>
      </c>
      <c r="D51" s="9" t="s">
        <v>736</v>
      </c>
      <c r="E51" s="9" t="s">
        <v>1</v>
      </c>
      <c r="F51" s="9" t="str">
        <f t="shared" si="0"/>
        <v>LG</v>
      </c>
      <c r="G51" s="14" t="s">
        <v>781</v>
      </c>
    </row>
    <row r="52" spans="1:7">
      <c r="A52" s="9" t="s">
        <v>284</v>
      </c>
      <c r="B52" s="10" t="s">
        <v>719</v>
      </c>
      <c r="C52" s="11" t="s">
        <v>285</v>
      </c>
      <c r="D52" s="9" t="s">
        <v>736</v>
      </c>
      <c r="E52" s="12" t="s">
        <v>717</v>
      </c>
      <c r="F52" s="12" t="str">
        <f t="shared" si="0"/>
        <v>Open</v>
      </c>
      <c r="G52" s="14" t="s">
        <v>781</v>
      </c>
    </row>
    <row r="53" spans="1:7">
      <c r="A53" s="9" t="s">
        <v>291</v>
      </c>
      <c r="B53" s="10" t="s">
        <v>720</v>
      </c>
      <c r="C53" s="11" t="s">
        <v>684</v>
      </c>
      <c r="D53" s="9" t="s">
        <v>742</v>
      </c>
      <c r="E53" s="9" t="s">
        <v>11</v>
      </c>
      <c r="F53" s="9" t="str">
        <f t="shared" si="0"/>
        <v>Open</v>
      </c>
      <c r="G53" s="14" t="s">
        <v>781</v>
      </c>
    </row>
    <row r="54" spans="1:7">
      <c r="A54" s="9" t="s">
        <v>297</v>
      </c>
      <c r="B54" s="10" t="s">
        <v>718</v>
      </c>
      <c r="C54" s="11" t="s">
        <v>298</v>
      </c>
      <c r="D54" s="9" t="s">
        <v>745</v>
      </c>
      <c r="E54" s="12" t="s">
        <v>717</v>
      </c>
      <c r="F54" s="12" t="str">
        <f t="shared" si="0"/>
        <v>Open</v>
      </c>
      <c r="G54" s="14" t="s">
        <v>781</v>
      </c>
    </row>
    <row r="55" spans="1:7">
      <c r="A55" s="9" t="s">
        <v>303</v>
      </c>
      <c r="B55" s="10" t="s">
        <v>719</v>
      </c>
      <c r="C55" s="11" t="s">
        <v>304</v>
      </c>
      <c r="D55" s="9" t="s">
        <v>165</v>
      </c>
      <c r="E55" s="9" t="s">
        <v>11</v>
      </c>
      <c r="F55" s="9" t="str">
        <f t="shared" si="0"/>
        <v>Open</v>
      </c>
      <c r="G55" s="14" t="s">
        <v>781</v>
      </c>
    </row>
    <row r="56" spans="1:7">
      <c r="A56" s="9" t="s">
        <v>312</v>
      </c>
      <c r="B56" s="10" t="s">
        <v>718</v>
      </c>
      <c r="C56" s="11" t="s">
        <v>313</v>
      </c>
      <c r="D56" s="9" t="s">
        <v>42</v>
      </c>
      <c r="E56" s="12" t="s">
        <v>717</v>
      </c>
      <c r="F56" s="12" t="str">
        <f t="shared" si="0"/>
        <v>Open</v>
      </c>
      <c r="G56" s="14" t="s">
        <v>781</v>
      </c>
    </row>
    <row r="57" spans="1:7">
      <c r="A57" s="9" t="s">
        <v>320</v>
      </c>
      <c r="B57" s="10" t="s">
        <v>718</v>
      </c>
      <c r="C57" s="11" t="s">
        <v>321</v>
      </c>
      <c r="D57" s="9" t="s">
        <v>739</v>
      </c>
      <c r="E57" s="12" t="s">
        <v>717</v>
      </c>
      <c r="F57" s="12" t="str">
        <f t="shared" si="0"/>
        <v>Open</v>
      </c>
      <c r="G57" s="14" t="s">
        <v>781</v>
      </c>
    </row>
    <row r="58" spans="1:7">
      <c r="A58" s="9" t="s">
        <v>329</v>
      </c>
      <c r="B58" s="10" t="s">
        <v>719</v>
      </c>
      <c r="C58" s="11" t="s">
        <v>330</v>
      </c>
      <c r="D58" s="9" t="s">
        <v>746</v>
      </c>
      <c r="E58" s="12" t="s">
        <v>717</v>
      </c>
      <c r="F58" s="12" t="str">
        <f t="shared" si="0"/>
        <v>Open</v>
      </c>
      <c r="G58" s="14" t="s">
        <v>781</v>
      </c>
    </row>
    <row r="59" spans="1:7">
      <c r="A59" s="9" t="s">
        <v>332</v>
      </c>
      <c r="B59" s="10" t="s">
        <v>719</v>
      </c>
      <c r="C59" s="11" t="s">
        <v>333</v>
      </c>
      <c r="D59" s="9" t="s">
        <v>736</v>
      </c>
      <c r="E59" s="12" t="s">
        <v>717</v>
      </c>
      <c r="F59" s="12" t="str">
        <f t="shared" si="0"/>
        <v>Open</v>
      </c>
      <c r="G59" s="14" t="s">
        <v>781</v>
      </c>
    </row>
    <row r="60" spans="1:7">
      <c r="A60" s="9" t="s">
        <v>338</v>
      </c>
      <c r="B60" s="10" t="s">
        <v>719</v>
      </c>
      <c r="C60" s="11" t="s">
        <v>339</v>
      </c>
      <c r="D60" s="9" t="s">
        <v>747</v>
      </c>
      <c r="E60" s="9" t="s">
        <v>38</v>
      </c>
      <c r="F60" s="9" t="str">
        <f t="shared" si="0"/>
        <v>Open</v>
      </c>
      <c r="G60" s="14" t="s">
        <v>781</v>
      </c>
    </row>
    <row r="61" spans="1:7">
      <c r="A61" s="9" t="s">
        <v>344</v>
      </c>
      <c r="B61" s="10" t="s">
        <v>718</v>
      </c>
      <c r="C61" s="11" t="s">
        <v>345</v>
      </c>
      <c r="D61" s="9" t="s">
        <v>739</v>
      </c>
      <c r="E61" s="9" t="s">
        <v>11</v>
      </c>
      <c r="F61" s="9" t="str">
        <f t="shared" si="0"/>
        <v>Open</v>
      </c>
      <c r="G61" s="14" t="s">
        <v>781</v>
      </c>
    </row>
    <row r="62" spans="1:7">
      <c r="A62" s="9" t="s">
        <v>351</v>
      </c>
      <c r="B62" s="10" t="s">
        <v>718</v>
      </c>
      <c r="C62" s="11" t="s">
        <v>352</v>
      </c>
      <c r="D62" s="9" t="s">
        <v>733</v>
      </c>
      <c r="E62" s="9" t="s">
        <v>17</v>
      </c>
      <c r="F62" s="9" t="str">
        <f t="shared" si="0"/>
        <v>Open</v>
      </c>
      <c r="G62" s="14" t="s">
        <v>780</v>
      </c>
    </row>
    <row r="63" spans="1:7">
      <c r="A63" s="9" t="s">
        <v>357</v>
      </c>
      <c r="B63" s="10" t="s">
        <v>718</v>
      </c>
      <c r="C63" s="11" t="s">
        <v>358</v>
      </c>
      <c r="D63" s="9" t="s">
        <v>734</v>
      </c>
      <c r="E63" s="12" t="s">
        <v>769</v>
      </c>
      <c r="F63" s="12" t="str">
        <f t="shared" si="0"/>
        <v>LG</v>
      </c>
      <c r="G63" s="14" t="s">
        <v>780</v>
      </c>
    </row>
    <row r="64" spans="1:7">
      <c r="A64" s="9" t="s">
        <v>362</v>
      </c>
      <c r="B64" s="10" t="s">
        <v>718</v>
      </c>
      <c r="C64" s="11" t="s">
        <v>363</v>
      </c>
      <c r="D64" s="9" t="s">
        <v>734</v>
      </c>
      <c r="E64" s="9" t="s">
        <v>17</v>
      </c>
      <c r="F64" s="9" t="str">
        <f t="shared" si="0"/>
        <v>Open</v>
      </c>
      <c r="G64" s="14" t="s">
        <v>780</v>
      </c>
    </row>
    <row r="65" spans="1:7">
      <c r="A65" s="9" t="s">
        <v>367</v>
      </c>
      <c r="B65" s="10" t="s">
        <v>720</v>
      </c>
      <c r="C65" s="11" t="s">
        <v>368</v>
      </c>
      <c r="D65" s="9" t="s">
        <v>748</v>
      </c>
      <c r="E65" s="12" t="s">
        <v>769</v>
      </c>
      <c r="F65" s="12" t="str">
        <f t="shared" si="0"/>
        <v>LG</v>
      </c>
      <c r="G65" s="14" t="s">
        <v>780</v>
      </c>
    </row>
    <row r="66" spans="1:7">
      <c r="A66" s="9" t="s">
        <v>373</v>
      </c>
      <c r="B66" s="10" t="s">
        <v>718</v>
      </c>
      <c r="C66" s="11" t="s">
        <v>374</v>
      </c>
      <c r="D66" s="9" t="s">
        <v>42</v>
      </c>
      <c r="E66" s="9" t="s">
        <v>11</v>
      </c>
      <c r="F66" s="9" t="str">
        <f t="shared" si="0"/>
        <v>Open</v>
      </c>
      <c r="G66" s="14" t="s">
        <v>781</v>
      </c>
    </row>
    <row r="67" spans="1:7">
      <c r="A67" s="9" t="s">
        <v>379</v>
      </c>
      <c r="B67" s="10" t="s">
        <v>720</v>
      </c>
      <c r="C67" s="11" t="s">
        <v>380</v>
      </c>
      <c r="D67" s="9" t="s">
        <v>131</v>
      </c>
      <c r="E67" s="12" t="s">
        <v>717</v>
      </c>
      <c r="F67" s="12" t="str">
        <f t="shared" ref="F67:F126" si="1">IF(E67="LG","LG","Open")</f>
        <v>Open</v>
      </c>
      <c r="G67" s="14" t="s">
        <v>781</v>
      </c>
    </row>
    <row r="68" spans="1:7">
      <c r="A68" s="9" t="s">
        <v>385</v>
      </c>
      <c r="B68" s="10" t="s">
        <v>720</v>
      </c>
      <c r="C68" s="11" t="s">
        <v>386</v>
      </c>
      <c r="D68" s="9" t="s">
        <v>131</v>
      </c>
      <c r="E68" s="9" t="s">
        <v>11</v>
      </c>
      <c r="F68" s="9" t="str">
        <f t="shared" si="1"/>
        <v>Open</v>
      </c>
      <c r="G68" s="14" t="s">
        <v>781</v>
      </c>
    </row>
    <row r="69" spans="1:7">
      <c r="A69" s="9" t="s">
        <v>389</v>
      </c>
      <c r="B69" s="10" t="s">
        <v>720</v>
      </c>
      <c r="C69" s="11" t="s">
        <v>390</v>
      </c>
      <c r="D69" s="9" t="s">
        <v>749</v>
      </c>
      <c r="E69" s="9" t="s">
        <v>17</v>
      </c>
      <c r="F69" s="9" t="str">
        <f t="shared" si="1"/>
        <v>Open</v>
      </c>
      <c r="G69" s="14" t="s">
        <v>781</v>
      </c>
    </row>
    <row r="70" spans="1:7">
      <c r="A70" s="9" t="s">
        <v>396</v>
      </c>
      <c r="B70" s="10" t="s">
        <v>719</v>
      </c>
      <c r="C70" s="11" t="s">
        <v>397</v>
      </c>
      <c r="D70" s="9" t="s">
        <v>736</v>
      </c>
      <c r="E70" s="12" t="s">
        <v>717</v>
      </c>
      <c r="F70" s="12" t="str">
        <f t="shared" si="1"/>
        <v>Open</v>
      </c>
      <c r="G70" s="14" t="s">
        <v>781</v>
      </c>
    </row>
    <row r="71" spans="1:7">
      <c r="A71" s="9" t="s">
        <v>401</v>
      </c>
      <c r="B71" s="10" t="s">
        <v>718</v>
      </c>
      <c r="C71" s="11" t="s">
        <v>402</v>
      </c>
      <c r="D71" s="9" t="s">
        <v>739</v>
      </c>
      <c r="E71" s="9" t="s">
        <v>17</v>
      </c>
      <c r="F71" s="9" t="str">
        <f t="shared" si="1"/>
        <v>Open</v>
      </c>
      <c r="G71" s="14" t="s">
        <v>781</v>
      </c>
    </row>
    <row r="72" spans="1:7">
      <c r="A72" s="9" t="s">
        <v>406</v>
      </c>
      <c r="B72" s="10" t="s">
        <v>719</v>
      </c>
      <c r="C72" s="11" t="s">
        <v>407</v>
      </c>
      <c r="D72" s="9" t="s">
        <v>736</v>
      </c>
      <c r="E72" s="9" t="s">
        <v>17</v>
      </c>
      <c r="F72" s="9" t="str">
        <f t="shared" si="1"/>
        <v>Open</v>
      </c>
      <c r="G72" s="14" t="s">
        <v>781</v>
      </c>
    </row>
    <row r="73" spans="1:7">
      <c r="A73" s="9" t="s">
        <v>414</v>
      </c>
      <c r="B73" s="10" t="s">
        <v>722</v>
      </c>
      <c r="C73" s="11" t="s">
        <v>415</v>
      </c>
      <c r="D73" s="9" t="s">
        <v>750</v>
      </c>
      <c r="E73" s="9" t="s">
        <v>17</v>
      </c>
      <c r="F73" s="9" t="str">
        <f t="shared" si="1"/>
        <v>Open</v>
      </c>
      <c r="G73" s="14" t="s">
        <v>781</v>
      </c>
    </row>
    <row r="74" spans="1:7">
      <c r="A74" s="9" t="s">
        <v>420</v>
      </c>
      <c r="B74" s="10" t="s">
        <v>719</v>
      </c>
      <c r="C74" s="11" t="s">
        <v>421</v>
      </c>
      <c r="D74" s="9" t="s">
        <v>736</v>
      </c>
      <c r="E74" s="9" t="s">
        <v>17</v>
      </c>
      <c r="F74" s="9" t="str">
        <f t="shared" si="1"/>
        <v>Open</v>
      </c>
      <c r="G74" s="14" t="s">
        <v>781</v>
      </c>
    </row>
    <row r="75" spans="1:7">
      <c r="A75" s="9" t="s">
        <v>428</v>
      </c>
      <c r="B75" s="10" t="s">
        <v>721</v>
      </c>
      <c r="C75" s="11" t="s">
        <v>691</v>
      </c>
      <c r="D75" s="9" t="s">
        <v>741</v>
      </c>
      <c r="E75" s="9" t="s">
        <v>1</v>
      </c>
      <c r="F75" s="9" t="str">
        <f t="shared" si="1"/>
        <v>LG</v>
      </c>
      <c r="G75" s="14" t="s">
        <v>780</v>
      </c>
    </row>
    <row r="76" spans="1:7">
      <c r="A76" s="9" t="s">
        <v>431</v>
      </c>
      <c r="B76" s="10" t="s">
        <v>719</v>
      </c>
      <c r="C76" s="11" t="s">
        <v>432</v>
      </c>
      <c r="D76" s="9" t="s">
        <v>736</v>
      </c>
      <c r="E76" s="9" t="s">
        <v>17</v>
      </c>
      <c r="F76" s="9" t="str">
        <f t="shared" si="1"/>
        <v>Open</v>
      </c>
      <c r="G76" s="14" t="s">
        <v>781</v>
      </c>
    </row>
    <row r="77" spans="1:7">
      <c r="A77" s="9" t="s">
        <v>438</v>
      </c>
      <c r="B77" s="10" t="s">
        <v>721</v>
      </c>
      <c r="C77" s="11" t="s">
        <v>696</v>
      </c>
      <c r="D77" s="9" t="s">
        <v>751</v>
      </c>
      <c r="E77" s="9" t="s">
        <v>1</v>
      </c>
      <c r="F77" s="9" t="str">
        <f t="shared" si="1"/>
        <v>LG</v>
      </c>
      <c r="G77" s="14" t="s">
        <v>781</v>
      </c>
    </row>
    <row r="78" spans="1:7">
      <c r="A78" s="9" t="s">
        <v>444</v>
      </c>
      <c r="B78" s="10" t="s">
        <v>722</v>
      </c>
      <c r="C78" s="11" t="s">
        <v>445</v>
      </c>
      <c r="D78" s="9" t="s">
        <v>750</v>
      </c>
      <c r="E78" s="9" t="s">
        <v>17</v>
      </c>
      <c r="F78" s="9" t="str">
        <f t="shared" si="1"/>
        <v>Open</v>
      </c>
      <c r="G78" s="14" t="s">
        <v>781</v>
      </c>
    </row>
    <row r="79" spans="1:7">
      <c r="A79" s="9" t="s">
        <v>450</v>
      </c>
      <c r="B79" s="10" t="s">
        <v>719</v>
      </c>
      <c r="C79" s="11" t="s">
        <v>451</v>
      </c>
      <c r="D79" s="9" t="s">
        <v>736</v>
      </c>
      <c r="E79" s="9" t="s">
        <v>17</v>
      </c>
      <c r="F79" s="9" t="str">
        <f t="shared" si="1"/>
        <v>Open</v>
      </c>
      <c r="G79" s="14" t="s">
        <v>781</v>
      </c>
    </row>
    <row r="80" spans="1:7">
      <c r="A80" s="9" t="s">
        <v>459</v>
      </c>
      <c r="B80" s="10" t="s">
        <v>721</v>
      </c>
      <c r="C80" s="11" t="s">
        <v>697</v>
      </c>
      <c r="D80" s="9" t="s">
        <v>751</v>
      </c>
      <c r="E80" s="9" t="s">
        <v>11</v>
      </c>
      <c r="F80" s="9" t="str">
        <f t="shared" si="1"/>
        <v>Open</v>
      </c>
      <c r="G80" s="14" t="s">
        <v>781</v>
      </c>
    </row>
    <row r="81" spans="1:7">
      <c r="A81" s="9" t="s">
        <v>466</v>
      </c>
      <c r="B81" s="10" t="s">
        <v>721</v>
      </c>
      <c r="C81" s="11" t="s">
        <v>692</v>
      </c>
      <c r="D81" s="9" t="s">
        <v>741</v>
      </c>
      <c r="E81" s="9" t="s">
        <v>1</v>
      </c>
      <c r="F81" s="9" t="str">
        <f t="shared" si="1"/>
        <v>LG</v>
      </c>
      <c r="G81" s="14" t="s">
        <v>780</v>
      </c>
    </row>
    <row r="82" spans="1:7">
      <c r="A82" s="9" t="s">
        <v>475</v>
      </c>
      <c r="B82" s="10" t="s">
        <v>721</v>
      </c>
      <c r="C82" s="11" t="s">
        <v>693</v>
      </c>
      <c r="D82" s="9" t="s">
        <v>741</v>
      </c>
      <c r="E82" s="9" t="s">
        <v>1</v>
      </c>
      <c r="F82" s="9" t="str">
        <f t="shared" si="1"/>
        <v>LG</v>
      </c>
      <c r="G82" s="14" t="s">
        <v>780</v>
      </c>
    </row>
    <row r="83" spans="1:7">
      <c r="A83" s="9" t="s">
        <v>478</v>
      </c>
      <c r="B83" s="10" t="s">
        <v>720</v>
      </c>
      <c r="C83" s="11" t="s">
        <v>479</v>
      </c>
      <c r="D83" s="9" t="s">
        <v>131</v>
      </c>
      <c r="E83" s="9" t="s">
        <v>17</v>
      </c>
      <c r="F83" s="9" t="str">
        <f t="shared" si="1"/>
        <v>Open</v>
      </c>
      <c r="G83" s="14" t="s">
        <v>781</v>
      </c>
    </row>
    <row r="84" spans="1:7">
      <c r="A84" s="9" t="s">
        <v>481</v>
      </c>
      <c r="B84" s="10" t="s">
        <v>720</v>
      </c>
      <c r="C84" s="11" t="s">
        <v>482</v>
      </c>
      <c r="D84" s="9" t="s">
        <v>752</v>
      </c>
      <c r="E84" s="9" t="s">
        <v>17</v>
      </c>
      <c r="F84" s="9" t="str">
        <f t="shared" si="1"/>
        <v>Open</v>
      </c>
      <c r="G84" s="14" t="s">
        <v>780</v>
      </c>
    </row>
    <row r="85" spans="1:7">
      <c r="A85" s="9" t="s">
        <v>484</v>
      </c>
      <c r="B85" s="10" t="s">
        <v>719</v>
      </c>
      <c r="C85" s="11" t="s">
        <v>485</v>
      </c>
      <c r="D85" s="9" t="s">
        <v>736</v>
      </c>
      <c r="E85" s="9" t="s">
        <v>17</v>
      </c>
      <c r="F85" s="9" t="str">
        <f t="shared" si="1"/>
        <v>Open</v>
      </c>
      <c r="G85" s="14" t="s">
        <v>781</v>
      </c>
    </row>
    <row r="86" spans="1:7">
      <c r="A86" s="9" t="s">
        <v>490</v>
      </c>
      <c r="B86" s="10" t="s">
        <v>721</v>
      </c>
      <c r="C86" s="11" t="s">
        <v>698</v>
      </c>
      <c r="D86" s="9" t="s">
        <v>751</v>
      </c>
      <c r="E86" s="9" t="s">
        <v>17</v>
      </c>
      <c r="F86" s="9" t="str">
        <f t="shared" si="1"/>
        <v>Open</v>
      </c>
      <c r="G86" s="14" t="s">
        <v>781</v>
      </c>
    </row>
    <row r="87" spans="1:7">
      <c r="A87" s="9" t="s">
        <v>492</v>
      </c>
      <c r="B87" s="10" t="s">
        <v>718</v>
      </c>
      <c r="C87" s="11" t="s">
        <v>493</v>
      </c>
      <c r="D87" s="9" t="s">
        <v>739</v>
      </c>
      <c r="E87" s="9" t="s">
        <v>17</v>
      </c>
      <c r="F87" s="9" t="str">
        <f t="shared" si="1"/>
        <v>Open</v>
      </c>
      <c r="G87" s="14" t="s">
        <v>781</v>
      </c>
    </row>
    <row r="88" spans="1:7">
      <c r="A88" s="9" t="s">
        <v>495</v>
      </c>
      <c r="B88" s="10" t="s">
        <v>723</v>
      </c>
      <c r="C88" s="11" t="s">
        <v>496</v>
      </c>
      <c r="D88" s="9" t="s">
        <v>275</v>
      </c>
      <c r="E88" s="9" t="s">
        <v>17</v>
      </c>
      <c r="F88" s="9" t="str">
        <f t="shared" si="1"/>
        <v>Open</v>
      </c>
      <c r="G88" s="14" t="s">
        <v>780</v>
      </c>
    </row>
    <row r="89" spans="1:7">
      <c r="A89" s="9" t="s">
        <v>501</v>
      </c>
      <c r="B89" s="10" t="s">
        <v>722</v>
      </c>
      <c r="C89" s="11" t="s">
        <v>502</v>
      </c>
      <c r="D89" s="9" t="s">
        <v>750</v>
      </c>
      <c r="E89" s="9" t="s">
        <v>17</v>
      </c>
      <c r="F89" s="9" t="str">
        <f t="shared" si="1"/>
        <v>Open</v>
      </c>
      <c r="G89" s="14" t="s">
        <v>781</v>
      </c>
    </row>
    <row r="90" spans="1:7">
      <c r="A90" s="9" t="s">
        <v>504</v>
      </c>
      <c r="B90" s="10" t="s">
        <v>720</v>
      </c>
      <c r="C90" s="11" t="s">
        <v>505</v>
      </c>
      <c r="D90" s="9" t="s">
        <v>131</v>
      </c>
      <c r="E90" s="9" t="s">
        <v>17</v>
      </c>
      <c r="F90" s="9" t="str">
        <f t="shared" si="1"/>
        <v>Open</v>
      </c>
      <c r="G90" s="14" t="s">
        <v>781</v>
      </c>
    </row>
    <row r="91" spans="1:7">
      <c r="A91" s="9" t="s">
        <v>507</v>
      </c>
      <c r="B91" s="10" t="s">
        <v>719</v>
      </c>
      <c r="C91" s="11" t="s">
        <v>508</v>
      </c>
      <c r="D91" s="9" t="s">
        <v>418</v>
      </c>
      <c r="E91" s="9" t="s">
        <v>17</v>
      </c>
      <c r="F91" s="9" t="str">
        <f t="shared" si="1"/>
        <v>Open</v>
      </c>
      <c r="G91" s="14" t="s">
        <v>781</v>
      </c>
    </row>
    <row r="92" spans="1:7">
      <c r="A92" s="9" t="s">
        <v>516</v>
      </c>
      <c r="B92" s="10" t="s">
        <v>721</v>
      </c>
      <c r="C92" s="11" t="s">
        <v>699</v>
      </c>
      <c r="D92" s="9" t="s">
        <v>751</v>
      </c>
      <c r="E92" s="9" t="s">
        <v>11</v>
      </c>
      <c r="F92" s="9" t="str">
        <f t="shared" si="1"/>
        <v>Open</v>
      </c>
      <c r="G92" s="14" t="s">
        <v>781</v>
      </c>
    </row>
    <row r="93" spans="1:7">
      <c r="A93" s="9" t="s">
        <v>523</v>
      </c>
      <c r="B93" s="10" t="s">
        <v>721</v>
      </c>
      <c r="C93" s="11" t="s">
        <v>700</v>
      </c>
      <c r="D93" s="9" t="s">
        <v>751</v>
      </c>
      <c r="E93" s="9" t="s">
        <v>11</v>
      </c>
      <c r="F93" s="9" t="str">
        <f t="shared" si="1"/>
        <v>Open</v>
      </c>
      <c r="G93" s="14" t="s">
        <v>781</v>
      </c>
    </row>
    <row r="94" spans="1:7">
      <c r="A94" s="9" t="s">
        <v>529</v>
      </c>
      <c r="B94" s="10" t="s">
        <v>722</v>
      </c>
      <c r="C94" s="11" t="s">
        <v>530</v>
      </c>
      <c r="D94" s="9" t="s">
        <v>750</v>
      </c>
      <c r="E94" s="9" t="s">
        <v>17</v>
      </c>
      <c r="F94" s="9" t="str">
        <f t="shared" si="1"/>
        <v>Open</v>
      </c>
      <c r="G94" s="14" t="s">
        <v>781</v>
      </c>
    </row>
    <row r="95" spans="1:7">
      <c r="A95" s="9" t="s">
        <v>535</v>
      </c>
      <c r="B95" s="10" t="s">
        <v>723</v>
      </c>
      <c r="C95" s="11" t="s">
        <v>536</v>
      </c>
      <c r="D95" s="9" t="s">
        <v>417</v>
      </c>
      <c r="E95" s="12" t="s">
        <v>717</v>
      </c>
      <c r="F95" s="12" t="str">
        <f t="shared" si="1"/>
        <v>Open</v>
      </c>
      <c r="G95" s="14" t="s">
        <v>780</v>
      </c>
    </row>
    <row r="96" spans="1:7">
      <c r="A96" s="9" t="s">
        <v>545</v>
      </c>
      <c r="B96" s="10" t="s">
        <v>721</v>
      </c>
      <c r="C96" s="11" t="s">
        <v>701</v>
      </c>
      <c r="D96" s="9" t="s">
        <v>751</v>
      </c>
      <c r="E96" s="9" t="s">
        <v>17</v>
      </c>
      <c r="F96" s="9" t="str">
        <f t="shared" si="1"/>
        <v>Open</v>
      </c>
      <c r="G96" s="14" t="s">
        <v>781</v>
      </c>
    </row>
    <row r="97" spans="1:7">
      <c r="A97" s="9" t="s">
        <v>547</v>
      </c>
      <c r="B97" s="10" t="s">
        <v>718</v>
      </c>
      <c r="C97" s="11" t="s">
        <v>548</v>
      </c>
      <c r="D97" s="9" t="s">
        <v>733</v>
      </c>
      <c r="E97" s="9" t="s">
        <v>17</v>
      </c>
      <c r="F97" s="9" t="str">
        <f t="shared" si="1"/>
        <v>Open</v>
      </c>
      <c r="G97" s="14" t="s">
        <v>780</v>
      </c>
    </row>
    <row r="98" spans="1:7">
      <c r="A98" s="9" t="s">
        <v>556</v>
      </c>
      <c r="B98" s="10" t="s">
        <v>721</v>
      </c>
      <c r="C98" s="11" t="s">
        <v>703</v>
      </c>
      <c r="D98" s="9" t="s">
        <v>751</v>
      </c>
      <c r="E98" s="9" t="s">
        <v>1</v>
      </c>
      <c r="F98" s="9" t="str">
        <f t="shared" si="1"/>
        <v>LG</v>
      </c>
      <c r="G98" s="14" t="s">
        <v>781</v>
      </c>
    </row>
    <row r="99" spans="1:7">
      <c r="A99" s="9" t="s">
        <v>563</v>
      </c>
      <c r="B99" s="10" t="s">
        <v>721</v>
      </c>
      <c r="C99" s="11" t="s">
        <v>704</v>
      </c>
      <c r="D99" s="9" t="s">
        <v>751</v>
      </c>
      <c r="E99" s="9" t="s">
        <v>1</v>
      </c>
      <c r="F99" s="9" t="str">
        <f t="shared" si="1"/>
        <v>LG</v>
      </c>
      <c r="G99" s="14" t="s">
        <v>781</v>
      </c>
    </row>
    <row r="100" spans="1:7">
      <c r="A100" s="9" t="s">
        <v>570</v>
      </c>
      <c r="B100" s="10" t="s">
        <v>721</v>
      </c>
      <c r="C100" s="11" t="s">
        <v>705</v>
      </c>
      <c r="D100" s="9" t="s">
        <v>751</v>
      </c>
      <c r="E100" s="9" t="s">
        <v>38</v>
      </c>
      <c r="F100" s="9" t="str">
        <f t="shared" si="1"/>
        <v>Open</v>
      </c>
      <c r="G100" s="14" t="s">
        <v>781</v>
      </c>
    </row>
    <row r="101" spans="1:7">
      <c r="A101" s="9" t="s">
        <v>577</v>
      </c>
      <c r="B101" s="10" t="s">
        <v>721</v>
      </c>
      <c r="C101" s="11" t="s">
        <v>694</v>
      </c>
      <c r="D101" s="9" t="s">
        <v>741</v>
      </c>
      <c r="E101" s="9" t="s">
        <v>11</v>
      </c>
      <c r="F101" s="9" t="str">
        <f t="shared" si="1"/>
        <v>Open</v>
      </c>
      <c r="G101" s="14" t="s">
        <v>780</v>
      </c>
    </row>
    <row r="102" spans="1:7">
      <c r="A102" s="9" t="s">
        <v>583</v>
      </c>
      <c r="B102" s="10" t="s">
        <v>720</v>
      </c>
      <c r="C102" s="11" t="s">
        <v>584</v>
      </c>
      <c r="D102" s="9" t="s">
        <v>753</v>
      </c>
      <c r="E102" s="9" t="s">
        <v>17</v>
      </c>
      <c r="F102" s="9" t="str">
        <f t="shared" si="1"/>
        <v>Open</v>
      </c>
      <c r="G102" s="14" t="s">
        <v>781</v>
      </c>
    </row>
    <row r="103" spans="1:7">
      <c r="A103" s="9" t="s">
        <v>589</v>
      </c>
      <c r="B103" s="10" t="s">
        <v>720</v>
      </c>
      <c r="C103" s="11" t="s">
        <v>590</v>
      </c>
      <c r="D103" s="9" t="s">
        <v>742</v>
      </c>
      <c r="E103" s="9" t="s">
        <v>17</v>
      </c>
      <c r="F103" s="9" t="str">
        <f t="shared" si="1"/>
        <v>Open</v>
      </c>
      <c r="G103" s="14" t="s">
        <v>781</v>
      </c>
    </row>
    <row r="104" spans="1:7">
      <c r="A104" s="9" t="s">
        <v>595</v>
      </c>
      <c r="B104" s="10" t="s">
        <v>720</v>
      </c>
      <c r="C104" s="11" t="s">
        <v>596</v>
      </c>
      <c r="D104" s="9" t="s">
        <v>131</v>
      </c>
      <c r="E104" s="9" t="s">
        <v>17</v>
      </c>
      <c r="F104" s="9" t="str">
        <f t="shared" si="1"/>
        <v>Open</v>
      </c>
      <c r="G104" s="14" t="s">
        <v>781</v>
      </c>
    </row>
    <row r="105" spans="1:7">
      <c r="A105" s="9" t="s">
        <v>603</v>
      </c>
      <c r="B105" s="10" t="s">
        <v>719</v>
      </c>
      <c r="C105" s="11" t="s">
        <v>604</v>
      </c>
      <c r="D105" s="9" t="s">
        <v>754</v>
      </c>
      <c r="E105" s="9" t="s">
        <v>17</v>
      </c>
      <c r="F105" s="9" t="str">
        <f t="shared" si="1"/>
        <v>Open</v>
      </c>
      <c r="G105" s="14" t="s">
        <v>781</v>
      </c>
    </row>
    <row r="106" spans="1:7">
      <c r="A106" s="9" t="s">
        <v>606</v>
      </c>
      <c r="B106" s="10" t="s">
        <v>719</v>
      </c>
      <c r="C106" s="11" t="s">
        <v>607</v>
      </c>
      <c r="D106" s="9" t="s">
        <v>746</v>
      </c>
      <c r="E106" s="9" t="s">
        <v>17</v>
      </c>
      <c r="F106" s="9" t="str">
        <f t="shared" si="1"/>
        <v>Open</v>
      </c>
      <c r="G106" s="14" t="s">
        <v>781</v>
      </c>
    </row>
    <row r="107" spans="1:7">
      <c r="A107" s="9" t="s">
        <v>612</v>
      </c>
      <c r="B107" s="10" t="s">
        <v>719</v>
      </c>
      <c r="C107" s="11" t="s">
        <v>613</v>
      </c>
      <c r="D107" s="9" t="s">
        <v>208</v>
      </c>
      <c r="E107" s="9" t="s">
        <v>17</v>
      </c>
      <c r="F107" s="9" t="str">
        <f t="shared" si="1"/>
        <v>Open</v>
      </c>
      <c r="G107" s="14" t="s">
        <v>781</v>
      </c>
    </row>
    <row r="108" spans="1:7">
      <c r="A108" s="9" t="s">
        <v>615</v>
      </c>
      <c r="B108" s="10" t="s">
        <v>719</v>
      </c>
      <c r="C108" s="11" t="s">
        <v>616</v>
      </c>
      <c r="D108" s="9" t="s">
        <v>418</v>
      </c>
      <c r="E108" s="9" t="s">
        <v>17</v>
      </c>
      <c r="F108" s="9" t="str">
        <f t="shared" si="1"/>
        <v>Open</v>
      </c>
      <c r="G108" s="14" t="s">
        <v>781</v>
      </c>
    </row>
    <row r="109" spans="1:7">
      <c r="A109" s="9" t="s">
        <v>621</v>
      </c>
      <c r="B109" s="10" t="s">
        <v>719</v>
      </c>
      <c r="C109" s="11" t="s">
        <v>622</v>
      </c>
      <c r="D109" s="9" t="s">
        <v>747</v>
      </c>
      <c r="E109" s="9" t="s">
        <v>17</v>
      </c>
      <c r="F109" s="9" t="str">
        <f t="shared" si="1"/>
        <v>Open</v>
      </c>
      <c r="G109" s="14" t="s">
        <v>781</v>
      </c>
    </row>
    <row r="110" spans="1:7">
      <c r="A110" s="9" t="s">
        <v>628</v>
      </c>
      <c r="B110" s="10" t="s">
        <v>721</v>
      </c>
      <c r="C110" s="11" t="s">
        <v>706</v>
      </c>
      <c r="D110" s="9" t="s">
        <v>751</v>
      </c>
      <c r="E110" s="9" t="s">
        <v>11</v>
      </c>
      <c r="F110" s="9" t="str">
        <f t="shared" si="1"/>
        <v>Open</v>
      </c>
      <c r="G110" s="14" t="s">
        <v>781</v>
      </c>
    </row>
    <row r="111" spans="1:7">
      <c r="A111" s="9" t="s">
        <v>637</v>
      </c>
      <c r="B111" s="10" t="s">
        <v>721</v>
      </c>
      <c r="C111" s="11" t="s">
        <v>707</v>
      </c>
      <c r="D111" s="9" t="s">
        <v>751</v>
      </c>
      <c r="E111" s="9" t="s">
        <v>11</v>
      </c>
      <c r="F111" s="9" t="str">
        <f t="shared" si="1"/>
        <v>Open</v>
      </c>
      <c r="G111" s="14" t="s">
        <v>781</v>
      </c>
    </row>
    <row r="112" spans="1:7">
      <c r="A112" s="9" t="s">
        <v>646</v>
      </c>
      <c r="B112" s="10" t="s">
        <v>722</v>
      </c>
      <c r="C112" s="11" t="s">
        <v>647</v>
      </c>
      <c r="D112" s="9" t="s">
        <v>750</v>
      </c>
      <c r="E112" s="9" t="s">
        <v>17</v>
      </c>
      <c r="F112" s="9" t="str">
        <f t="shared" si="1"/>
        <v>Open</v>
      </c>
      <c r="G112" s="14" t="s">
        <v>781</v>
      </c>
    </row>
    <row r="113" spans="1:7">
      <c r="A113" s="9" t="s">
        <v>649</v>
      </c>
      <c r="B113" s="10" t="s">
        <v>719</v>
      </c>
      <c r="C113" s="11" t="s">
        <v>650</v>
      </c>
      <c r="D113" s="9" t="s">
        <v>736</v>
      </c>
      <c r="E113" s="9" t="s">
        <v>17</v>
      </c>
      <c r="F113" s="9" t="str">
        <f t="shared" si="1"/>
        <v>Open</v>
      </c>
      <c r="G113" s="14" t="s">
        <v>781</v>
      </c>
    </row>
    <row r="114" spans="1:7">
      <c r="A114" s="9" t="s">
        <v>652</v>
      </c>
      <c r="B114" s="10" t="s">
        <v>721</v>
      </c>
      <c r="C114" s="11" t="s">
        <v>695</v>
      </c>
      <c r="D114" s="9" t="s">
        <v>741</v>
      </c>
      <c r="E114" s="9" t="s">
        <v>17</v>
      </c>
      <c r="F114" s="9" t="str">
        <f t="shared" si="1"/>
        <v>Open</v>
      </c>
      <c r="G114" s="14" t="s">
        <v>780</v>
      </c>
    </row>
    <row r="115" spans="1:7">
      <c r="A115" s="9" t="s">
        <v>659</v>
      </c>
      <c r="B115" s="10" t="s">
        <v>721</v>
      </c>
      <c r="C115" s="11" t="s">
        <v>708</v>
      </c>
      <c r="D115" s="9" t="s">
        <v>751</v>
      </c>
      <c r="E115" s="9" t="s">
        <v>11</v>
      </c>
      <c r="F115" s="9" t="str">
        <f t="shared" si="1"/>
        <v>Open</v>
      </c>
      <c r="G115" s="14" t="s">
        <v>781</v>
      </c>
    </row>
    <row r="116" spans="1:7">
      <c r="A116" s="9" t="s">
        <v>664</v>
      </c>
      <c r="B116" s="10" t="s">
        <v>722</v>
      </c>
      <c r="C116" s="11" t="s">
        <v>665</v>
      </c>
      <c r="D116" s="9" t="s">
        <v>750</v>
      </c>
      <c r="E116" s="9" t="s">
        <v>17</v>
      </c>
      <c r="F116" s="9" t="str">
        <f t="shared" si="1"/>
        <v>Open</v>
      </c>
      <c r="G116" s="14" t="s">
        <v>781</v>
      </c>
    </row>
    <row r="117" spans="1:7">
      <c r="A117" s="9" t="s">
        <v>667</v>
      </c>
      <c r="B117" s="10" t="s">
        <v>720</v>
      </c>
      <c r="C117" s="11" t="s">
        <v>668</v>
      </c>
      <c r="D117" s="9" t="s">
        <v>742</v>
      </c>
      <c r="E117" s="9" t="s">
        <v>17</v>
      </c>
      <c r="F117" s="9" t="str">
        <f t="shared" si="1"/>
        <v>Open</v>
      </c>
      <c r="G117" s="14" t="s">
        <v>781</v>
      </c>
    </row>
    <row r="118" spans="1:7">
      <c r="A118" s="9" t="s">
        <v>673</v>
      </c>
      <c r="B118" s="10" t="s">
        <v>721</v>
      </c>
      <c r="C118" s="11" t="s">
        <v>702</v>
      </c>
      <c r="D118" s="9" t="s">
        <v>751</v>
      </c>
      <c r="E118" s="9" t="s">
        <v>17</v>
      </c>
      <c r="F118" s="9" t="str">
        <f t="shared" si="1"/>
        <v>Open</v>
      </c>
      <c r="G118" s="14" t="s">
        <v>781</v>
      </c>
    </row>
    <row r="119" spans="1:7">
      <c r="A119" s="14" t="s">
        <v>199</v>
      </c>
      <c r="B119" s="14" t="s">
        <v>721</v>
      </c>
      <c r="C119" s="14" t="s">
        <v>200</v>
      </c>
      <c r="D119" s="9" t="s">
        <v>741</v>
      </c>
      <c r="E119" s="14" t="s">
        <v>1</v>
      </c>
      <c r="F119" s="14" t="str">
        <f t="shared" si="1"/>
        <v>LG</v>
      </c>
      <c r="G119" s="14" t="s">
        <v>780</v>
      </c>
    </row>
    <row r="120" spans="1:7">
      <c r="A120" s="14" t="s">
        <v>452</v>
      </c>
      <c r="B120" s="14" t="s">
        <v>721</v>
      </c>
      <c r="C120" s="14" t="s">
        <v>453</v>
      </c>
      <c r="D120" s="9" t="s">
        <v>741</v>
      </c>
      <c r="E120" s="14" t="s">
        <v>11</v>
      </c>
      <c r="F120" s="14" t="str">
        <f t="shared" si="1"/>
        <v>Open</v>
      </c>
      <c r="G120" s="14" t="s">
        <v>780</v>
      </c>
    </row>
    <row r="121" spans="1:7">
      <c r="A121" s="14" t="s">
        <v>468</v>
      </c>
      <c r="B121" s="14" t="s">
        <v>721</v>
      </c>
      <c r="C121" s="14" t="s">
        <v>469</v>
      </c>
      <c r="D121" s="9" t="s">
        <v>741</v>
      </c>
      <c r="E121" s="14" t="s">
        <v>11</v>
      </c>
      <c r="F121" s="14" t="str">
        <f t="shared" si="1"/>
        <v>Open</v>
      </c>
      <c r="G121" s="14" t="s">
        <v>780</v>
      </c>
    </row>
    <row r="122" spans="1:7">
      <c r="A122" s="14" t="s">
        <v>509</v>
      </c>
      <c r="B122" s="14" t="s">
        <v>721</v>
      </c>
      <c r="C122" s="14" t="s">
        <v>510</v>
      </c>
      <c r="D122" s="9" t="s">
        <v>741</v>
      </c>
      <c r="E122" s="14" t="s">
        <v>11</v>
      </c>
      <c r="F122" s="14" t="str">
        <f t="shared" si="1"/>
        <v>Open</v>
      </c>
      <c r="G122" s="14" t="s">
        <v>780</v>
      </c>
    </row>
    <row r="123" spans="1:7">
      <c r="A123" s="14" t="s">
        <v>549</v>
      </c>
      <c r="B123" s="14" t="s">
        <v>721</v>
      </c>
      <c r="C123" s="14" t="s">
        <v>550</v>
      </c>
      <c r="D123" s="9" t="s">
        <v>741</v>
      </c>
      <c r="E123" s="14" t="s">
        <v>11</v>
      </c>
      <c r="F123" s="14" t="str">
        <f t="shared" si="1"/>
        <v>Open</v>
      </c>
      <c r="G123" s="14" t="s">
        <v>780</v>
      </c>
    </row>
    <row r="124" spans="1:7">
      <c r="A124" s="14" t="s">
        <v>630</v>
      </c>
      <c r="B124" s="14" t="s">
        <v>721</v>
      </c>
      <c r="C124" s="14" t="s">
        <v>631</v>
      </c>
      <c r="D124" s="9" t="s">
        <v>741</v>
      </c>
      <c r="E124" s="14" t="s">
        <v>11</v>
      </c>
      <c r="F124" s="14" t="str">
        <f t="shared" si="1"/>
        <v>Open</v>
      </c>
      <c r="G124" s="14" t="s">
        <v>780</v>
      </c>
    </row>
    <row r="125" spans="1:7">
      <c r="A125" s="14" t="s">
        <v>639</v>
      </c>
      <c r="B125" s="14" t="s">
        <v>721</v>
      </c>
      <c r="C125" s="14" t="s">
        <v>640</v>
      </c>
      <c r="D125" s="9" t="s">
        <v>741</v>
      </c>
      <c r="E125" s="14" t="s">
        <v>38</v>
      </c>
      <c r="F125" s="14" t="str">
        <f t="shared" si="1"/>
        <v>Open</v>
      </c>
      <c r="G125" s="14" t="s">
        <v>780</v>
      </c>
    </row>
    <row r="126" spans="1:7">
      <c r="A126" s="14" t="s">
        <v>641</v>
      </c>
      <c r="B126" s="14" t="s">
        <v>721</v>
      </c>
      <c r="C126" s="14" t="s">
        <v>642</v>
      </c>
      <c r="D126" s="9" t="s">
        <v>741</v>
      </c>
      <c r="E126" s="14" t="s">
        <v>38</v>
      </c>
      <c r="F126" s="14" t="str">
        <f t="shared" si="1"/>
        <v>Open</v>
      </c>
      <c r="G126" s="14" t="s">
        <v>780</v>
      </c>
    </row>
    <row r="127" spans="1:7">
      <c r="C127" s="14"/>
    </row>
    <row r="128" spans="1:7" ht="13.5">
      <c r="A128" s="18" t="s">
        <v>766</v>
      </c>
      <c r="C128" s="14"/>
    </row>
    <row r="129" spans="3:3">
      <c r="C129" s="14"/>
    </row>
    <row r="130" spans="3:3">
      <c r="C130" s="14"/>
    </row>
    <row r="131" spans="3:3">
      <c r="C131" s="14"/>
    </row>
    <row r="132" spans="3:3">
      <c r="C132" s="14"/>
    </row>
    <row r="133" spans="3:3">
      <c r="C133" s="14"/>
    </row>
    <row r="134" spans="3:3">
      <c r="C134" s="14"/>
    </row>
    <row r="135" spans="3:3">
      <c r="C135" s="14"/>
    </row>
    <row r="136" spans="3:3">
      <c r="C136" s="14"/>
    </row>
    <row r="137" spans="3:3">
      <c r="C137" s="14"/>
    </row>
    <row r="138" spans="3:3">
      <c r="C138" s="14"/>
    </row>
    <row r="139" spans="3:3">
      <c r="C139" s="14"/>
    </row>
    <row r="140" spans="3:3">
      <c r="C140" s="14"/>
    </row>
    <row r="141" spans="3:3">
      <c r="C141" s="14"/>
    </row>
    <row r="142" spans="3:3">
      <c r="C142" s="14"/>
    </row>
    <row r="143" spans="3:3">
      <c r="C143" s="14"/>
    </row>
    <row r="144" spans="3:3">
      <c r="C144" s="14"/>
    </row>
    <row r="145" spans="3:3">
      <c r="C145" s="14"/>
    </row>
    <row r="146" spans="3:3">
      <c r="C146" s="14"/>
    </row>
    <row r="147" spans="3:3">
      <c r="C147" s="14"/>
    </row>
    <row r="148" spans="3:3">
      <c r="C148" s="14"/>
    </row>
    <row r="149" spans="3:3">
      <c r="C149" s="14"/>
    </row>
    <row r="150" spans="3:3">
      <c r="C150" s="14"/>
    </row>
    <row r="151" spans="3:3">
      <c r="C151" s="14"/>
    </row>
    <row r="152" spans="3:3">
      <c r="C152" s="14"/>
    </row>
    <row r="153" spans="3:3">
      <c r="C153" s="14"/>
    </row>
    <row r="154" spans="3:3">
      <c r="C154" s="14"/>
    </row>
    <row r="155" spans="3:3">
      <c r="C155" s="14"/>
    </row>
    <row r="156" spans="3:3">
      <c r="C156" s="14"/>
    </row>
    <row r="157" spans="3:3">
      <c r="C157" s="14"/>
    </row>
    <row r="158" spans="3:3">
      <c r="C158" s="14"/>
    </row>
    <row r="159" spans="3:3">
      <c r="C159" s="14"/>
    </row>
    <row r="160" spans="3:3">
      <c r="C160" s="14"/>
    </row>
    <row r="161" spans="3:3">
      <c r="C161" s="14"/>
    </row>
    <row r="162" spans="3:3">
      <c r="C162" s="14"/>
    </row>
    <row r="163" spans="3:3">
      <c r="C163" s="14"/>
    </row>
    <row r="164" spans="3:3">
      <c r="C164" s="14"/>
    </row>
    <row r="165" spans="3:3">
      <c r="C165" s="14"/>
    </row>
    <row r="166" spans="3:3">
      <c r="C166" s="14"/>
    </row>
    <row r="167" spans="3:3">
      <c r="C167" s="14"/>
    </row>
    <row r="168" spans="3:3">
      <c r="C168" s="14"/>
    </row>
    <row r="169" spans="3:3">
      <c r="C169" s="14"/>
    </row>
    <row r="170" spans="3:3">
      <c r="C170" s="14"/>
    </row>
    <row r="171" spans="3:3">
      <c r="C171" s="14"/>
    </row>
    <row r="172" spans="3:3">
      <c r="C172" s="14"/>
    </row>
    <row r="173" spans="3:3">
      <c r="C173" s="14"/>
    </row>
    <row r="174" spans="3:3">
      <c r="C174" s="14"/>
    </row>
    <row r="175" spans="3:3">
      <c r="C175" s="14"/>
    </row>
    <row r="176" spans="3:3">
      <c r="C176" s="14"/>
    </row>
    <row r="177" spans="3:3">
      <c r="C177" s="14"/>
    </row>
    <row r="178" spans="3:3">
      <c r="C178" s="14"/>
    </row>
    <row r="179" spans="3:3">
      <c r="C179" s="14"/>
    </row>
    <row r="180" spans="3:3">
      <c r="C180" s="14"/>
    </row>
    <row r="181" spans="3:3">
      <c r="C181" s="14"/>
    </row>
    <row r="182" spans="3:3">
      <c r="C182" s="14"/>
    </row>
    <row r="183" spans="3:3">
      <c r="C183" s="14"/>
    </row>
    <row r="184" spans="3:3">
      <c r="C184" s="14"/>
    </row>
    <row r="185" spans="3:3">
      <c r="C185" s="14"/>
    </row>
    <row r="186" spans="3:3">
      <c r="C186" s="14"/>
    </row>
    <row r="187" spans="3:3">
      <c r="C187" s="14"/>
    </row>
    <row r="188" spans="3:3">
      <c r="C188" s="14"/>
    </row>
    <row r="189" spans="3:3">
      <c r="C189" s="14"/>
    </row>
    <row r="190" spans="3:3">
      <c r="C190" s="14"/>
    </row>
    <row r="191" spans="3:3">
      <c r="C191" s="14"/>
    </row>
    <row r="192" spans="3:3">
      <c r="C192" s="14"/>
    </row>
    <row r="193" spans="3:3">
      <c r="C193" s="14"/>
    </row>
    <row r="194" spans="3:3">
      <c r="C194" s="14"/>
    </row>
    <row r="195" spans="3:3">
      <c r="C195" s="14"/>
    </row>
    <row r="196" spans="3:3">
      <c r="C196" s="14"/>
    </row>
    <row r="197" spans="3:3">
      <c r="C197" s="14"/>
    </row>
    <row r="198" spans="3:3">
      <c r="C198" s="14"/>
    </row>
    <row r="199" spans="3:3">
      <c r="C199" s="14"/>
    </row>
    <row r="200" spans="3:3">
      <c r="C200" s="14"/>
    </row>
    <row r="201" spans="3:3">
      <c r="C201" s="14"/>
    </row>
    <row r="202" spans="3:3">
      <c r="C202" s="14"/>
    </row>
    <row r="203" spans="3:3">
      <c r="C203" s="14"/>
    </row>
    <row r="204" spans="3:3">
      <c r="C204" s="14"/>
    </row>
    <row r="205" spans="3:3">
      <c r="C205" s="14"/>
    </row>
    <row r="206" spans="3:3">
      <c r="C206" s="14"/>
    </row>
    <row r="207" spans="3:3">
      <c r="C207" s="14"/>
    </row>
    <row r="208" spans="3:3">
      <c r="C208" s="14"/>
    </row>
    <row r="209" spans="3:3">
      <c r="C209" s="14"/>
    </row>
    <row r="210" spans="3:3">
      <c r="C210" s="14"/>
    </row>
    <row r="211" spans="3:3">
      <c r="C211" s="14"/>
    </row>
    <row r="212" spans="3:3">
      <c r="C212" s="14"/>
    </row>
    <row r="213" spans="3:3">
      <c r="C213" s="14"/>
    </row>
    <row r="214" spans="3:3">
      <c r="C214" s="14"/>
    </row>
    <row r="215" spans="3:3">
      <c r="C215" s="14"/>
    </row>
    <row r="216" spans="3:3">
      <c r="C216" s="14"/>
    </row>
    <row r="217" spans="3:3">
      <c r="C217" s="14"/>
    </row>
    <row r="218" spans="3:3">
      <c r="C218" s="14"/>
    </row>
    <row r="219" spans="3:3">
      <c r="C219" s="14"/>
    </row>
    <row r="220" spans="3:3">
      <c r="C220" s="14"/>
    </row>
    <row r="221" spans="3:3">
      <c r="C221" s="14"/>
    </row>
    <row r="222" spans="3:3">
      <c r="C222" s="14"/>
    </row>
    <row r="223" spans="3:3">
      <c r="C223" s="14"/>
    </row>
    <row r="224" spans="3:3">
      <c r="C224" s="14"/>
    </row>
    <row r="225" spans="3:3">
      <c r="C225" s="14"/>
    </row>
    <row r="226" spans="3:3">
      <c r="C226" s="14"/>
    </row>
    <row r="227" spans="3:3">
      <c r="C227" s="14"/>
    </row>
    <row r="228" spans="3:3">
      <c r="C228" s="14"/>
    </row>
    <row r="229" spans="3:3">
      <c r="C229" s="14"/>
    </row>
    <row r="230" spans="3:3">
      <c r="C230" s="14"/>
    </row>
    <row r="231" spans="3:3">
      <c r="C231" s="14"/>
    </row>
    <row r="232" spans="3:3">
      <c r="C232" s="14"/>
    </row>
    <row r="233" spans="3:3">
      <c r="C233" s="14"/>
    </row>
    <row r="234" spans="3:3">
      <c r="C234" s="14"/>
    </row>
  </sheetData>
  <autoFilter ref="A1:G126" xr:uid="{AB8CCF2D-5B13-4B2F-A647-048B45AB424B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피벗(개수)</vt:lpstr>
      <vt:lpstr>통합(개수)</vt:lpstr>
      <vt:lpstr>Sheet1</vt:lpstr>
      <vt:lpstr>피벗(금액)</vt:lpstr>
      <vt:lpstr>통합(금액)</vt:lpstr>
      <vt:lpstr>24년추정</vt:lpstr>
      <vt:lpstr>23년실적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2024-07-11T07:04:03Z</cp:lastPrinted>
  <dcterms:modified xsi:type="dcterms:W3CDTF">2024-07-11T07:28:16Z</dcterms:modified>
</cp:coreProperties>
</file>